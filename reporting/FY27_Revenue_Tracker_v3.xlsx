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Onsite" sheetId="5" state="visible" r:id="rId5"/>
    <sheet name="Production" sheetId="6" state="visible" r:id="rId6"/>
    <sheet name="Consulting" sheetId="7" state="visible" r:id="rId7"/>
    <sheet name="WIP Movements" sheetId="8" state="visible" r:id="rId8"/>
    <sheet name="Lists" sheetId="9" state="visible" r:id="rId9"/>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3" hidden="1">'WIP Summary'!$A$11:$H$434</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5">
    <font>
      <name val="Calibri"/>
      <family val="2"/>
      <color theme="1"/>
      <sz val="11"/>
      <scheme val="minor"/>
    </font>
    <font>
      <b val="1"/>
      <color rgb="003E5066"/>
      <sz val="16"/>
    </font>
    <font>
      <i val="1"/>
      <color rgb="00595959"/>
      <sz val="10"/>
    </font>
    <font>
      <b val="1"/>
      <color rgb="00FFFFFF"/>
      <sz val="10"/>
    </font>
    <font>
      <sz val="10"/>
    </font>
    <font>
      <color rgb="00595959"/>
      <sz val="10"/>
    </font>
    <font>
      <b val="1"/>
      <sz val="11"/>
    </font>
    <font>
      <b val="1"/>
      <color rgb="003E5066"/>
      <sz val="12"/>
    </font>
    <font>
      <i val="1"/>
      <color rgb="00808080"/>
      <sz val="9"/>
    </font>
    <font>
      <b val="1"/>
      <color rgb="00FFFFFF"/>
      <sz val="11"/>
    </font>
    <font>
      <b val="1"/>
      <color rgb="00FFFFFF"/>
      <sz val="9"/>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0">
    <xf numFmtId="0" fontId="0" fillId="0" borderId="0" pivotButton="0" quotePrefix="0" xfId="0"/>
    <xf numFmtId="0" fontId="14" fillId="0" borderId="0" pivotButton="0" quotePrefix="0" xfId="0"/>
    <xf numFmtId="0" fontId="2" fillId="0" borderId="0" pivotButton="0" quotePrefix="0" xfId="0"/>
    <xf numFmtId="0" fontId="9" fillId="3" borderId="0" applyAlignment="1" pivotButton="0" quotePrefix="0" xfId="0">
      <alignment vertical="center" indent="1"/>
    </xf>
    <xf numFmtId="0" fontId="4" fillId="0" borderId="0" applyAlignment="1" pivotButton="0" quotePrefix="0" xfId="0">
      <alignment vertical="top" wrapText="1"/>
    </xf>
    <xf numFmtId="0" fontId="12" fillId="6" borderId="1" applyAlignment="1" pivotButton="0" quotePrefix="0" xfId="0">
      <alignment vertical="top"/>
    </xf>
    <xf numFmtId="0" fontId="4" fillId="0" borderId="1" applyAlignment="1" pivotButton="0" quotePrefix="0" xfId="0">
      <alignment vertical="top" wrapText="1"/>
    </xf>
    <xf numFmtId="0" fontId="9" fillId="7" borderId="0" applyAlignment="1" pivotButton="0" quotePrefix="0" xfId="0">
      <alignment vertical="center" indent="1"/>
    </xf>
    <xf numFmtId="0" fontId="1" fillId="0" borderId="0" pivotButton="0" quotePrefix="0" xfId="0"/>
    <xf numFmtId="0" fontId="3" fillId="3" borderId="1" applyAlignment="1" pivotButton="0" quotePrefix="0" xfId="0">
      <alignment horizontal="center" vertical="center" wrapText="1"/>
    </xf>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4" fillId="0" borderId="1" pivotButton="0" quotePrefix="0" xfId="0"/>
    <xf numFmtId="49" fontId="5" fillId="4" borderId="1" pivotButton="0" quotePrefix="0" xfId="0"/>
    <xf numFmtId="166" fontId="4" fillId="0" borderId="1" pivotButton="0" quotePrefix="0" xfId="0"/>
    <xf numFmtId="166" fontId="5" fillId="4" borderId="1" pivotButton="0" quotePrefix="0" xfId="0"/>
    <xf numFmtId="0" fontId="6" fillId="0" borderId="0" pivotButton="0" quotePrefix="0" xfId="0"/>
    <xf numFmtId="17" fontId="7" fillId="5" borderId="1" applyAlignment="1" pivotButton="0" quotePrefix="0" xfId="0">
      <alignment horizontal="center"/>
    </xf>
    <xf numFmtId="0" fontId="8" fillId="0" borderId="0" pivotButton="0" quotePrefix="0" xfId="0"/>
    <xf numFmtId="0" fontId="10" fillId="2" borderId="1" applyAlignment="1" pivotButton="0" quotePrefix="0" xfId="0">
      <alignment horizontal="center" vertical="center" wrapText="1"/>
    </xf>
    <xf numFmtId="0" fontId="11"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0" fillId="0" borderId="1" pivotButton="0" quotePrefix="0" xfId="0"/>
    <xf numFmtId="0" fontId="3" fillId="2" borderId="1" pivotButton="0" quotePrefix="0" xfId="0"/>
    <xf numFmtId="166" fontId="3" fillId="2" borderId="1" pivotButton="0" quotePrefix="0" xfId="0"/>
    <xf numFmtId="0" fontId="4" fillId="0" borderId="0" pivotButton="0" quotePrefix="0" xfId="0"/>
    <xf numFmtId="0" fontId="0" fillId="0" borderId="1" applyAlignment="1" pivotButton="0" quotePrefix="0" xfId="0">
      <alignment horizontal="center"/>
    </xf>
    <xf numFmtId="0" fontId="11" fillId="0" borderId="0" pivotButton="0" quotePrefix="0" xfId="0"/>
    <xf numFmtId="166" fontId="12" fillId="6" borderId="1" pivotButton="0" quotePrefix="0" xfId="0"/>
    <xf numFmtId="166" fontId="11" fillId="4" borderId="1" pivotButton="0" quotePrefix="0" xfId="0"/>
    <xf numFmtId="0" fontId="13" fillId="0" borderId="1" applyAlignment="1" pivotButton="0" quotePrefix="0" xfId="0">
      <alignment horizontal="center"/>
    </xf>
    <xf numFmtId="3" fontId="11" fillId="4" borderId="1" applyAlignment="1" pivotButton="0" quotePrefix="0" xfId="0">
      <alignment horizontal="center"/>
    </xf>
    <xf numFmtId="166" fontId="11"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17" fontId="7" fillId="4" borderId="1" applyAlignment="1" pivotButton="0" quotePrefix="0" xfId="0">
      <alignment horizontal="center"/>
    </xf>
    <xf numFmtId="166" fontId="12" fillId="4" borderId="1" pivotButton="0" quotePrefix="0" xfId="0"/>
    <xf numFmtId="166" fontId="4" fillId="4" borderId="1" pivotButton="0" quotePrefix="0" xfId="0"/>
    <xf numFmtId="0" fontId="4" fillId="4" borderId="1" pivotButton="0" quotePrefix="0" xfId="0"/>
    <xf numFmtId="166" fontId="4" fillId="5" borderId="1" pivotButton="0" quotePrefix="0" xfId="0"/>
    <xf numFmtId="3"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tbl_Finance" displayName="tbl_Finance" ref="A4:T577" headerRowCount="1">
  <autoFilter ref="A4:T577"/>
  <tableColumns count="20">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Issue"/>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L431" headerRowCount="1">
  <autoFilter ref="A4:L431"/>
  <tableColumns count="12">
    <tableColumn id="1" name="Job Number"/>
    <tableColumn id="2" name="Job in Xero?"/>
    <tableColumn id="3" name="Job Name (Xero)"/>
    <tableColumn id="4" name="Client"/>
    <tableColumn id="5" name="Invoices"/>
    <tableColumn id="6" name="Revenue Ex GST"/>
    <tableColumn id="7" name="Cost Centres"/>
    <tableColumn id="8" name="PO / Reference"/>
    <tableColumn id="9" name="Ariba Status"/>
    <tableColumn id="10" name="Billable Hours"/>
    <tableColumn id="11" name="Approved By"/>
    <tableColumn id="12"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Y462" headerRowCount="1">
  <autoFilter ref="A4:Y462"/>
  <tableColumns count="25">
    <tableColumn id="1" name="Job Number"/>
    <tableColumn id="2" name="Job in Xero?"/>
    <tableColumn id="3" name="Job Name (Xero)"/>
    <tableColumn id="4" name="Client"/>
    <tableColumn id="5" name="Invoices"/>
    <tableColumn id="6" name="Revenue Ex GST"/>
    <tableColumn id="7" name="Cost Centres"/>
    <tableColumn id="8" name="Event Date"/>
    <tableColumn id="9" name="Current RMS No"/>
    <tableColumn id="10" name="Zoho Number"/>
    <tableColumn id="11" name="Job Closed"/>
    <tableColumn id="12" name="Discounts Given"/>
    <tableColumn id="13" name="Value Before Discount"/>
    <tableColumn id="14" name="Discount %"/>
    <tableColumn id="15" name="Cross Hire Expense"/>
    <tableColumn id="16" name="Labour Expense (Internal)"/>
    <tableColumn id="17" name="Total Expense"/>
    <tableColumn id="18" name="Margin"/>
    <tableColumn id="19" name="Margin %"/>
    <tableColumn id="20" name="Video Filming Hrs"/>
    <tableColumn id="21" name="Video Editing Hrs"/>
    <tableColumn id="22" name="Project Mgmt Hrs"/>
    <tableColumn id="23" name="Video Project Mgmt Hrs"/>
    <tableColumn id="24" name="Production Labour Hrs"/>
    <tableColumn id="25"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T432" headerRowCount="1">
  <autoFilter ref="A4:T432"/>
  <tableColumns count="20">
    <tableColumn id="1" name="Job Number"/>
    <tableColumn id="2" name="Job in Xero?"/>
    <tableColumn id="3" name="Job Name (Xero)"/>
    <tableColumn id="4" name="Client"/>
    <tableColumn id="5" name="Invoices"/>
    <tableColumn id="6" name="Revenue Ex GST"/>
    <tableColumn id="7" name="Cost Centres"/>
    <tableColumn id="8" name="Qwilr Link"/>
    <tableColumn id="9" name="Opportunity No"/>
    <tableColumn id="10" name="Labour Revenue"/>
    <tableColumn id="11" name="Equipment Revenue"/>
    <tableColumn id="12" name="Subscription Revenue"/>
    <tableColumn id="13" name="Revenue Split Check"/>
    <tableColumn id="14" name="Labour Expense (External)"/>
    <tableColumn id="15" name="Equipment Expense (Internal)"/>
    <tableColumn id="16" name="Subscription &amp; Licences Expense"/>
    <tableColumn id="17" name="Total Expense"/>
    <tableColumn id="18" name="Margin"/>
    <tableColumn id="19" name="Margin %"/>
    <tableColumn id="20"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330" headerRowCount="1">
  <autoFilter ref="A4:M3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55"/>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3">
      <c r="B3" s="2" t="inlineStr">
        <is>
          <t>Corporate Technology Services Pty Ltd  -  replaces FY27_Revenue_Tracker_v2.xlsm</t>
        </is>
      </c>
    </row>
    <row r="4" ht="10" customHeight="1"/>
    <row r="5" ht="22" customHeight="1">
      <c r="B5" s="3" t="inlineStr">
        <is>
          <t>WHO TYPES WHERE</t>
        </is>
      </c>
    </row>
    <row r="6" ht="14" customHeight="1">
      <c r="C6" s="4" t="inlineStr">
        <is>
          <t>Finance types on the Finance sheet. Nowhere else. Every invoice line, every month.</t>
        </is>
      </c>
    </row>
    <row r="7" ht="14" customHeight="1">
      <c r="C7" s="4" t="inlineStr">
        <is>
          <t>Each department types on its own sheet. Nowhere else. One row per job number.</t>
        </is>
      </c>
    </row>
    <row r="8" ht="28" customHeight="1">
      <c r="C8" s="4" t="inlineStr">
        <is>
          <t>The two meet on Job Number, which is a real Xero tracking category and is checked against the live job list as you type. Nothing has to be kept lined up by hand.</t>
        </is>
      </c>
    </row>
    <row r="9" ht="10" customHeight="1"/>
    <row r="10" ht="22" customHeight="1">
      <c r="B10" s="3" t="inlineStr">
        <is>
          <t>HOW IT FITS TOGETHER</t>
        </is>
      </c>
    </row>
    <row r="11" ht="30" customHeight="1">
      <c r="B11" s="5" t="inlineStr">
        <is>
          <t>Finance</t>
        </is>
      </c>
      <c r="C11" s="6" t="inlineStr">
        <is>
          <t>The invoice register, and the only source of revenue. One row per invoice LINE, coded to one cost centre, exactly as Xero holds it. Filter the Issue column to see everything that needs fixing.</t>
        </is>
      </c>
    </row>
    <row r="12" ht="30" customHeight="1">
      <c r="B12" s="5" t="inlineStr">
        <is>
          <t>Onsite / Production / Consulting</t>
        </is>
      </c>
      <c r="C12" s="6" t="inlineStr">
        <is>
          <t>One row per job. Client, invoice count and revenue come from Finance automatically; the department fills in its own costs, hours and references.</t>
        </is>
      </c>
    </row>
    <row r="13" ht="15" customHeight="1">
      <c r="B13" s="5" t="inlineStr">
        <is>
          <t>WIP Movements</t>
        </is>
      </c>
      <c r="C13" s="6" t="inlineStr">
        <is>
          <t>Every journal that moves revenue between the P&amp;L and GL 11300 Work in Progress.</t>
        </is>
      </c>
    </row>
    <row r="14" ht="30" customHeight="1">
      <c r="B14" s="5" t="inlineStr">
        <is>
          <t>Month-End</t>
        </is>
      </c>
      <c r="C14" s="6" t="inlineStr">
        <is>
          <t>The close: revenue by cost centre against Xero, the WIP reconciliation, fifteen data checks and a sign-off box.</t>
        </is>
      </c>
    </row>
    <row r="15" ht="15" customHeight="1">
      <c r="B15" s="5" t="inlineStr">
        <is>
          <t>WIP Summary</t>
        </is>
      </c>
      <c r="C15" s="6" t="inlineStr">
        <is>
          <t>WIP opening / movement / closing for every job, to tie job by job back to the WIP Schedule file.</t>
        </is>
      </c>
    </row>
    <row r="16" ht="30" customHeight="1">
      <c r="B16" s="5" t="inlineStr">
        <is>
          <t>Lists</t>
        </is>
      </c>
      <c r="C16" s="6" t="inlineStr">
        <is>
          <t>Every dropdown. Cost centres, job numbers and revenue GL codes came straight out of your Xero organisation, so they already match.</t>
        </is>
      </c>
    </row>
    <row r="17" ht="10" customHeight="1"/>
    <row r="18" ht="22" customHeight="1">
      <c r="B18" s="3" t="inlineStr">
        <is>
          <t>VIDEO REVENUE</t>
        </is>
      </c>
    </row>
    <row r="19" ht="56" customHeight="1">
      <c r="C19"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0" ht="28" customHeight="1">
      <c r="C20" s="4" t="inlineStr">
        <is>
          <t>The 26 migrated invoices that carried a video amount were split into two lines each on the way across. Ex GST in total is unchanged.</t>
        </is>
      </c>
    </row>
    <row r="21" ht="10" customHeight="1"/>
    <row r="22" ht="22" customHeight="1">
      <c r="B22" s="3" t="inlineStr">
        <is>
          <t>WHY THIS VERSION IS NOT SLOW, AND WHY IT OPENS</t>
        </is>
      </c>
    </row>
    <row r="23" ht="42" customHeight="1">
      <c r="C23"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24" ht="42" customHeight="1">
      <c r="C24"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25" ht="10" customHeight="1"/>
    <row r="26" ht="22" customHeight="1">
      <c r="B26" s="3" t="inlineStr">
        <is>
          <t>MONTH-END, IN ORDER</t>
        </is>
      </c>
    </row>
    <row r="27" ht="28" customHeight="1">
      <c r="C27" s="4" t="inlineStr">
        <is>
          <t>1.  Chase the departments until every invoice for the month is on the Finance sheet and Posted to Xero is Y.</t>
        </is>
      </c>
    </row>
    <row r="28" ht="14" customHeight="1">
      <c r="C28" s="4" t="inlineStr">
        <is>
          <t>2.  Open Month-End and set the month.</t>
        </is>
      </c>
    </row>
    <row r="29" ht="28" customHeight="1">
      <c r="C29" s="4" t="inlineStr">
        <is>
          <t>3.  Work section 3 first. Every count must be zero. Fix on the Finance sheet, or filter the Issue column there, which lists the same problems row by row.</t>
        </is>
      </c>
    </row>
    <row r="30" ht="28" customHeight="1">
      <c r="C30" s="4" t="inlineStr">
        <is>
          <t>4.  Section 1: run the Xero P&amp;L for the month by Cost Centre and type the revenue into the yellow column. Each line should read Reconciled.</t>
        </is>
      </c>
    </row>
    <row r="31" ht="14" customHeight="1">
      <c r="C31" s="4" t="inlineStr">
        <is>
          <t>5.  Section 2: type the WIP Schedule closing balance and the Xero GL 11300 balance.</t>
        </is>
      </c>
    </row>
    <row r="32" ht="28" customHeight="1">
      <c r="C32" s="4" t="inlineStr">
        <is>
          <t>6.  Breaks in section 2 - open WIP Summary, paste the WIP Schedule balances into column G and the variance column shows which job is out.</t>
        </is>
      </c>
    </row>
    <row r="33" ht="14" customHeight="1">
      <c r="C33" s="4" t="inlineStr">
        <is>
          <t>7.  Sign off in section 4.</t>
        </is>
      </c>
    </row>
    <row r="34" ht="10" customHeight="1"/>
    <row r="35" ht="22" customHeight="1">
      <c r="B35" s="3" t="inlineStr">
        <is>
          <t>THE WIP SIGN RULE</t>
        </is>
      </c>
    </row>
    <row r="36" ht="56" customHeight="1">
      <c r="C36"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37" ht="10" customHeight="1"/>
    <row r="38" ht="22" customHeight="1">
      <c r="B38" s="3" t="inlineStr">
        <is>
          <t>RULES THAT KEEP IT FAST</t>
        </is>
      </c>
    </row>
    <row r="39" ht="14" customHeight="1">
      <c r="C39" s="4" t="inlineStr">
        <is>
          <t xml:space="preserve">   Never insert or delete rows above the header row.</t>
        </is>
      </c>
    </row>
    <row r="40" ht="28" customHeight="1">
      <c r="C40" s="4" t="inlineStr">
        <is>
          <t xml:space="preserve">   Add rows by typing in the next blank row of the table, or press Tab at the end of the last row and the table grows with the formulas.</t>
        </is>
      </c>
    </row>
    <row r="41" ht="14" customHeight="1">
      <c r="C41" s="4" t="inlineStr">
        <is>
          <t xml:space="preserve">   Paste values only, never whole columns.</t>
        </is>
      </c>
    </row>
    <row r="42" ht="14" customHeight="1">
      <c r="C42" s="4" t="inlineStr">
        <is>
          <t xml:space="preserve">   Leave calculation on Automatic. Nothing here is volatile - no OFFSET, no INDIRECT, no TODAY in bulk.</t>
        </is>
      </c>
    </row>
    <row r="43" ht="28" customHeight="1">
      <c r="C43" s="4" t="inlineStr">
        <is>
          <t xml:space="preserve">   Keep it as .xlsx. The moment someone saves it as .xlsm and adds a macro you are back where you started.</t>
        </is>
      </c>
    </row>
    <row r="44" ht="10" customHeight="1"/>
    <row r="45" ht="22" customHeight="1">
      <c r="B45" s="3" t="inlineStr">
        <is>
          <t>WHAT CAME ACROSS FROM v2</t>
        </is>
      </c>
    </row>
    <row r="46" ht="28" customHeight="1">
      <c r="C46" s="4" t="inlineStr">
        <is>
          <t xml:space="preserve">   Finance: 175 invoice lines from the 149 v2 records, the difference being the 26 video splits now carried as their own line.</t>
        </is>
      </c>
    </row>
    <row r="47" ht="14" customHeight="1">
      <c r="C47" s="4" t="inlineStr">
        <is>
          <t xml:space="preserve">   Department sheets: one row per job - Onsite 28, Production 58, Consulting 28.</t>
        </is>
      </c>
    </row>
    <row r="48" ht="14" customHeight="1">
      <c r="C48" s="4" t="inlineStr">
        <is>
          <t xml:space="preserve">   WIP Movements: 126 rows.</t>
        </is>
      </c>
    </row>
    <row r="49" ht="28" customHeight="1">
      <c r="C49" s="4" t="inlineStr">
        <is>
          <t xml:space="preserve">   Totals tie to the cent: Onsite 512,023.81, Production 460,883.46, Consulting 857,950.27, WIP 17,537.91.</t>
        </is>
      </c>
    </row>
    <row r="50" ht="28" customHeight="1">
      <c r="C50" s="4" t="inlineStr">
        <is>
          <t xml:space="preserve">   Revenue GL codes were assigned by rule (Onsite 41100, Production 42100, Video 42150, Consulting 42800, Integration 42300). Spot-check them.</t>
        </is>
      </c>
    </row>
    <row r="51" ht="14" customHeight="1">
      <c r="C51" s="4" t="inlineStr">
        <is>
          <t xml:space="preserve">   The 126 WIP rows were given a Type from the sign of the amount. Confirm before relying on them.</t>
        </is>
      </c>
    </row>
    <row r="52" ht="10" customHeight="1"/>
    <row r="53" ht="22" customHeight="1">
      <c r="B53" s="7" t="inlineStr">
        <is>
          <t>STILL TO CONFIRM</t>
        </is>
      </c>
    </row>
    <row r="54" ht="70" customHeight="1">
      <c r="C54"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55" ht="42" customHeight="1">
      <c r="C55" s="4" t="inlineStr">
        <is>
          <t>23 migrated records have no invoice number and 21 have no date - $93,346.99 of revenue that belongs to no month. They are on the Finance sheet with the Issue column filled in. Filter that column and work the list to nothing.</t>
        </is>
      </c>
    </row>
  </sheetData>
  <mergeCells count="9">
    <mergeCell ref="B38:C38"/>
    <mergeCell ref="B5:C5"/>
    <mergeCell ref="B10:C10"/>
    <mergeCell ref="B45:C45"/>
    <mergeCell ref="B22:C22"/>
    <mergeCell ref="B26:C26"/>
    <mergeCell ref="B18:C18"/>
    <mergeCell ref="B35:C35"/>
    <mergeCell ref="B53:C53"/>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T577"/>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0" customWidth="1" min="19" max="19"/>
    <col width="34" customWidth="1" min="20" max="20"/>
  </cols>
  <sheetData>
    <row r="1" ht="24" customHeight="1">
      <c r="A1" s="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6" customHeight="1"/>
    <row r="4" ht="34" customHeight="1">
      <c r="A4" s="9" t="inlineStr">
        <is>
          <t>Date</t>
        </is>
      </c>
      <c r="B4" s="10" t="inlineStr">
        <is>
          <t>Month</t>
        </is>
      </c>
      <c r="C4" s="9" t="inlineStr">
        <is>
          <t>Xero Invoice No</t>
        </is>
      </c>
      <c r="D4" s="9" t="inlineStr">
        <is>
          <t>Client</t>
        </is>
      </c>
      <c r="E4" s="9" t="inlineStr">
        <is>
          <t>Job Number</t>
        </is>
      </c>
      <c r="F4" s="10" t="inlineStr">
        <is>
          <t>Job in Xero?</t>
        </is>
      </c>
      <c r="G4" s="9" t="inlineStr">
        <is>
          <t>Description</t>
        </is>
      </c>
      <c r="H4" s="9" t="inlineStr">
        <is>
          <t>Team</t>
        </is>
      </c>
      <c r="I4" s="9" t="inlineStr">
        <is>
          <t>Cost Centre</t>
        </is>
      </c>
      <c r="J4" s="9" t="inlineStr">
        <is>
          <t>Invoice Type</t>
        </is>
      </c>
      <c r="K4" s="9" t="inlineStr">
        <is>
          <t>Tax Code</t>
        </is>
      </c>
      <c r="L4" s="9" t="inlineStr">
        <is>
          <t>Ex GST</t>
        </is>
      </c>
      <c r="M4" s="10" t="inlineStr">
        <is>
          <t>GST</t>
        </is>
      </c>
      <c r="N4" s="10" t="inlineStr">
        <is>
          <t>Inc GST</t>
        </is>
      </c>
      <c r="O4" s="9" t="inlineStr">
        <is>
          <t>Revenue GL</t>
        </is>
      </c>
      <c r="P4" s="9" t="inlineStr">
        <is>
          <t>Posted to Xero</t>
        </is>
      </c>
      <c r="Q4" s="9" t="inlineStr">
        <is>
          <t>To WIP</t>
        </is>
      </c>
      <c r="R4" s="9" t="inlineStr">
        <is>
          <t>Status</t>
        </is>
      </c>
      <c r="S4" s="9" t="inlineStr">
        <is>
          <t>Notes</t>
        </is>
      </c>
      <c r="T4" s="10" t="inlineStr">
        <is>
          <t>Issue</t>
        </is>
      </c>
    </row>
    <row r="5" ht="15" customHeight="1">
      <c r="A5" s="11" t="n">
        <v>46234</v>
      </c>
      <c r="B5" s="12">
        <f>IF(A5="","",EOMONTH(A5,0))</f>
        <v/>
      </c>
      <c r="C5" s="13" t="inlineStr">
        <is>
          <t>INV-10525</t>
        </is>
      </c>
      <c r="D5" s="13" t="inlineStr">
        <is>
          <t>CBA</t>
        </is>
      </c>
      <c r="E5" s="13" t="inlineStr">
        <is>
          <t>1350</t>
        </is>
      </c>
      <c r="F5" s="14">
        <f>IF(E5="","",IF(COUNTIF(lst_Jobs,E5&amp;"")&gt;0,"OK","CHECK"))</f>
        <v/>
      </c>
      <c r="G5" s="13" t="inlineStr">
        <is>
          <t>CBA BNE July 2026</t>
        </is>
      </c>
      <c r="H5" s="13" t="inlineStr">
        <is>
          <t>Onsite</t>
        </is>
      </c>
      <c r="I5" s="13" t="inlineStr">
        <is>
          <t>ONSITE</t>
        </is>
      </c>
      <c r="J5" s="13" t="inlineStr">
        <is>
          <t>Contract</t>
        </is>
      </c>
      <c r="K5" s="13" t="inlineStr">
        <is>
          <t>GST 10%</t>
        </is>
      </c>
      <c r="L5" s="15" t="n">
        <v>8588.450000000001</v>
      </c>
      <c r="M5" s="16">
        <f>IF(L5="","",IF(K5="GST 10%",ROUND(L5*0.1,2),0))</f>
        <v/>
      </c>
      <c r="N5" s="16">
        <f>IF(L5="","",L5+M5)</f>
        <v/>
      </c>
      <c r="O5" s="13" t="inlineStr">
        <is>
          <t>41100</t>
        </is>
      </c>
      <c r="P5" s="13" t="inlineStr">
        <is>
          <t>Y</t>
        </is>
      </c>
      <c r="Q5" s="13" t="inlineStr">
        <is>
          <t>N</t>
        </is>
      </c>
      <c r="R5" s="13" t="inlineStr">
        <is>
          <t>Invoiced</t>
        </is>
      </c>
      <c r="S5" s="13" t="inlineStr">
        <is>
          <t>174.05 hours</t>
        </is>
      </c>
      <c r="T5" s="14">
        <f>IF(COUNTA(A5,D5,C5,L5)=0,"",IF(A5="","No date - sits outside every month",IF(E5="","No job number",IF(F5="CHECK","Job number is not in the Xero job list",IF(I5="","No cost centre",IF(AND(P5="Y",C5=""),"Marked posted to Xero but has no invoice number",IF(AND(L5&lt;&gt;"",K5=""),"No tax code",IF(AND(L5&lt;&gt;"",O5=""),"No revenue GL code",""))))))))</f>
        <v/>
      </c>
    </row>
    <row r="6" ht="15" customHeight="1">
      <c r="A6" s="11" t="n">
        <v>46234</v>
      </c>
      <c r="B6" s="12">
        <f>IF(A6="","",EOMONTH(A6,0))</f>
        <v/>
      </c>
      <c r="C6" s="13" t="inlineStr">
        <is>
          <t>INV-10526</t>
        </is>
      </c>
      <c r="D6" s="13" t="inlineStr">
        <is>
          <t>CBA</t>
        </is>
      </c>
      <c r="E6" s="13" t="inlineStr">
        <is>
          <t>585/586/1755</t>
        </is>
      </c>
      <c r="F6" s="14">
        <f>IF(E6="","",IF(COUNTIF(lst_Jobs,E6&amp;"")&gt;0,"OK","CHECK"))</f>
        <v/>
      </c>
      <c r="G6" s="13" t="inlineStr">
        <is>
          <t>CBP July 2026</t>
        </is>
      </c>
      <c r="H6" s="13" t="inlineStr">
        <is>
          <t>Onsite</t>
        </is>
      </c>
      <c r="I6" s="13" t="inlineStr">
        <is>
          <t>ONSITE</t>
        </is>
      </c>
      <c r="J6" s="13" t="inlineStr">
        <is>
          <t>Contract</t>
        </is>
      </c>
      <c r="K6" s="13" t="inlineStr">
        <is>
          <t>GST 10%</t>
        </is>
      </c>
      <c r="L6" s="15" t="n">
        <v>22120.57</v>
      </c>
      <c r="M6" s="16">
        <f>IF(L6="","",IF(K6="GST 10%",ROUND(L6*0.1,2),0))</f>
        <v/>
      </c>
      <c r="N6" s="16">
        <f>IF(L6="","",L6+M6)</f>
        <v/>
      </c>
      <c r="O6" s="13" t="inlineStr">
        <is>
          <t>41100</t>
        </is>
      </c>
      <c r="P6" s="13" t="inlineStr">
        <is>
          <t>Y</t>
        </is>
      </c>
      <c r="Q6" s="13" t="inlineStr">
        <is>
          <t>N</t>
        </is>
      </c>
      <c r="R6" s="13" t="inlineStr">
        <is>
          <t>Invoiced</t>
        </is>
      </c>
      <c r="S6" s="13" t="inlineStr">
        <is>
          <t>Deduct 3hrs for TN 01/07 &amp; 6hrs for NP 14/07</t>
        </is>
      </c>
      <c r="T6" s="14">
        <f>IF(COUNTA(A6,D6,C6,L6)=0,"",IF(A6="","No date - sits outside every month",IF(E6="","No job number",IF(F6="CHECK","Job number is not in the Xero job list",IF(I6="","No cost centre",IF(AND(P6="Y",C6=""),"Marked posted to Xero but has no invoice number",IF(AND(L6&lt;&gt;"",K6=""),"No tax code",IF(AND(L6&lt;&gt;"",O6=""),"No revenue GL code",""))))))))</f>
        <v/>
      </c>
    </row>
    <row r="7" ht="15" customHeight="1">
      <c r="A7" s="11" t="n">
        <v>46234</v>
      </c>
      <c r="B7" s="12">
        <f>IF(A7="","",EOMONTH(A7,0))</f>
        <v/>
      </c>
      <c r="C7" s="13" t="inlineStr">
        <is>
          <t>INV-10527</t>
        </is>
      </c>
      <c r="D7" s="13" t="inlineStr">
        <is>
          <t>CBA</t>
        </is>
      </c>
      <c r="E7" s="13" t="inlineStr">
        <is>
          <t>587</t>
        </is>
      </c>
      <c r="F7" s="14">
        <f>IF(E7="","",IF(COUNTIF(lst_Jobs,E7&amp;"")&gt;0,"OK","CHECK"))</f>
        <v/>
      </c>
      <c r="G7" s="13" t="inlineStr">
        <is>
          <t>CBS July 2026</t>
        </is>
      </c>
      <c r="H7" s="13" t="inlineStr">
        <is>
          <t>Onsite</t>
        </is>
      </c>
      <c r="I7" s="13" t="inlineStr">
        <is>
          <t>ONSITE</t>
        </is>
      </c>
      <c r="J7" s="13" t="inlineStr">
        <is>
          <t>Contract</t>
        </is>
      </c>
      <c r="K7" s="13" t="inlineStr">
        <is>
          <t>GST 10%</t>
        </is>
      </c>
      <c r="L7" s="15" t="n">
        <v>10720</v>
      </c>
      <c r="M7" s="16">
        <f>IF(L7="","",IF(K7="GST 10%",ROUND(L7*0.1,2),0))</f>
        <v/>
      </c>
      <c r="N7" s="16">
        <f>IF(L7="","",L7+M7)</f>
        <v/>
      </c>
      <c r="O7" s="13" t="inlineStr">
        <is>
          <t>41100</t>
        </is>
      </c>
      <c r="P7" s="13" t="inlineStr">
        <is>
          <t>Y</t>
        </is>
      </c>
      <c r="Q7" s="13" t="inlineStr">
        <is>
          <t>N</t>
        </is>
      </c>
      <c r="R7" s="13" t="inlineStr">
        <is>
          <t>Invoiced</t>
        </is>
      </c>
      <c r="S7" s="13" t="n"/>
      <c r="T7" s="14">
        <f>IF(COUNTA(A7,D7,C7,L7)=0,"",IF(A7="","No date - sits outside every month",IF(E7="","No job number",IF(F7="CHECK","Job number is not in the Xero job list",IF(I7="","No cost centre",IF(AND(P7="Y",C7=""),"Marked posted to Xero but has no invoice number",IF(AND(L7&lt;&gt;"",K7=""),"No tax code",IF(AND(L7&lt;&gt;"",O7=""),"No revenue GL code",""))))))))</f>
        <v/>
      </c>
    </row>
    <row r="8" ht="15" customHeight="1">
      <c r="A8" s="11" t="n">
        <v>46234</v>
      </c>
      <c r="B8" s="12">
        <f>IF(A8="","",EOMONTH(A8,0))</f>
        <v/>
      </c>
      <c r="C8" s="13" t="inlineStr">
        <is>
          <t>INV-10528</t>
        </is>
      </c>
      <c r="D8" s="13" t="inlineStr">
        <is>
          <t>DTTL</t>
        </is>
      </c>
      <c r="E8" s="13" t="inlineStr">
        <is>
          <t>2846/1401/725/1400/1530/1862/2402/2849/974</t>
        </is>
      </c>
      <c r="F8" s="14">
        <f>IF(E8="","",IF(COUNTIF(lst_Jobs,E8&amp;"")&gt;0,"OK","CHECK"))</f>
        <v/>
      </c>
      <c r="G8" s="13" t="inlineStr">
        <is>
          <t>DTTL Contract July 2026</t>
        </is>
      </c>
      <c r="H8" s="13" t="inlineStr">
        <is>
          <t>Onsite</t>
        </is>
      </c>
      <c r="I8" s="13" t="inlineStr">
        <is>
          <t>ONSITE</t>
        </is>
      </c>
      <c r="J8" s="13" t="inlineStr">
        <is>
          <t>Contract</t>
        </is>
      </c>
      <c r="K8" s="13" t="inlineStr">
        <is>
          <t>GST 10%</t>
        </is>
      </c>
      <c r="L8" s="15" t="n">
        <v>103625.44</v>
      </c>
      <c r="M8" s="16">
        <f>IF(L8="","",IF(K8="GST 10%",ROUND(L8*0.1,2),0))</f>
        <v/>
      </c>
      <c r="N8" s="16">
        <f>IF(L8="","",L8+M8)</f>
        <v/>
      </c>
      <c r="O8" s="13" t="inlineStr">
        <is>
          <t>41100</t>
        </is>
      </c>
      <c r="P8" s="13" t="inlineStr">
        <is>
          <t>Y</t>
        </is>
      </c>
      <c r="Q8" s="13" t="inlineStr">
        <is>
          <t>N</t>
        </is>
      </c>
      <c r="R8" s="13" t="inlineStr">
        <is>
          <t>Invoiced</t>
        </is>
      </c>
      <c r="S8" s="13" t="n"/>
      <c r="T8" s="14">
        <f>IF(COUNTA(A8,D8,C8,L8)=0,"",IF(A8="","No date - sits outside every month",IF(E8="","No job number",IF(F8="CHECK","Job number is not in the Xero job list",IF(I8="","No cost centre",IF(AND(P8="Y",C8=""),"Marked posted to Xero but has no invoice number",IF(AND(L8&lt;&gt;"",K8=""),"No tax code",IF(AND(L8&lt;&gt;"",O8=""),"No revenue GL code",""))))))))</f>
        <v/>
      </c>
    </row>
    <row r="9" ht="15" customHeight="1">
      <c r="A9" s="11" t="n">
        <v>46234</v>
      </c>
      <c r="B9" s="12">
        <f>IF(A9="","",EOMONTH(A9,0))</f>
        <v/>
      </c>
      <c r="C9" s="13" t="inlineStr">
        <is>
          <t>INV-10529</t>
        </is>
      </c>
      <c r="D9" s="13" t="inlineStr">
        <is>
          <t>BW</t>
        </is>
      </c>
      <c r="E9" s="13" t="inlineStr">
        <is>
          <t>732/1144</t>
        </is>
      </c>
      <c r="F9" s="14">
        <f>IF(E9="","",IF(COUNTIF(lst_Jobs,E9&amp;"")&gt;0,"OK","CHECK"))</f>
        <v/>
      </c>
      <c r="G9" s="13" t="inlineStr">
        <is>
          <t>BW Contract July 2026</t>
        </is>
      </c>
      <c r="H9" s="13" t="inlineStr">
        <is>
          <t>Onsite</t>
        </is>
      </c>
      <c r="I9" s="13" t="inlineStr">
        <is>
          <t>ONSITE</t>
        </is>
      </c>
      <c r="J9" s="13" t="inlineStr">
        <is>
          <t>Contract</t>
        </is>
      </c>
      <c r="K9" s="13" t="inlineStr">
        <is>
          <t>GST 10%</t>
        </is>
      </c>
      <c r="L9" s="15" t="n">
        <v>19427.5</v>
      </c>
      <c r="M9" s="16">
        <f>IF(L9="","",IF(K9="GST 10%",ROUND(L9*0.1,2),0))</f>
        <v/>
      </c>
      <c r="N9" s="16">
        <f>IF(L9="","",L9+M9)</f>
        <v/>
      </c>
      <c r="O9" s="13" t="inlineStr">
        <is>
          <t>41100</t>
        </is>
      </c>
      <c r="P9" s="13" t="inlineStr">
        <is>
          <t>Y</t>
        </is>
      </c>
      <c r="Q9" s="13" t="inlineStr">
        <is>
          <t>N</t>
        </is>
      </c>
      <c r="R9" s="13" t="inlineStr">
        <is>
          <t>Invoiced</t>
        </is>
      </c>
      <c r="S9" s="13" t="n"/>
      <c r="T9" s="14">
        <f>IF(COUNTA(A9,D9,C9,L9)=0,"",IF(A9="","No date - sits outside every month",IF(E9="","No job number",IF(F9="CHECK","Job number is not in the Xero job list",IF(I9="","No cost centre",IF(AND(P9="Y",C9=""),"Marked posted to Xero but has no invoice number",IF(AND(L9&lt;&gt;"",K9=""),"No tax code",IF(AND(L9&lt;&gt;"",O9=""),"No revenue GL code",""))))))))</f>
        <v/>
      </c>
    </row>
    <row r="10" ht="15" customHeight="1">
      <c r="A10" s="11" t="n">
        <v>46234</v>
      </c>
      <c r="B10" s="12">
        <f>IF(A10="","",EOMONTH(A10,0))</f>
        <v/>
      </c>
      <c r="C10" s="13" t="inlineStr">
        <is>
          <t>INV-10530</t>
        </is>
      </c>
      <c r="D10" s="13" t="inlineStr">
        <is>
          <t>BW</t>
        </is>
      </c>
      <c r="E10" s="13" t="inlineStr">
        <is>
          <t>2192</t>
        </is>
      </c>
      <c r="F10" s="14">
        <f>IF(E10="","",IF(COUNTIF(lst_Jobs,E10&amp;"")&gt;0,"OK","CHECK"))</f>
        <v/>
      </c>
      <c r="G10" s="13" t="inlineStr">
        <is>
          <t>BW Additionals July 2026</t>
        </is>
      </c>
      <c r="H10" s="13" t="inlineStr">
        <is>
          <t>Onsite</t>
        </is>
      </c>
      <c r="I10" s="13" t="inlineStr">
        <is>
          <t>ONSITE</t>
        </is>
      </c>
      <c r="J10" s="13" t="inlineStr">
        <is>
          <t>Contract</t>
        </is>
      </c>
      <c r="K10" s="13" t="inlineStr">
        <is>
          <t>GST 10%</t>
        </is>
      </c>
      <c r="L10" s="15" t="n">
        <v>1120</v>
      </c>
      <c r="M10" s="16">
        <f>IF(L10="","",IF(K10="GST 10%",ROUND(L10*0.1,2),0))</f>
        <v/>
      </c>
      <c r="N10" s="16">
        <f>IF(L10="","",L10+M10)</f>
        <v/>
      </c>
      <c r="O10" s="13" t="inlineStr">
        <is>
          <t>41100</t>
        </is>
      </c>
      <c r="P10" s="13" t="inlineStr">
        <is>
          <t>Y</t>
        </is>
      </c>
      <c r="Q10" s="13" t="inlineStr">
        <is>
          <t>N</t>
        </is>
      </c>
      <c r="R10" s="13" t="inlineStr">
        <is>
          <t>Invoiced</t>
        </is>
      </c>
      <c r="S10" s="13" t="n"/>
      <c r="T10" s="14">
        <f>IF(COUNTA(A10,D10,C10,L10)=0,"",IF(A10="","No date - sits outside every month",IF(E10="","No job number",IF(F10="CHECK","Job number is not in the Xero job list",IF(I10="","No cost centre",IF(AND(P10="Y",C10=""),"Marked posted to Xero but has no invoice number",IF(AND(L10&lt;&gt;"",K10=""),"No tax code",IF(AND(L10&lt;&gt;"",O10=""),"No revenue GL code",""))))))))</f>
        <v/>
      </c>
    </row>
    <row r="11" ht="15" customHeight="1">
      <c r="A11" s="11" t="n">
        <v>46234</v>
      </c>
      <c r="B11" s="12">
        <f>IF(A11="","",EOMONTH(A11,0))</f>
        <v/>
      </c>
      <c r="C11" s="13" t="inlineStr">
        <is>
          <t>INV-10531</t>
        </is>
      </c>
      <c r="D11" s="13" t="inlineStr">
        <is>
          <t>PWC</t>
        </is>
      </c>
      <c r="E11" s="13" t="inlineStr">
        <is>
          <t>2488</t>
        </is>
      </c>
      <c r="F11" s="14">
        <f>IF(E11="","",IF(COUNTIF(lst_Jobs,E11&amp;"")&gt;0,"OK","CHECK"))</f>
        <v/>
      </c>
      <c r="G11" s="13" t="inlineStr">
        <is>
          <t>PWC Brisbane July 2026</t>
        </is>
      </c>
      <c r="H11" s="13" t="inlineStr">
        <is>
          <t>Onsite</t>
        </is>
      </c>
      <c r="I11" s="13" t="inlineStr">
        <is>
          <t>ONSITE</t>
        </is>
      </c>
      <c r="J11" s="13" t="inlineStr">
        <is>
          <t>Contract</t>
        </is>
      </c>
      <c r="K11" s="13" t="inlineStr">
        <is>
          <t>GST 10%</t>
        </is>
      </c>
      <c r="L11" s="15" t="n">
        <v>7150</v>
      </c>
      <c r="M11" s="16">
        <f>IF(L11="","",IF(K11="GST 10%",ROUND(L11*0.1,2),0))</f>
        <v/>
      </c>
      <c r="N11" s="16">
        <f>IF(L11="","",L11+M11)</f>
        <v/>
      </c>
      <c r="O11" s="13" t="inlineStr">
        <is>
          <t>41100</t>
        </is>
      </c>
      <c r="P11" s="13" t="inlineStr">
        <is>
          <t>Y</t>
        </is>
      </c>
      <c r="Q11" s="13" t="inlineStr">
        <is>
          <t>N</t>
        </is>
      </c>
      <c r="R11" s="13" t="inlineStr">
        <is>
          <t>Invoiced</t>
        </is>
      </c>
      <c r="S11" s="13" t="n"/>
      <c r="T11" s="14">
        <f>IF(COUNTA(A11,D11,C11,L11)=0,"",IF(A11="","No date - sits outside every month",IF(E11="","No job number",IF(F11="CHECK","Job number is not in the Xero job list",IF(I11="","No cost centre",IF(AND(P11="Y",C11=""),"Marked posted to Xero but has no invoice number",IF(AND(L11&lt;&gt;"",K11=""),"No tax code",IF(AND(L11&lt;&gt;"",O11=""),"No revenue GL code",""))))))))</f>
        <v/>
      </c>
    </row>
    <row r="12" ht="15" customHeight="1">
      <c r="A12" s="11" t="n">
        <v>46234</v>
      </c>
      <c r="B12" s="12">
        <f>IF(A12="","",EOMONTH(A12,0))</f>
        <v/>
      </c>
      <c r="C12" s="13" t="inlineStr">
        <is>
          <t>INV-10532</t>
        </is>
      </c>
      <c r="D12" s="13" t="inlineStr">
        <is>
          <t>Gen-E</t>
        </is>
      </c>
      <c r="E12" s="13" t="inlineStr">
        <is>
          <t>26021602</t>
        </is>
      </c>
      <c r="F12" s="14">
        <f>IF(E12="","",IF(COUNTIF(lst_Jobs,E12&amp;"")&gt;0,"OK","CHECK"))</f>
        <v/>
      </c>
      <c r="G12" s="13" t="inlineStr">
        <is>
          <t>Gen-E ABS July 2026</t>
        </is>
      </c>
      <c r="H12" s="13" t="inlineStr">
        <is>
          <t>Onsite</t>
        </is>
      </c>
      <c r="I12" s="13" t="inlineStr">
        <is>
          <t>ONSITE</t>
        </is>
      </c>
      <c r="J12" s="13" t="inlineStr">
        <is>
          <t>Contract</t>
        </is>
      </c>
      <c r="K12" s="13" t="inlineStr">
        <is>
          <t>GST 10%</t>
        </is>
      </c>
      <c r="L12" s="15" t="n">
        <v>12388.8</v>
      </c>
      <c r="M12" s="16">
        <f>IF(L12="","",IF(K12="GST 10%",ROUND(L12*0.1,2),0))</f>
        <v/>
      </c>
      <c r="N12" s="16">
        <f>IF(L12="","",L12+M12)</f>
        <v/>
      </c>
      <c r="O12" s="13" t="inlineStr">
        <is>
          <t>41100</t>
        </is>
      </c>
      <c r="P12" s="13" t="inlineStr">
        <is>
          <t>Y</t>
        </is>
      </c>
      <c r="Q12" s="13" t="inlineStr">
        <is>
          <t>N</t>
        </is>
      </c>
      <c r="R12" s="13" t="inlineStr">
        <is>
          <t>Invoiced</t>
        </is>
      </c>
      <c r="S12" s="13" t="n"/>
      <c r="T12" s="14">
        <f>IF(COUNTA(A12,D12,C12,L12)=0,"",IF(A12="","No date - sits outside every month",IF(E12="","No job number",IF(F12="CHECK","Job number is not in the Xero job list",IF(I12="","No cost centre",IF(AND(P12="Y",C12=""),"Marked posted to Xero but has no invoice number",IF(AND(L12&lt;&gt;"",K12=""),"No tax code",IF(AND(L12&lt;&gt;"",O12=""),"No revenue GL code",""))))))))</f>
        <v/>
      </c>
    </row>
    <row r="13" ht="15" customHeight="1">
      <c r="A13" s="11" t="n">
        <v>46234</v>
      </c>
      <c r="B13" s="12">
        <f>IF(A13="","",EOMONTH(A13,0))</f>
        <v/>
      </c>
      <c r="C13" s="13" t="inlineStr">
        <is>
          <t>INV-10534</t>
        </is>
      </c>
      <c r="D13" s="13" t="inlineStr">
        <is>
          <t>CBA</t>
        </is>
      </c>
      <c r="E13" s="13" t="inlineStr">
        <is>
          <t>26043001</t>
        </is>
      </c>
      <c r="F13" s="14">
        <f>IF(E13="","",IF(COUNTIF(lst_Jobs,E13&amp;"")&gt;0,"OK","CHECK"))</f>
        <v/>
      </c>
      <c r="G13" s="13" t="inlineStr">
        <is>
          <t>CBA Mel July 2026</t>
        </is>
      </c>
      <c r="H13" s="13" t="inlineStr">
        <is>
          <t>Onsite</t>
        </is>
      </c>
      <c r="I13" s="13" t="inlineStr">
        <is>
          <t>ONSITE</t>
        </is>
      </c>
      <c r="J13" s="13" t="inlineStr">
        <is>
          <t>Contract</t>
        </is>
      </c>
      <c r="K13" s="13" t="inlineStr">
        <is>
          <t>GST 10%</t>
        </is>
      </c>
      <c r="L13" s="15" t="n">
        <v>11377.12</v>
      </c>
      <c r="M13" s="16">
        <f>IF(L13="","",IF(K13="GST 10%",ROUND(L13*0.1,2),0))</f>
        <v/>
      </c>
      <c r="N13" s="16">
        <f>IF(L13="","",L13+M13)</f>
        <v/>
      </c>
      <c r="O13" s="13" t="inlineStr">
        <is>
          <t>41100</t>
        </is>
      </c>
      <c r="P13" s="13" t="inlineStr">
        <is>
          <t>Y</t>
        </is>
      </c>
      <c r="Q13" s="13" t="inlineStr">
        <is>
          <t>N</t>
        </is>
      </c>
      <c r="R13" s="13" t="inlineStr">
        <is>
          <t>Invoiced</t>
        </is>
      </c>
      <c r="S13" s="13" t="inlineStr">
        <is>
          <t>Deduct 8hrs CN for 03/07</t>
        </is>
      </c>
      <c r="T13" s="14">
        <f>IF(COUNTA(A13,D13,C13,L13)=0,"",IF(A13="","No date - sits outside every month",IF(E13="","No job number",IF(F13="CHECK","Job number is not in the Xero job list",IF(I13="","No cost centre",IF(AND(P13="Y",C13=""),"Marked posted to Xero but has no invoice number",IF(AND(L13&lt;&gt;"",K13=""),"No tax code",IF(AND(L13&lt;&gt;"",O13=""),"No revenue GL code",""))))))))</f>
        <v/>
      </c>
    </row>
    <row r="14" ht="15" customHeight="1">
      <c r="A14" s="11" t="n">
        <v>46234</v>
      </c>
      <c r="B14" s="12">
        <f>IF(A14="","",EOMONTH(A14,0))</f>
        <v/>
      </c>
      <c r="C14" s="13" t="inlineStr">
        <is>
          <t>INV-10535</t>
        </is>
      </c>
      <c r="D14" s="13" t="inlineStr">
        <is>
          <t>PWC</t>
        </is>
      </c>
      <c r="E14" s="13" t="inlineStr">
        <is>
          <t>25101301B</t>
        </is>
      </c>
      <c r="F14" s="14">
        <f>IF(E14="","",IF(COUNTIF(lst_Jobs,E14&amp;"")&gt;0,"OK","CHECK"))</f>
        <v/>
      </c>
      <c r="G14" s="13" t="inlineStr">
        <is>
          <t>PWC Sydney IT July 2026</t>
        </is>
      </c>
      <c r="H14" s="13" t="inlineStr">
        <is>
          <t>Onsite</t>
        </is>
      </c>
      <c r="I14" s="13" t="inlineStr">
        <is>
          <t>ONSITE</t>
        </is>
      </c>
      <c r="J14" s="13" t="inlineStr">
        <is>
          <t>Contract</t>
        </is>
      </c>
      <c r="K14" s="13" t="inlineStr">
        <is>
          <t>GST 10%</t>
        </is>
      </c>
      <c r="L14" s="15" t="n">
        <v>11907</v>
      </c>
      <c r="M14" s="16">
        <f>IF(L14="","",IF(K14="GST 10%",ROUND(L14*0.1,2),0))</f>
        <v/>
      </c>
      <c r="N14" s="16">
        <f>IF(L14="","",L14+M14)</f>
        <v/>
      </c>
      <c r="O14" s="13" t="inlineStr">
        <is>
          <t>41100</t>
        </is>
      </c>
      <c r="P14" s="13" t="inlineStr">
        <is>
          <t>Y</t>
        </is>
      </c>
      <c r="Q14" s="13" t="inlineStr">
        <is>
          <t>N</t>
        </is>
      </c>
      <c r="R14" s="13" t="inlineStr">
        <is>
          <t>Invoiced</t>
        </is>
      </c>
      <c r="S14" s="13" t="n"/>
      <c r="T14" s="14">
        <f>IF(COUNTA(A14,D14,C14,L14)=0,"",IF(A14="","No date - sits outside every month",IF(E14="","No job number",IF(F14="CHECK","Job number is not in the Xero job list",IF(I14="","No cost centre",IF(AND(P14="Y",C14=""),"Marked posted to Xero but has no invoice number",IF(AND(L14&lt;&gt;"",K14=""),"No tax code",IF(AND(L14&lt;&gt;"",O14=""),"No revenue GL code",""))))))))</f>
        <v/>
      </c>
    </row>
    <row r="15" ht="15" customHeight="1">
      <c r="A15" s="11" t="n">
        <v>46234</v>
      </c>
      <c r="B15" s="12">
        <f>IF(A15="","",EOMONTH(A15,0))</f>
        <v/>
      </c>
      <c r="C15" s="13" t="inlineStr">
        <is>
          <t>INV-10536</t>
        </is>
      </c>
      <c r="D15" s="13" t="inlineStr">
        <is>
          <t>RICOH</t>
        </is>
      </c>
      <c r="E15" s="13" t="inlineStr">
        <is>
          <t>2880</t>
        </is>
      </c>
      <c r="F15" s="14">
        <f>IF(E15="","",IF(COUNTIF(lst_Jobs,E15&amp;"")&gt;0,"OK","CHECK"))</f>
        <v/>
      </c>
      <c r="G15" s="13" t="inlineStr">
        <is>
          <t>Ricoh Contract July 2026</t>
        </is>
      </c>
      <c r="H15" s="13" t="inlineStr">
        <is>
          <t>Onsite</t>
        </is>
      </c>
      <c r="I15" s="13" t="inlineStr">
        <is>
          <t>ONSITE</t>
        </is>
      </c>
      <c r="J15" s="13" t="inlineStr">
        <is>
          <t>Contract</t>
        </is>
      </c>
      <c r="K15" s="13" t="inlineStr">
        <is>
          <t>GST 10%</t>
        </is>
      </c>
      <c r="L15" s="15" t="n">
        <v>11860.5</v>
      </c>
      <c r="M15" s="16">
        <f>IF(L15="","",IF(K15="GST 10%",ROUND(L15*0.1,2),0))</f>
        <v/>
      </c>
      <c r="N15" s="16">
        <f>IF(L15="","",L15+M15)</f>
        <v/>
      </c>
      <c r="O15" s="13" t="inlineStr">
        <is>
          <t>41100</t>
        </is>
      </c>
      <c r="P15" s="13" t="inlineStr">
        <is>
          <t>Y</t>
        </is>
      </c>
      <c r="Q15" s="13" t="inlineStr">
        <is>
          <t>N</t>
        </is>
      </c>
      <c r="R15" s="13" t="inlineStr">
        <is>
          <t>Invoiced</t>
        </is>
      </c>
      <c r="S15" s="13" t="inlineStr">
        <is>
          <t>2 months extension</t>
        </is>
      </c>
      <c r="T15" s="14">
        <f>IF(COUNTA(A15,D15,C15,L15)=0,"",IF(A15="","No date - sits outside every month",IF(E15="","No job number",IF(F15="CHECK","Job number is not in the Xero job list",IF(I15="","No cost centre",IF(AND(P15="Y",C15=""),"Marked posted to Xero but has no invoice number",IF(AND(L15&lt;&gt;"",K15=""),"No tax code",IF(AND(L15&lt;&gt;"",O15=""),"No revenue GL code",""))))))))</f>
        <v/>
      </c>
    </row>
    <row r="16" ht="15" customHeight="1">
      <c r="A16" s="11" t="n">
        <v>46234</v>
      </c>
      <c r="B16" s="12">
        <f>IF(A16="","",EOMONTH(A16,0))</f>
        <v/>
      </c>
      <c r="C16" s="13" t="inlineStr">
        <is>
          <t>INV-10537</t>
        </is>
      </c>
      <c r="D16" s="13" t="inlineStr">
        <is>
          <t>PWC</t>
        </is>
      </c>
      <c r="E16" s="13" t="n"/>
      <c r="F16" s="14">
        <f>IF(E16="","",IF(COUNTIF(lst_Jobs,E16&amp;"")&gt;0,"OK","CHECK"))</f>
        <v/>
      </c>
      <c r="G16" s="13" t="inlineStr">
        <is>
          <t>PWC Dedicated Tech 29/07/2026</t>
        </is>
      </c>
      <c r="H16" s="13" t="inlineStr">
        <is>
          <t>Onsite</t>
        </is>
      </c>
      <c r="I16" s="13" t="inlineStr">
        <is>
          <t>ONSITE</t>
        </is>
      </c>
      <c r="J16" s="13" t="inlineStr">
        <is>
          <t>Contract</t>
        </is>
      </c>
      <c r="K16" s="13" t="inlineStr">
        <is>
          <t>GST 10%</t>
        </is>
      </c>
      <c r="L16" s="15" t="n">
        <v>340</v>
      </c>
      <c r="M16" s="16">
        <f>IF(L16="","",IF(K16="GST 10%",ROUND(L16*0.1,2),0))</f>
        <v/>
      </c>
      <c r="N16" s="16">
        <f>IF(L16="","",L16+M16)</f>
        <v/>
      </c>
      <c r="O16" s="13" t="inlineStr">
        <is>
          <t>41100</t>
        </is>
      </c>
      <c r="P16" s="13" t="inlineStr">
        <is>
          <t>Y</t>
        </is>
      </c>
      <c r="Q16" s="13" t="inlineStr">
        <is>
          <t>N</t>
        </is>
      </c>
      <c r="R16" s="13" t="inlineStr">
        <is>
          <t>Invoiced</t>
        </is>
      </c>
      <c r="S16" s="13" t="inlineStr">
        <is>
          <t>29/07/2026 4hours</t>
        </is>
      </c>
      <c r="T16" s="14">
        <f>IF(COUNTA(A16,D16,C16,L16)=0,"",IF(A16="","No date - sits outside every month",IF(E16="","No job number",IF(F16="CHECK","Job number is not in the Xero job list",IF(I16="","No cost centre",IF(AND(P16="Y",C16=""),"Marked posted to Xero but has no invoice number",IF(AND(L16&lt;&gt;"",K16=""),"No tax code",IF(AND(L16&lt;&gt;"",O16=""),"No revenue GL code",""))))))))</f>
        <v/>
      </c>
    </row>
    <row r="17" ht="15" customHeight="1">
      <c r="A17" s="11" t="n">
        <v>46234</v>
      </c>
      <c r="B17" s="12">
        <f>IF(A17="","",EOMONTH(A17,0))</f>
        <v/>
      </c>
      <c r="C17" s="13" t="inlineStr">
        <is>
          <t>INV-10541</t>
        </is>
      </c>
      <c r="D17" s="13" t="inlineStr">
        <is>
          <t>APN</t>
        </is>
      </c>
      <c r="E17" s="13" t="inlineStr">
        <is>
          <t>3056</t>
        </is>
      </c>
      <c r="F17" s="14">
        <f>IF(E17="","",IF(COUNTIF(lst_Jobs,E17&amp;"")&gt;0,"OK","CHECK"))</f>
        <v/>
      </c>
      <c r="G17" s="13" t="inlineStr">
        <is>
          <t>APN Tech Support July 22 &amp; 24</t>
        </is>
      </c>
      <c r="H17" s="13" t="inlineStr">
        <is>
          <t>Onsite</t>
        </is>
      </c>
      <c r="I17" s="13" t="inlineStr">
        <is>
          <t>ONSITE</t>
        </is>
      </c>
      <c r="J17" s="13" t="inlineStr">
        <is>
          <t>Contract</t>
        </is>
      </c>
      <c r="K17" s="13" t="inlineStr">
        <is>
          <t>GST 10%</t>
        </is>
      </c>
      <c r="L17" s="15" t="n">
        <v>680</v>
      </c>
      <c r="M17" s="16">
        <f>IF(L17="","",IF(K17="GST 10%",ROUND(L17*0.1,2),0))</f>
        <v/>
      </c>
      <c r="N17" s="16">
        <f>IF(L17="","",L17+M17)</f>
        <v/>
      </c>
      <c r="O17" s="13" t="inlineStr">
        <is>
          <t>41100</t>
        </is>
      </c>
      <c r="P17" s="13" t="inlineStr">
        <is>
          <t>Y</t>
        </is>
      </c>
      <c r="Q17" s="13" t="inlineStr">
        <is>
          <t>N</t>
        </is>
      </c>
      <c r="R17" s="13" t="inlineStr">
        <is>
          <t>Invoiced</t>
        </is>
      </c>
      <c r="S17" s="13" t="n"/>
      <c r="T17" s="14">
        <f>IF(COUNTA(A17,D17,C17,L17)=0,"",IF(A17="","No date - sits outside every month",IF(E17="","No job number",IF(F17="CHECK","Job number is not in the Xero job list",IF(I17="","No cost centre",IF(AND(P17="Y",C17=""),"Marked posted to Xero but has no invoice number",IF(AND(L17&lt;&gt;"",K17=""),"No tax code",IF(AND(L17&lt;&gt;"",O17=""),"No revenue GL code",""))))))))</f>
        <v/>
      </c>
    </row>
    <row r="18" ht="15" customHeight="1">
      <c r="A18" s="11" t="n">
        <v>46234</v>
      </c>
      <c r="B18" s="12">
        <f>IF(A18="","",EOMONTH(A18,0))</f>
        <v/>
      </c>
      <c r="C18" s="13" t="inlineStr">
        <is>
          <t>INV-10539</t>
        </is>
      </c>
      <c r="D18" s="13" t="inlineStr">
        <is>
          <t>PWC</t>
        </is>
      </c>
      <c r="E18" s="13" t="inlineStr">
        <is>
          <t>20250731</t>
        </is>
      </c>
      <c r="F18" s="14">
        <f>IF(E18="","",IF(COUNTIF(lst_Jobs,E18&amp;"")&gt;0,"OK","CHECK"))</f>
        <v/>
      </c>
      <c r="G18" s="13" t="inlineStr">
        <is>
          <t>PWC Pool of Hours (50 hours)</t>
        </is>
      </c>
      <c r="H18" s="13" t="inlineStr">
        <is>
          <t>Onsite</t>
        </is>
      </c>
      <c r="I18" s="13" t="inlineStr">
        <is>
          <t>ONSITE</t>
        </is>
      </c>
      <c r="J18" s="13" t="inlineStr">
        <is>
          <t>Contract</t>
        </is>
      </c>
      <c r="K18" s="13" t="inlineStr">
        <is>
          <t>GST 10%</t>
        </is>
      </c>
      <c r="L18" s="15" t="n">
        <v>4250</v>
      </c>
      <c r="M18" s="16">
        <f>IF(L18="","",IF(K18="GST 10%",ROUND(L18*0.1,2),0))</f>
        <v/>
      </c>
      <c r="N18" s="16">
        <f>IF(L18="","",L18+M18)</f>
        <v/>
      </c>
      <c r="O18" s="13" t="inlineStr">
        <is>
          <t>41100</t>
        </is>
      </c>
      <c r="P18" s="13" t="inlineStr">
        <is>
          <t>Y</t>
        </is>
      </c>
      <c r="Q18" s="13" t="inlineStr">
        <is>
          <t>N</t>
        </is>
      </c>
      <c r="R18" s="13" t="inlineStr">
        <is>
          <t>Invoiced</t>
        </is>
      </c>
      <c r="S18" s="13" t="inlineStr">
        <is>
          <t>PO2601703215</t>
        </is>
      </c>
      <c r="T18" s="14">
        <f>IF(COUNTA(A18,D18,C18,L18)=0,"",IF(A18="","No date - sits outside every month",IF(E18="","No job number",IF(F18="CHECK","Job number is not in the Xero job list",IF(I18="","No cost centre",IF(AND(P18="Y",C18=""),"Marked posted to Xero but has no invoice number",IF(AND(L18&lt;&gt;"",K18=""),"No tax code",IF(AND(L18&lt;&gt;"",O18=""),"No revenue GL code",""))))))))</f>
        <v/>
      </c>
    </row>
    <row r="19" ht="15" customHeight="1">
      <c r="A19" s="11" t="n">
        <v>46234</v>
      </c>
      <c r="B19" s="12">
        <f>IF(A19="","",EOMONTH(A19,0))</f>
        <v/>
      </c>
      <c r="C19" s="13" t="inlineStr">
        <is>
          <t>INV-10542</t>
        </is>
      </c>
      <c r="D19" s="13" t="inlineStr">
        <is>
          <t>CBA</t>
        </is>
      </c>
      <c r="E19" s="13" t="inlineStr">
        <is>
          <t>1668</t>
        </is>
      </c>
      <c r="F19" s="14">
        <f>IF(E19="","",IF(COUNTIF(lst_Jobs,E19&amp;"")&gt;0,"OK","CHECK"))</f>
        <v/>
      </c>
      <c r="G19" s="13" t="inlineStr">
        <is>
          <t>AH Support 02/07/2026</t>
        </is>
      </c>
      <c r="H19" s="13" t="inlineStr">
        <is>
          <t>Onsite</t>
        </is>
      </c>
      <c r="I19" s="13" t="inlineStr">
        <is>
          <t>ONSITE</t>
        </is>
      </c>
      <c r="J19" s="13" t="inlineStr">
        <is>
          <t>Contract</t>
        </is>
      </c>
      <c r="K19" s="13" t="inlineStr">
        <is>
          <t>GST 10%</t>
        </is>
      </c>
      <c r="L19" s="15" t="n">
        <v>180</v>
      </c>
      <c r="M19" s="16">
        <f>IF(L19="","",IF(K19="GST 10%",ROUND(L19*0.1,2),0))</f>
        <v/>
      </c>
      <c r="N19" s="16">
        <f>IF(L19="","",L19+M19)</f>
        <v/>
      </c>
      <c r="O19" s="13" t="inlineStr">
        <is>
          <t>41100</t>
        </is>
      </c>
      <c r="P19" s="13" t="inlineStr">
        <is>
          <t>Y</t>
        </is>
      </c>
      <c r="Q19" s="13" t="inlineStr">
        <is>
          <t>N</t>
        </is>
      </c>
      <c r="R19" s="13" t="inlineStr">
        <is>
          <t>Invoiced</t>
        </is>
      </c>
      <c r="S19" s="13" t="n"/>
      <c r="T19" s="14">
        <f>IF(COUNTA(A19,D19,C19,L19)=0,"",IF(A19="","No date - sits outside every month",IF(E19="","No job number",IF(F19="CHECK","Job number is not in the Xero job list",IF(I19="","No cost centre",IF(AND(P19="Y",C19=""),"Marked posted to Xero but has no invoice number",IF(AND(L19&lt;&gt;"",K19=""),"No tax code",IF(AND(L19&lt;&gt;"",O19=""),"No revenue GL code",""))))))))</f>
        <v/>
      </c>
    </row>
    <row r="20" ht="15" customHeight="1">
      <c r="A20" s="11" t="n">
        <v>46234</v>
      </c>
      <c r="B20" s="12">
        <f>IF(A20="","",EOMONTH(A20,0))</f>
        <v/>
      </c>
      <c r="C20" s="13" t="inlineStr">
        <is>
          <t>INV-10543</t>
        </is>
      </c>
      <c r="D20" s="13" t="inlineStr">
        <is>
          <t>CBA</t>
        </is>
      </c>
      <c r="E20" s="13" t="inlineStr">
        <is>
          <t>1668</t>
        </is>
      </c>
      <c r="F20" s="14">
        <f>IF(E20="","",IF(COUNTIF(lst_Jobs,E20&amp;"")&gt;0,"OK","CHECK"))</f>
        <v/>
      </c>
      <c r="G20" s="13" t="inlineStr">
        <is>
          <t>DT Support 02/07/2026</t>
        </is>
      </c>
      <c r="H20" s="13" t="inlineStr">
        <is>
          <t>Onsite</t>
        </is>
      </c>
      <c r="I20" s="13" t="inlineStr">
        <is>
          <t>ONSITE</t>
        </is>
      </c>
      <c r="J20" s="13" t="inlineStr">
        <is>
          <t>Contract</t>
        </is>
      </c>
      <c r="K20" s="13" t="inlineStr">
        <is>
          <t>GST 10%</t>
        </is>
      </c>
      <c r="L20" s="15" t="n">
        <v>425</v>
      </c>
      <c r="M20" s="16">
        <f>IF(L20="","",IF(K20="GST 10%",ROUND(L20*0.1,2),0))</f>
        <v/>
      </c>
      <c r="N20" s="16">
        <f>IF(L20="","",L20+M20)</f>
        <v/>
      </c>
      <c r="O20" s="13" t="inlineStr">
        <is>
          <t>41100</t>
        </is>
      </c>
      <c r="P20" s="13" t="inlineStr">
        <is>
          <t>Y</t>
        </is>
      </c>
      <c r="Q20" s="13" t="inlineStr">
        <is>
          <t>N</t>
        </is>
      </c>
      <c r="R20" s="13" t="inlineStr">
        <is>
          <t>Invoiced</t>
        </is>
      </c>
      <c r="S20" s="13" t="n"/>
      <c r="T20" s="14">
        <f>IF(COUNTA(A20,D20,C20,L20)=0,"",IF(A20="","No date - sits outside every month",IF(E20="","No job number",IF(F20="CHECK","Job number is not in the Xero job list",IF(I20="","No cost centre",IF(AND(P20="Y",C20=""),"Marked posted to Xero but has no invoice number",IF(AND(L20&lt;&gt;"",K20=""),"No tax code",IF(AND(L20&lt;&gt;"",O20=""),"No revenue GL code",""))))))))</f>
        <v/>
      </c>
    </row>
    <row r="21" ht="15" customHeight="1">
      <c r="A21" s="11" t="n">
        <v>46234</v>
      </c>
      <c r="B21" s="12">
        <f>IF(A21="","",EOMONTH(A21,0))</f>
        <v/>
      </c>
      <c r="C21" s="13" t="inlineStr">
        <is>
          <t>INV-10544</t>
        </is>
      </c>
      <c r="D21" s="13" t="inlineStr">
        <is>
          <t>CBA</t>
        </is>
      </c>
      <c r="E21" s="13" t="inlineStr">
        <is>
          <t>1668</t>
        </is>
      </c>
      <c r="F21" s="14">
        <f>IF(E21="","",IF(COUNTIF(lst_Jobs,E21&amp;"")&gt;0,"OK","CHECK"))</f>
        <v/>
      </c>
      <c r="G21" s="13" t="inlineStr">
        <is>
          <t>DT Support 23/07/2026</t>
        </is>
      </c>
      <c r="H21" s="13" t="inlineStr">
        <is>
          <t>Onsite</t>
        </is>
      </c>
      <c r="I21" s="13" t="inlineStr">
        <is>
          <t>ONSITE</t>
        </is>
      </c>
      <c r="J21" s="13" t="inlineStr">
        <is>
          <t>Contract</t>
        </is>
      </c>
      <c r="K21" s="13" t="inlineStr">
        <is>
          <t>GST 10%</t>
        </is>
      </c>
      <c r="L21" s="15" t="n">
        <v>510</v>
      </c>
      <c r="M21" s="16">
        <f>IF(L21="","",IF(K21="GST 10%",ROUND(L21*0.1,2),0))</f>
        <v/>
      </c>
      <c r="N21" s="16">
        <f>IF(L21="","",L21+M21)</f>
        <v/>
      </c>
      <c r="O21" s="13" t="inlineStr">
        <is>
          <t>41100</t>
        </is>
      </c>
      <c r="P21" s="13" t="inlineStr">
        <is>
          <t>Y</t>
        </is>
      </c>
      <c r="Q21" s="13" t="inlineStr">
        <is>
          <t>N</t>
        </is>
      </c>
      <c r="R21" s="13" t="inlineStr">
        <is>
          <t>Invoiced</t>
        </is>
      </c>
      <c r="S21" s="13" t="n"/>
      <c r="T21" s="14">
        <f>IF(COUNTA(A21,D21,C21,L21)=0,"",IF(A21="","No date - sits outside every month",IF(E21="","No job number",IF(F21="CHECK","Job number is not in the Xero job list",IF(I21="","No cost centre",IF(AND(P21="Y",C21=""),"Marked posted to Xero but has no invoice number",IF(AND(L21&lt;&gt;"",K21=""),"No tax code",IF(AND(L21&lt;&gt;"",O21=""),"No revenue GL code",""))))))))</f>
        <v/>
      </c>
    </row>
    <row r="22" ht="15" customHeight="1">
      <c r="A22" s="11" t="n">
        <v>46233</v>
      </c>
      <c r="B22" s="12">
        <f>IF(A22="","",EOMONTH(A22,0))</f>
        <v/>
      </c>
      <c r="C22" s="13" t="inlineStr">
        <is>
          <t>INV-10545</t>
        </is>
      </c>
      <c r="D22" s="13" t="inlineStr">
        <is>
          <t>PWC</t>
        </is>
      </c>
      <c r="E22" s="13" t="inlineStr">
        <is>
          <t>2540</t>
        </is>
      </c>
      <c r="F22" s="14">
        <f>IF(E22="","",IF(COUNTIF(lst_Jobs,E22&amp;"")&gt;0,"OK","CHECK"))</f>
        <v/>
      </c>
      <c r="G22" s="13" t="inlineStr">
        <is>
          <t>PWC Dedicated Tech 30/07/2026</t>
        </is>
      </c>
      <c r="H22" s="13" t="inlineStr">
        <is>
          <t>Onsite</t>
        </is>
      </c>
      <c r="I22" s="13" t="inlineStr">
        <is>
          <t>ONSITE</t>
        </is>
      </c>
      <c r="J22" s="13" t="inlineStr">
        <is>
          <t>Contract</t>
        </is>
      </c>
      <c r="K22" s="13" t="inlineStr">
        <is>
          <t>GST 10%</t>
        </is>
      </c>
      <c r="L22" s="15" t="n">
        <v>340</v>
      </c>
      <c r="M22" s="16">
        <f>IF(L22="","",IF(K22="GST 10%",ROUND(L22*0.1,2),0))</f>
        <v/>
      </c>
      <c r="N22" s="16">
        <f>IF(L22="","",L22+M22)</f>
        <v/>
      </c>
      <c r="O22" s="13" t="inlineStr">
        <is>
          <t>41100</t>
        </is>
      </c>
      <c r="P22" s="13" t="inlineStr">
        <is>
          <t>Y</t>
        </is>
      </c>
      <c r="Q22" s="13" t="inlineStr">
        <is>
          <t>N</t>
        </is>
      </c>
      <c r="R22" s="13" t="inlineStr">
        <is>
          <t>Invoiced</t>
        </is>
      </c>
      <c r="S22" s="13" t="inlineStr">
        <is>
          <t>PO2601703274</t>
        </is>
      </c>
      <c r="T22" s="14">
        <f>IF(COUNTA(A22,D22,C22,L22)=0,"",IF(A22="","No date - sits outside every month",IF(E22="","No job number",IF(F22="CHECK","Job number is not in the Xero job list",IF(I22="","No cost centre",IF(AND(P22="Y",C22=""),"Marked posted to Xero but has no invoice number",IF(AND(L22&lt;&gt;"",K22=""),"No tax code",IF(AND(L22&lt;&gt;"",O22=""),"No revenue GL code",""))))))))</f>
        <v/>
      </c>
    </row>
    <row r="23" ht="15" customHeight="1">
      <c r="A23" s="11" t="n">
        <v>46233</v>
      </c>
      <c r="B23" s="12">
        <f>IF(A23="","",EOMONTH(A23,0))</f>
        <v/>
      </c>
      <c r="C23" s="13" t="inlineStr">
        <is>
          <t>INV-10546</t>
        </is>
      </c>
      <c r="D23" s="13" t="inlineStr">
        <is>
          <t>DTTL</t>
        </is>
      </c>
      <c r="E23" s="13" t="inlineStr">
        <is>
          <t>26062501/2347</t>
        </is>
      </c>
      <c r="F23" s="14">
        <f>IF(E23="","",IF(COUNTIF(lst_Jobs,E23&amp;"")&gt;0,"OK","CHECK"))</f>
        <v/>
      </c>
      <c r="G23" s="13" t="inlineStr">
        <is>
          <t>DH Travel 06-07/07 &amp; Ad-hoc Tech Support 30/07 &amp; Market Shapers</t>
        </is>
      </c>
      <c r="H23" s="13" t="inlineStr">
        <is>
          <t>Onsite</t>
        </is>
      </c>
      <c r="I23" s="13" t="inlineStr">
        <is>
          <t>ONSITE</t>
        </is>
      </c>
      <c r="J23" s="13" t="inlineStr">
        <is>
          <t>Contract</t>
        </is>
      </c>
      <c r="K23" s="13" t="inlineStr">
        <is>
          <t>GST 10%</t>
        </is>
      </c>
      <c r="L23" s="15" t="n">
        <v>1672.5</v>
      </c>
      <c r="M23" s="16">
        <f>IF(L23="","",IF(K23="GST 10%",ROUND(L23*0.1,2),0))</f>
        <v/>
      </c>
      <c r="N23" s="16">
        <f>IF(L23="","",L23+M23)</f>
        <v/>
      </c>
      <c r="O23" s="13" t="inlineStr">
        <is>
          <t>41100</t>
        </is>
      </c>
      <c r="P23" s="13" t="inlineStr">
        <is>
          <t>Y</t>
        </is>
      </c>
      <c r="Q23" s="13" t="inlineStr">
        <is>
          <t>N</t>
        </is>
      </c>
      <c r="R23" s="13" t="inlineStr">
        <is>
          <t>Invoiced</t>
        </is>
      </c>
      <c r="S23" s="13" t="n"/>
      <c r="T23" s="14">
        <f>IF(COUNTA(A23,D23,C23,L23)=0,"",IF(A23="","No date - sits outside every month",IF(E23="","No job number",IF(F23="CHECK","Job number is not in the Xero job list",IF(I23="","No cost centre",IF(AND(P23="Y",C23=""),"Marked posted to Xero but has no invoice number",IF(AND(L23&lt;&gt;"",K23=""),"No tax code",IF(AND(L23&lt;&gt;"",O23=""),"No revenue GL code",""))))))))</f>
        <v/>
      </c>
    </row>
    <row r="24" ht="15" customHeight="1">
      <c r="A24" s="11" t="n">
        <v>46233</v>
      </c>
      <c r="B24" s="12">
        <f>IF(A24="","",EOMONTH(A24,0))</f>
        <v/>
      </c>
      <c r="C24" s="13" t="inlineStr">
        <is>
          <t>INV-10550</t>
        </is>
      </c>
      <c r="D24" s="13" t="inlineStr">
        <is>
          <t>APN</t>
        </is>
      </c>
      <c r="E24" s="13" t="inlineStr">
        <is>
          <t>2026021101</t>
        </is>
      </c>
      <c r="F24" s="14">
        <f>IF(E24="","",IF(COUNTIF(lst_Jobs,E24&amp;"")&gt;0,"OK","CHECK"))</f>
        <v/>
      </c>
      <c r="G24" s="13" t="inlineStr">
        <is>
          <t>APN Quarterly AV Support</t>
        </is>
      </c>
      <c r="H24" s="13" t="inlineStr">
        <is>
          <t>Onsite</t>
        </is>
      </c>
      <c r="I24" s="13" t="inlineStr">
        <is>
          <t>ONSITE</t>
        </is>
      </c>
      <c r="J24" s="13" t="inlineStr">
        <is>
          <t>Contract</t>
        </is>
      </c>
      <c r="K24" s="13" t="inlineStr">
        <is>
          <t>GST 10%</t>
        </is>
      </c>
      <c r="L24" s="15" t="n">
        <v>1670</v>
      </c>
      <c r="M24" s="16">
        <f>IF(L24="","",IF(K24="GST 10%",ROUND(L24*0.1,2),0))</f>
        <v/>
      </c>
      <c r="N24" s="16">
        <f>IF(L24="","",L24+M24)</f>
        <v/>
      </c>
      <c r="O24" s="13" t="inlineStr">
        <is>
          <t>41100</t>
        </is>
      </c>
      <c r="P24" s="13" t="inlineStr">
        <is>
          <t>Y</t>
        </is>
      </c>
      <c r="Q24" s="13" t="inlineStr">
        <is>
          <t>N</t>
        </is>
      </c>
      <c r="R24" s="13" t="inlineStr">
        <is>
          <t>Invoiced</t>
        </is>
      </c>
      <c r="S24" s="13" t="inlineStr">
        <is>
          <t>Invoice 1/2</t>
        </is>
      </c>
      <c r="T24" s="14">
        <f>IF(COUNTA(A24,D24,C24,L24)=0,"",IF(A24="","No date - sits outside every month",IF(E24="","No job number",IF(F24="CHECK","Job number is not in the Xero job list",IF(I24="","No cost centre",IF(AND(P24="Y",C24=""),"Marked posted to Xero but has no invoice number",IF(AND(L24&lt;&gt;"",K24=""),"No tax code",IF(AND(L24&lt;&gt;"",O24=""),"No revenue GL code",""))))))))</f>
        <v/>
      </c>
    </row>
    <row r="25" ht="15" customHeight="1">
      <c r="A25" s="11" t="n">
        <v>46234</v>
      </c>
      <c r="B25" s="12">
        <f>IF(A25="","",EOMONTH(A25,0))</f>
        <v/>
      </c>
      <c r="C25" s="13" t="inlineStr">
        <is>
          <t>INV-10551</t>
        </is>
      </c>
      <c r="D25" s="13" t="inlineStr">
        <is>
          <t>Aware Super</t>
        </is>
      </c>
      <c r="E25" s="13" t="inlineStr">
        <is>
          <t>26022301</t>
        </is>
      </c>
      <c r="F25" s="14">
        <f>IF(E25="","",IF(COUNTIF(lst_Jobs,E25&amp;"")&gt;0,"OK","CHECK"))</f>
        <v/>
      </c>
      <c r="G25" s="13" t="inlineStr">
        <is>
          <t>Aware Super Contract July 2026</t>
        </is>
      </c>
      <c r="H25" s="13" t="inlineStr">
        <is>
          <t>Onsite</t>
        </is>
      </c>
      <c r="I25" s="13" t="inlineStr">
        <is>
          <t>ONSITE</t>
        </is>
      </c>
      <c r="J25" s="13" t="inlineStr">
        <is>
          <t>Contract</t>
        </is>
      </c>
      <c r="K25" s="13" t="inlineStr">
        <is>
          <t>GST 10%</t>
        </is>
      </c>
      <c r="L25" s="15" t="n">
        <v>11000</v>
      </c>
      <c r="M25" s="16">
        <f>IF(L25="","",IF(K25="GST 10%",ROUND(L25*0.1,2),0))</f>
        <v/>
      </c>
      <c r="N25" s="16">
        <f>IF(L25="","",L25+M25)</f>
        <v/>
      </c>
      <c r="O25" s="13" t="inlineStr">
        <is>
          <t>41100</t>
        </is>
      </c>
      <c r="P25" s="13" t="inlineStr">
        <is>
          <t>Y</t>
        </is>
      </c>
      <c r="Q25" s="13" t="inlineStr">
        <is>
          <t>N</t>
        </is>
      </c>
      <c r="R25" s="13" t="inlineStr">
        <is>
          <t>Invoiced</t>
        </is>
      </c>
      <c r="S25" s="13" t="n"/>
      <c r="T25" s="14">
        <f>IF(COUNTA(A25,D25,C25,L25)=0,"",IF(A25="","No date - sits outside every month",IF(E25="","No job number",IF(F25="CHECK","Job number is not in the Xero job list",IF(I25="","No cost centre",IF(AND(P25="Y",C25=""),"Marked posted to Xero but has no invoice number",IF(AND(L25&lt;&gt;"",K25=""),"No tax code",IF(AND(L25&lt;&gt;"",O25=""),"No revenue GL code",""))))))))</f>
        <v/>
      </c>
    </row>
    <row r="26" ht="15" customHeight="1">
      <c r="A26" s="11" t="n">
        <v>46265</v>
      </c>
      <c r="B26" s="12">
        <f>IF(A26="","",EOMONTH(A26,0))</f>
        <v/>
      </c>
      <c r="C26" s="13" t="inlineStr">
        <is>
          <t>INV-10597</t>
        </is>
      </c>
      <c r="D26" s="13" t="inlineStr">
        <is>
          <t>DTTL</t>
        </is>
      </c>
      <c r="E26" s="13" t="inlineStr">
        <is>
          <t>2608502</t>
        </is>
      </c>
      <c r="F26" s="14">
        <f>IF(E26="","",IF(COUNTIF(lst_Jobs,E26&amp;"")&gt;0,"OK","CHECK"))</f>
        <v/>
      </c>
      <c r="G26" s="13" t="inlineStr">
        <is>
          <t>DTTL Additionals August 2026</t>
        </is>
      </c>
      <c r="H26" s="13" t="inlineStr">
        <is>
          <t>Onsite</t>
        </is>
      </c>
      <c r="I26" s="13" t="inlineStr">
        <is>
          <t>ONSITE</t>
        </is>
      </c>
      <c r="J26" s="13" t="inlineStr">
        <is>
          <t>Contract</t>
        </is>
      </c>
      <c r="K26" s="13" t="inlineStr">
        <is>
          <t>GST 10%</t>
        </is>
      </c>
      <c r="L26" s="15" t="n">
        <v>1275</v>
      </c>
      <c r="M26" s="16">
        <f>IF(L26="","",IF(K26="GST 10%",ROUND(L26*0.1,2),0))</f>
        <v/>
      </c>
      <c r="N26" s="16">
        <f>IF(L26="","",L26+M26)</f>
        <v/>
      </c>
      <c r="O26" s="13" t="inlineStr">
        <is>
          <t>41100</t>
        </is>
      </c>
      <c r="P26" s="13" t="inlineStr">
        <is>
          <t>Y</t>
        </is>
      </c>
      <c r="Q26" s="13" t="inlineStr">
        <is>
          <t>N</t>
        </is>
      </c>
      <c r="R26" s="13" t="inlineStr">
        <is>
          <t>Invoiced</t>
        </is>
      </c>
      <c r="S26" s="13" t="inlineStr">
        <is>
          <t>8419.62 differe from invoice amount</t>
        </is>
      </c>
      <c r="T26" s="14">
        <f>IF(COUNTA(A26,D26,C26,L26)=0,"",IF(A26="","No date - sits outside every month",IF(E26="","No job number",IF(F26="CHECK","Job number is not in the Xero job list",IF(I26="","No cost centre",IF(AND(P26="Y",C26=""),"Marked posted to Xero but has no invoice number",IF(AND(L26&lt;&gt;"",K26=""),"No tax code",IF(AND(L26&lt;&gt;"",O26=""),"No revenue GL code",""))))))))</f>
        <v/>
      </c>
    </row>
    <row r="27" ht="15" customHeight="1">
      <c r="A27" s="11" t="n">
        <v>46265</v>
      </c>
      <c r="B27" s="12">
        <f>IF(A27="","",EOMONTH(A27,0))</f>
        <v/>
      </c>
      <c r="C27" s="13" t="inlineStr">
        <is>
          <t>INV-10598</t>
        </is>
      </c>
      <c r="D27" s="13" t="inlineStr">
        <is>
          <t>PWC</t>
        </is>
      </c>
      <c r="E27" s="13" t="inlineStr">
        <is>
          <t>26073102</t>
        </is>
      </c>
      <c r="F27" s="14">
        <f>IF(E27="","",IF(COUNTIF(lst_Jobs,E27&amp;"")&gt;0,"OK","CHECK"))</f>
        <v/>
      </c>
      <c r="G27" s="13" t="inlineStr">
        <is>
          <t>Pool of Hours - National AV/IT Support</t>
        </is>
      </c>
      <c r="H27" s="13" t="inlineStr">
        <is>
          <t>Onsite</t>
        </is>
      </c>
      <c r="I27" s="13" t="inlineStr">
        <is>
          <t>ONSITE</t>
        </is>
      </c>
      <c r="J27" s="13" t="inlineStr">
        <is>
          <t>Contract</t>
        </is>
      </c>
      <c r="K27" s="13" t="inlineStr">
        <is>
          <t>GST 10%</t>
        </is>
      </c>
      <c r="L27" s="15" t="n">
        <v>8500</v>
      </c>
      <c r="M27" s="16">
        <f>IF(L27="","",IF(K27="GST 10%",ROUND(L27*0.1,2),0))</f>
        <v/>
      </c>
      <c r="N27" s="16">
        <f>IF(L27="","",L27+M27)</f>
        <v/>
      </c>
      <c r="O27" s="13" t="inlineStr">
        <is>
          <t>41100</t>
        </is>
      </c>
      <c r="P27" s="13" t="inlineStr">
        <is>
          <t>Y</t>
        </is>
      </c>
      <c r="Q27" s="13" t="inlineStr">
        <is>
          <t>N</t>
        </is>
      </c>
      <c r="R27" s="13" t="inlineStr">
        <is>
          <t>Invoiced</t>
        </is>
      </c>
      <c r="S27" s="13" t="n"/>
      <c r="T27" s="14">
        <f>IF(COUNTA(A27,D27,C27,L27)=0,"",IF(A27="","No date - sits outside every month",IF(E27="","No job number",IF(F27="CHECK","Job number is not in the Xero job list",IF(I27="","No cost centre",IF(AND(P27="Y",C27=""),"Marked posted to Xero but has no invoice number",IF(AND(L27&lt;&gt;"",K27=""),"No tax code",IF(AND(L27&lt;&gt;"",O27=""),"No revenue GL code",""))))))))</f>
        <v/>
      </c>
    </row>
    <row r="28" ht="15" customHeight="1">
      <c r="A28" s="11" t="n">
        <v>46265</v>
      </c>
      <c r="B28" s="12">
        <f>IF(A28="","",EOMONTH(A28,0))</f>
        <v/>
      </c>
      <c r="C28" s="13" t="inlineStr">
        <is>
          <t>INV-10565</t>
        </is>
      </c>
      <c r="D28" s="13" t="inlineStr">
        <is>
          <t>CBA</t>
        </is>
      </c>
      <c r="E28" s="13" t="inlineStr">
        <is>
          <t>1350</t>
        </is>
      </c>
      <c r="F28" s="14">
        <f>IF(E28="","",IF(COUNTIF(lst_Jobs,E28&amp;"")&gt;0,"OK","CHECK"))</f>
        <v/>
      </c>
      <c r="G28" s="13" t="inlineStr">
        <is>
          <t>CBA BNE August 2026</t>
        </is>
      </c>
      <c r="H28" s="13" t="inlineStr">
        <is>
          <t>Onsite</t>
        </is>
      </c>
      <c r="I28" s="13" t="inlineStr">
        <is>
          <t>ONSITE</t>
        </is>
      </c>
      <c r="J28" s="13" t="inlineStr">
        <is>
          <t>Contract</t>
        </is>
      </c>
      <c r="K28" s="13" t="inlineStr">
        <is>
          <t>GST 10%</t>
        </is>
      </c>
      <c r="L28" s="15" t="n">
        <v>8022.5</v>
      </c>
      <c r="M28" s="16">
        <f>IF(L28="","",IF(K28="GST 10%",ROUND(L28*0.1,2),0))</f>
        <v/>
      </c>
      <c r="N28" s="16">
        <f>IF(L28="","",L28+M28)</f>
        <v/>
      </c>
      <c r="O28" s="13" t="inlineStr">
        <is>
          <t>41100</t>
        </is>
      </c>
      <c r="P28" s="13" t="inlineStr">
        <is>
          <t>Y</t>
        </is>
      </c>
      <c r="Q28" s="13" t="inlineStr">
        <is>
          <t>N</t>
        </is>
      </c>
      <c r="R28" s="13" t="inlineStr">
        <is>
          <t>Invoiced</t>
        </is>
      </c>
      <c r="S28" s="13" t="n"/>
      <c r="T28" s="14">
        <f>IF(COUNTA(A28,D28,C28,L28)=0,"",IF(A28="","No date - sits outside every month",IF(E28="","No job number",IF(F28="CHECK","Job number is not in the Xero job list",IF(I28="","No cost centre",IF(AND(P28="Y",C28=""),"Marked posted to Xero but has no invoice number",IF(AND(L28&lt;&gt;"",K28=""),"No tax code",IF(AND(L28&lt;&gt;"",O28=""),"No revenue GL code",""))))))))</f>
        <v/>
      </c>
    </row>
    <row r="29" ht="15" customHeight="1">
      <c r="A29" s="11" t="n"/>
      <c r="B29" s="12">
        <f>IF(A29="","",EOMONTH(A29,0))</f>
        <v/>
      </c>
      <c r="C29" s="13" t="n"/>
      <c r="D29" s="13" t="inlineStr">
        <is>
          <t>CBA</t>
        </is>
      </c>
      <c r="E29" s="13" t="inlineStr">
        <is>
          <t>585/586/1755</t>
        </is>
      </c>
      <c r="F29" s="14">
        <f>IF(E29="","",IF(COUNTIF(lst_Jobs,E29&amp;"")&gt;0,"OK","CHECK"))</f>
        <v/>
      </c>
      <c r="G29" s="13" t="inlineStr">
        <is>
          <t>CBP August 2026</t>
        </is>
      </c>
      <c r="H29" s="13" t="inlineStr">
        <is>
          <t>Onsite</t>
        </is>
      </c>
      <c r="I29" s="13" t="inlineStr">
        <is>
          <t>ONSITE</t>
        </is>
      </c>
      <c r="J29" s="13" t="inlineStr">
        <is>
          <t>Contract</t>
        </is>
      </c>
      <c r="K29" s="13" t="inlineStr">
        <is>
          <t>GST 10%</t>
        </is>
      </c>
      <c r="L29" s="15" t="n"/>
      <c r="M29" s="16">
        <f>IF(L29="","",IF(K29="GST 10%",ROUND(L29*0.1,2),0))</f>
        <v/>
      </c>
      <c r="N29" s="16">
        <f>IF(L29="","",L29+M29)</f>
        <v/>
      </c>
      <c r="O29" s="13" t="inlineStr">
        <is>
          <t>41100</t>
        </is>
      </c>
      <c r="P29" s="13" t="inlineStr">
        <is>
          <t>N</t>
        </is>
      </c>
      <c r="Q29" s="13" t="inlineStr">
        <is>
          <t>N</t>
        </is>
      </c>
      <c r="R29" s="13" t="inlineStr">
        <is>
          <t>To Invoice</t>
        </is>
      </c>
      <c r="S29" s="13" t="n"/>
      <c r="T29" s="14">
        <f>IF(COUNTA(A29,D29,C29,L29)=0,"",IF(A29="","No date - sits outside every month",IF(E29="","No job number",IF(F29="CHECK","Job number is not in the Xero job list",IF(I29="","No cost centre",IF(AND(P29="Y",C29=""),"Marked posted to Xero but has no invoice number",IF(AND(L29&lt;&gt;"",K29=""),"No tax code",IF(AND(L29&lt;&gt;"",O29=""),"No revenue GL code",""))))))))</f>
        <v/>
      </c>
    </row>
    <row r="30" ht="15" customHeight="1">
      <c r="A30" s="11" t="n"/>
      <c r="B30" s="12">
        <f>IF(A30="","",EOMONTH(A30,0))</f>
        <v/>
      </c>
      <c r="C30" s="13" t="n"/>
      <c r="D30" s="13" t="inlineStr">
        <is>
          <t>CBA</t>
        </is>
      </c>
      <c r="E30" s="13" t="inlineStr">
        <is>
          <t>587</t>
        </is>
      </c>
      <c r="F30" s="14">
        <f>IF(E30="","",IF(COUNTIF(lst_Jobs,E30&amp;"")&gt;0,"OK","CHECK"))</f>
        <v/>
      </c>
      <c r="G30" s="13" t="inlineStr">
        <is>
          <t>CBS August 2026</t>
        </is>
      </c>
      <c r="H30" s="13" t="inlineStr">
        <is>
          <t>Onsite</t>
        </is>
      </c>
      <c r="I30" s="13" t="inlineStr">
        <is>
          <t>ONSITE</t>
        </is>
      </c>
      <c r="J30" s="13" t="inlineStr">
        <is>
          <t>Contract</t>
        </is>
      </c>
      <c r="K30" s="13" t="inlineStr">
        <is>
          <t>GST 10%</t>
        </is>
      </c>
      <c r="L30" s="15" t="n"/>
      <c r="M30" s="16">
        <f>IF(L30="","",IF(K30="GST 10%",ROUND(L30*0.1,2),0))</f>
        <v/>
      </c>
      <c r="N30" s="16">
        <f>IF(L30="","",L30+M30)</f>
        <v/>
      </c>
      <c r="O30" s="13" t="inlineStr">
        <is>
          <t>41100</t>
        </is>
      </c>
      <c r="P30" s="13" t="inlineStr">
        <is>
          <t>N</t>
        </is>
      </c>
      <c r="Q30" s="13" t="inlineStr">
        <is>
          <t>N</t>
        </is>
      </c>
      <c r="R30" s="13" t="inlineStr">
        <is>
          <t>To Invoice</t>
        </is>
      </c>
      <c r="S30" s="13" t="n"/>
      <c r="T30" s="14">
        <f>IF(COUNTA(A30,D30,C30,L30)=0,"",IF(A30="","No date - sits outside every month",IF(E30="","No job number",IF(F30="CHECK","Job number is not in the Xero job list",IF(I30="","No cost centre",IF(AND(P30="Y",C30=""),"Marked posted to Xero but has no invoice number",IF(AND(L30&lt;&gt;"",K30=""),"No tax code",IF(AND(L30&lt;&gt;"",O30=""),"No revenue GL code",""))))))))</f>
        <v/>
      </c>
    </row>
    <row r="31" ht="15" customHeight="1">
      <c r="A31" s="11" t="n">
        <v>46265</v>
      </c>
      <c r="B31" s="12">
        <f>IF(A31="","",EOMONTH(A31,0))</f>
        <v/>
      </c>
      <c r="C31" s="13" t="inlineStr">
        <is>
          <t>INV-10569</t>
        </is>
      </c>
      <c r="D31" s="13" t="inlineStr">
        <is>
          <t>DTTL</t>
        </is>
      </c>
      <c r="E31" s="13" t="inlineStr">
        <is>
          <t>2846/1401/725/1400/1530/1862/2402/2849/974</t>
        </is>
      </c>
      <c r="F31" s="14">
        <f>IF(E31="","",IF(COUNTIF(lst_Jobs,E31&amp;"")&gt;0,"OK","CHECK"))</f>
        <v/>
      </c>
      <c r="G31" s="13" t="inlineStr">
        <is>
          <t>DTTL Contract August 2026</t>
        </is>
      </c>
      <c r="H31" s="13" t="inlineStr">
        <is>
          <t>Onsite</t>
        </is>
      </c>
      <c r="I31" s="13" t="inlineStr">
        <is>
          <t>ONSITE</t>
        </is>
      </c>
      <c r="J31" s="13" t="inlineStr">
        <is>
          <t>Contract</t>
        </is>
      </c>
      <c r="K31" s="13" t="inlineStr">
        <is>
          <t>GST 10%</t>
        </is>
      </c>
      <c r="L31" s="15" t="n">
        <v>103625.44</v>
      </c>
      <c r="M31" s="16">
        <f>IF(L31="","",IF(K31="GST 10%",ROUND(L31*0.1,2),0))</f>
        <v/>
      </c>
      <c r="N31" s="16">
        <f>IF(L31="","",L31+M31)</f>
        <v/>
      </c>
      <c r="O31" s="13" t="inlineStr">
        <is>
          <t>41100</t>
        </is>
      </c>
      <c r="P31" s="13" t="inlineStr">
        <is>
          <t>Y</t>
        </is>
      </c>
      <c r="Q31" s="13" t="inlineStr">
        <is>
          <t>N</t>
        </is>
      </c>
      <c r="R31" s="13" t="inlineStr">
        <is>
          <t>Invoiced</t>
        </is>
      </c>
      <c r="S31" s="13" t="n"/>
      <c r="T31" s="14">
        <f>IF(COUNTA(A31,D31,C31,L31)=0,"",IF(A31="","No date - sits outside every month",IF(E31="","No job number",IF(F31="CHECK","Job number is not in the Xero job list",IF(I31="","No cost centre",IF(AND(P31="Y",C31=""),"Marked posted to Xero but has no invoice number",IF(AND(L31&lt;&gt;"",K31=""),"No tax code",IF(AND(L31&lt;&gt;"",O31=""),"No revenue GL code",""))))))))</f>
        <v/>
      </c>
    </row>
    <row r="32" ht="15" customHeight="1">
      <c r="A32" s="11" t="n">
        <v>46265</v>
      </c>
      <c r="B32" s="12">
        <f>IF(A32="","",EOMONTH(A32,0))</f>
        <v/>
      </c>
      <c r="C32" s="13" t="inlineStr">
        <is>
          <t>INV-10570</t>
        </is>
      </c>
      <c r="D32" s="13" t="inlineStr">
        <is>
          <t>BW</t>
        </is>
      </c>
      <c r="E32" s="13" t="inlineStr">
        <is>
          <t>732/1144</t>
        </is>
      </c>
      <c r="F32" s="14">
        <f>IF(E32="","",IF(COUNTIF(lst_Jobs,E32&amp;"")&gt;0,"OK","CHECK"))</f>
        <v/>
      </c>
      <c r="G32" s="13" t="inlineStr">
        <is>
          <t>BW Contract August 2026</t>
        </is>
      </c>
      <c r="H32" s="13" t="inlineStr">
        <is>
          <t>Onsite</t>
        </is>
      </c>
      <c r="I32" s="13" t="inlineStr">
        <is>
          <t>ONSITE</t>
        </is>
      </c>
      <c r="J32" s="13" t="inlineStr">
        <is>
          <t>Contract</t>
        </is>
      </c>
      <c r="K32" s="13" t="inlineStr">
        <is>
          <t>GST 10%</t>
        </is>
      </c>
      <c r="L32" s="15" t="n">
        <v>15113.75</v>
      </c>
      <c r="M32" s="16">
        <f>IF(L32="","",IF(K32="GST 10%",ROUND(L32*0.1,2),0))</f>
        <v/>
      </c>
      <c r="N32" s="16">
        <f>IF(L32="","",L32+M32)</f>
        <v/>
      </c>
      <c r="O32" s="13" t="inlineStr">
        <is>
          <t>41100</t>
        </is>
      </c>
      <c r="P32" s="13" t="inlineStr">
        <is>
          <t>Y</t>
        </is>
      </c>
      <c r="Q32" s="13" t="inlineStr">
        <is>
          <t>N</t>
        </is>
      </c>
      <c r="R32" s="13" t="inlineStr">
        <is>
          <t>Invoiced</t>
        </is>
      </c>
      <c r="S32" s="13" t="n"/>
      <c r="T32" s="14">
        <f>IF(COUNTA(A32,D32,C32,L32)=0,"",IF(A32="","No date - sits outside every month",IF(E32="","No job number",IF(F32="CHECK","Job number is not in the Xero job list",IF(I32="","No cost centre",IF(AND(P32="Y",C32=""),"Marked posted to Xero but has no invoice number",IF(AND(L32&lt;&gt;"",K32=""),"No tax code",IF(AND(L32&lt;&gt;"",O32=""),"No revenue GL code",""))))))))</f>
        <v/>
      </c>
    </row>
    <row r="33" ht="15" customHeight="1">
      <c r="A33" s="11" t="n">
        <v>46265</v>
      </c>
      <c r="B33" s="12">
        <f>IF(A33="","",EOMONTH(A33,0))</f>
        <v/>
      </c>
      <c r="C33" s="13" t="inlineStr">
        <is>
          <t>INV-10571</t>
        </is>
      </c>
      <c r="D33" s="13" t="inlineStr">
        <is>
          <t>BW</t>
        </is>
      </c>
      <c r="E33" s="13" t="inlineStr">
        <is>
          <t>2192</t>
        </is>
      </c>
      <c r="F33" s="14">
        <f>IF(E33="","",IF(COUNTIF(lst_Jobs,E33&amp;"")&gt;0,"OK","CHECK"))</f>
        <v/>
      </c>
      <c r="G33" s="13" t="inlineStr">
        <is>
          <t>BW Additionals August 2026</t>
        </is>
      </c>
      <c r="H33" s="13" t="inlineStr">
        <is>
          <t>Onsite</t>
        </is>
      </c>
      <c r="I33" s="13" t="inlineStr">
        <is>
          <t>ONSITE</t>
        </is>
      </c>
      <c r="J33" s="13" t="inlineStr">
        <is>
          <t>Contract</t>
        </is>
      </c>
      <c r="K33" s="13" t="inlineStr">
        <is>
          <t>GST 10%</t>
        </is>
      </c>
      <c r="L33" s="15" t="n">
        <v>2080</v>
      </c>
      <c r="M33" s="16">
        <f>IF(L33="","",IF(K33="GST 10%",ROUND(L33*0.1,2),0))</f>
        <v/>
      </c>
      <c r="N33" s="16">
        <f>IF(L33="","",L33+M33)</f>
        <v/>
      </c>
      <c r="O33" s="13" t="inlineStr">
        <is>
          <t>41100</t>
        </is>
      </c>
      <c r="P33" s="13" t="inlineStr">
        <is>
          <t>Y</t>
        </is>
      </c>
      <c r="Q33" s="13" t="inlineStr">
        <is>
          <t>N</t>
        </is>
      </c>
      <c r="R33" s="13" t="inlineStr">
        <is>
          <t>Invoiced</t>
        </is>
      </c>
      <c r="S33" s="13" t="n"/>
      <c r="T33" s="14">
        <f>IF(COUNTA(A33,D33,C33,L33)=0,"",IF(A33="","No date - sits outside every month",IF(E33="","No job number",IF(F33="CHECK","Job number is not in the Xero job list",IF(I33="","No cost centre",IF(AND(P33="Y",C33=""),"Marked posted to Xero but has no invoice number",IF(AND(L33&lt;&gt;"",K33=""),"No tax code",IF(AND(L33&lt;&gt;"",O33=""),"No revenue GL code",""))))))))</f>
        <v/>
      </c>
    </row>
    <row r="34" ht="15" customHeight="1">
      <c r="A34" s="11" t="n">
        <v>46265</v>
      </c>
      <c r="B34" s="12">
        <f>IF(A34="","",EOMONTH(A34,0))</f>
        <v/>
      </c>
      <c r="C34" s="13" t="inlineStr">
        <is>
          <t>INV-10572</t>
        </is>
      </c>
      <c r="D34" s="13" t="inlineStr">
        <is>
          <t>PWC</t>
        </is>
      </c>
      <c r="E34" s="13" t="inlineStr">
        <is>
          <t>2488</t>
        </is>
      </c>
      <c r="F34" s="14">
        <f>IF(E34="","",IF(COUNTIF(lst_Jobs,E34&amp;"")&gt;0,"OK","CHECK"))</f>
        <v/>
      </c>
      <c r="G34" s="13" t="inlineStr">
        <is>
          <t>PWC Brisbane August 2026</t>
        </is>
      </c>
      <c r="H34" s="13" t="inlineStr">
        <is>
          <t>Onsite</t>
        </is>
      </c>
      <c r="I34" s="13" t="inlineStr">
        <is>
          <t>ONSITE</t>
        </is>
      </c>
      <c r="J34" s="13" t="inlineStr">
        <is>
          <t>Contract</t>
        </is>
      </c>
      <c r="K34" s="13" t="inlineStr">
        <is>
          <t>GST 10%</t>
        </is>
      </c>
      <c r="L34" s="15" t="n">
        <v>7150</v>
      </c>
      <c r="M34" s="16">
        <f>IF(L34="","",IF(K34="GST 10%",ROUND(L34*0.1,2),0))</f>
        <v/>
      </c>
      <c r="N34" s="16">
        <f>IF(L34="","",L34+M34)</f>
        <v/>
      </c>
      <c r="O34" s="13" t="inlineStr">
        <is>
          <t>41100</t>
        </is>
      </c>
      <c r="P34" s="13" t="inlineStr">
        <is>
          <t>Y</t>
        </is>
      </c>
      <c r="Q34" s="13" t="inlineStr">
        <is>
          <t>N</t>
        </is>
      </c>
      <c r="R34" s="13" t="inlineStr">
        <is>
          <t>Invoiced</t>
        </is>
      </c>
      <c r="S34" s="13" t="n"/>
      <c r="T34" s="14">
        <f>IF(COUNTA(A34,D34,C34,L34)=0,"",IF(A34="","No date - sits outside every month",IF(E34="","No job number",IF(F34="CHECK","Job number is not in the Xero job list",IF(I34="","No cost centre",IF(AND(P34="Y",C34=""),"Marked posted to Xero but has no invoice number",IF(AND(L34&lt;&gt;"",K34=""),"No tax code",IF(AND(L34&lt;&gt;"",O34=""),"No revenue GL code",""))))))))</f>
        <v/>
      </c>
    </row>
    <row r="35" ht="15" customHeight="1">
      <c r="A35" s="11" t="n">
        <v>46265</v>
      </c>
      <c r="B35" s="12">
        <f>IF(A35="","",EOMONTH(A35,0))</f>
        <v/>
      </c>
      <c r="C35" s="13" t="inlineStr">
        <is>
          <t>INV-10573</t>
        </is>
      </c>
      <c r="D35" s="13" t="inlineStr">
        <is>
          <t>Gen-E</t>
        </is>
      </c>
      <c r="E35" s="13" t="inlineStr">
        <is>
          <t>26021602</t>
        </is>
      </c>
      <c r="F35" s="14">
        <f>IF(E35="","",IF(COUNTIF(lst_Jobs,E35&amp;"")&gt;0,"OK","CHECK"))</f>
        <v/>
      </c>
      <c r="G35" s="13" t="inlineStr">
        <is>
          <t>Gen-E ABS August 2026</t>
        </is>
      </c>
      <c r="H35" s="13" t="inlineStr">
        <is>
          <t>Onsite</t>
        </is>
      </c>
      <c r="I35" s="13" t="inlineStr">
        <is>
          <t>ONSITE</t>
        </is>
      </c>
      <c r="J35" s="13" t="inlineStr">
        <is>
          <t>Contract</t>
        </is>
      </c>
      <c r="K35" s="13" t="inlineStr">
        <is>
          <t>GST 10%</t>
        </is>
      </c>
      <c r="L35" s="15" t="n">
        <v>12388.8</v>
      </c>
      <c r="M35" s="16">
        <f>IF(L35="","",IF(K35="GST 10%",ROUND(L35*0.1,2),0))</f>
        <v/>
      </c>
      <c r="N35" s="16">
        <f>IF(L35="","",L35+M35)</f>
        <v/>
      </c>
      <c r="O35" s="13" t="inlineStr">
        <is>
          <t>41100</t>
        </is>
      </c>
      <c r="P35" s="13" t="inlineStr">
        <is>
          <t>Y</t>
        </is>
      </c>
      <c r="Q35" s="13" t="inlineStr">
        <is>
          <t>N</t>
        </is>
      </c>
      <c r="R35" s="13" t="inlineStr">
        <is>
          <t>Invoiced</t>
        </is>
      </c>
      <c r="S35" s="13" t="n"/>
      <c r="T35" s="14">
        <f>IF(COUNTA(A35,D35,C35,L35)=0,"",IF(A35="","No date - sits outside every month",IF(E35="","No job number",IF(F35="CHECK","Job number is not in the Xero job list",IF(I35="","No cost centre",IF(AND(P35="Y",C35=""),"Marked posted to Xero but has no invoice number",IF(AND(L35&lt;&gt;"",K35=""),"No tax code",IF(AND(L35&lt;&gt;"",O35=""),"No revenue GL code",""))))))))</f>
        <v/>
      </c>
    </row>
    <row r="36" ht="15" customHeight="1">
      <c r="A36" s="11" t="n">
        <v>46265</v>
      </c>
      <c r="B36" s="12">
        <f>IF(A36="","",EOMONTH(A36,0))</f>
        <v/>
      </c>
      <c r="C36" s="13" t="inlineStr">
        <is>
          <t>INV-10582</t>
        </is>
      </c>
      <c r="D36" s="13" t="inlineStr">
        <is>
          <t>CBA</t>
        </is>
      </c>
      <c r="E36" s="13" t="inlineStr">
        <is>
          <t>26043001</t>
        </is>
      </c>
      <c r="F36" s="14">
        <f>IF(E36="","",IF(COUNTIF(lst_Jobs,E36&amp;"")&gt;0,"OK","CHECK"))</f>
        <v/>
      </c>
      <c r="G36" s="13" t="inlineStr">
        <is>
          <t>CBA Mel August 2026</t>
        </is>
      </c>
      <c r="H36" s="13" t="inlineStr">
        <is>
          <t>Onsite</t>
        </is>
      </c>
      <c r="I36" s="13" t="inlineStr">
        <is>
          <t>ONSITE</t>
        </is>
      </c>
      <c r="J36" s="13" t="inlineStr">
        <is>
          <t>Contract</t>
        </is>
      </c>
      <c r="K36" s="13" t="inlineStr">
        <is>
          <t>GST 10%</t>
        </is>
      </c>
      <c r="L36" s="15" t="n">
        <v>11960</v>
      </c>
      <c r="M36" s="16">
        <f>IF(L36="","",IF(K36="GST 10%",ROUND(L36*0.1,2),0))</f>
        <v/>
      </c>
      <c r="N36" s="16">
        <f>IF(L36="","",L36+M36)</f>
        <v/>
      </c>
      <c r="O36" s="13" t="inlineStr">
        <is>
          <t>41100</t>
        </is>
      </c>
      <c r="P36" s="13" t="inlineStr">
        <is>
          <t>Y</t>
        </is>
      </c>
      <c r="Q36" s="13" t="inlineStr">
        <is>
          <t>N</t>
        </is>
      </c>
      <c r="R36" s="13" t="inlineStr">
        <is>
          <t>Invoiced</t>
        </is>
      </c>
      <c r="S36" s="13" t="n"/>
      <c r="T36" s="14">
        <f>IF(COUNTA(A36,D36,C36,L36)=0,"",IF(A36="","No date - sits outside every month",IF(E36="","No job number",IF(F36="CHECK","Job number is not in the Xero job list",IF(I36="","No cost centre",IF(AND(P36="Y",C36=""),"Marked posted to Xero but has no invoice number",IF(AND(L36&lt;&gt;"",K36=""),"No tax code",IF(AND(L36&lt;&gt;"",O36=""),"No revenue GL code",""))))))))</f>
        <v/>
      </c>
    </row>
    <row r="37" ht="15" customHeight="1">
      <c r="A37" s="11" t="n">
        <v>46265</v>
      </c>
      <c r="B37" s="12">
        <f>IF(A37="","",EOMONTH(A37,0))</f>
        <v/>
      </c>
      <c r="C37" s="13" t="inlineStr">
        <is>
          <t>INV-10615</t>
        </is>
      </c>
      <c r="D37" s="13" t="inlineStr">
        <is>
          <t>Aware Super</t>
        </is>
      </c>
      <c r="E37" s="13" t="inlineStr">
        <is>
          <t>26022301</t>
        </is>
      </c>
      <c r="F37" s="14">
        <f>IF(E37="","",IF(COUNTIF(lst_Jobs,E37&amp;"")&gt;0,"OK","CHECK"))</f>
        <v/>
      </c>
      <c r="G37" s="13" t="inlineStr">
        <is>
          <t>Aware Super Contract August 2026</t>
        </is>
      </c>
      <c r="H37" s="13" t="inlineStr">
        <is>
          <t>Onsite</t>
        </is>
      </c>
      <c r="I37" s="13" t="inlineStr">
        <is>
          <t>ONSITE</t>
        </is>
      </c>
      <c r="J37" s="13" t="inlineStr">
        <is>
          <t>Contract</t>
        </is>
      </c>
      <c r="K37" s="13" t="inlineStr">
        <is>
          <t>GST 10%</t>
        </is>
      </c>
      <c r="L37" s="15" t="n">
        <v>11000</v>
      </c>
      <c r="M37" s="16">
        <f>IF(L37="","",IF(K37="GST 10%",ROUND(L37*0.1,2),0))</f>
        <v/>
      </c>
      <c r="N37" s="16">
        <f>IF(L37="","",L37+M37)</f>
        <v/>
      </c>
      <c r="O37" s="13" t="inlineStr">
        <is>
          <t>41100</t>
        </is>
      </c>
      <c r="P37" s="13" t="inlineStr">
        <is>
          <t>Y</t>
        </is>
      </c>
      <c r="Q37" s="13" t="inlineStr">
        <is>
          <t>N</t>
        </is>
      </c>
      <c r="R37" s="13" t="inlineStr">
        <is>
          <t>Invoiced</t>
        </is>
      </c>
      <c r="S37" s="13" t="inlineStr">
        <is>
          <t>Split TBC - Xero split this with production ($850)</t>
        </is>
      </c>
      <c r="T37" s="14">
        <f>IF(COUNTA(A37,D37,C37,L37)=0,"",IF(A37="","No date - sits outside every month",IF(E37="","No job number",IF(F37="CHECK","Job number is not in the Xero job list",IF(I37="","No cost centre",IF(AND(P37="Y",C37=""),"Marked posted to Xero but has no invoice number",IF(AND(L37&lt;&gt;"",K37=""),"No tax code",IF(AND(L37&lt;&gt;"",O37=""),"No revenue GL code",""))))))))</f>
        <v/>
      </c>
    </row>
    <row r="38" ht="15" customHeight="1">
      <c r="A38" s="11" t="n">
        <v>46265</v>
      </c>
      <c r="B38" s="12">
        <f>IF(A38="","",EOMONTH(A38,0))</f>
        <v/>
      </c>
      <c r="C38" s="13" t="inlineStr">
        <is>
          <t>INV-10585</t>
        </is>
      </c>
      <c r="D38" s="13" t="inlineStr">
        <is>
          <t>PWC</t>
        </is>
      </c>
      <c r="E38" s="13" t="inlineStr">
        <is>
          <t>25101301B</t>
        </is>
      </c>
      <c r="F38" s="14">
        <f>IF(E38="","",IF(COUNTIF(lst_Jobs,E38&amp;"")&gt;0,"OK","CHECK"))</f>
        <v/>
      </c>
      <c r="G38" s="13" t="inlineStr">
        <is>
          <t>PWC Sydney IT August 2026</t>
        </is>
      </c>
      <c r="H38" s="13" t="inlineStr">
        <is>
          <t>Onsite</t>
        </is>
      </c>
      <c r="I38" s="13" t="inlineStr">
        <is>
          <t>ONSITE</t>
        </is>
      </c>
      <c r="J38" s="13" t="inlineStr">
        <is>
          <t>Contract</t>
        </is>
      </c>
      <c r="K38" s="13" t="inlineStr">
        <is>
          <t>GST 10%</t>
        </is>
      </c>
      <c r="L38" s="15" t="n">
        <v>11907</v>
      </c>
      <c r="M38" s="16">
        <f>IF(L38="","",IF(K38="GST 10%",ROUND(L38*0.1,2),0))</f>
        <v/>
      </c>
      <c r="N38" s="16">
        <f>IF(L38="","",L38+M38)</f>
        <v/>
      </c>
      <c r="O38" s="13" t="inlineStr">
        <is>
          <t>41100</t>
        </is>
      </c>
      <c r="P38" s="13" t="inlineStr">
        <is>
          <t>Y</t>
        </is>
      </c>
      <c r="Q38" s="13" t="inlineStr">
        <is>
          <t>N</t>
        </is>
      </c>
      <c r="R38" s="13" t="inlineStr">
        <is>
          <t>Invoiced</t>
        </is>
      </c>
      <c r="S38" s="13" t="n"/>
      <c r="T38" s="14">
        <f>IF(COUNTA(A38,D38,C38,L38)=0,"",IF(A38="","No date - sits outside every month",IF(E38="","No job number",IF(F38="CHECK","Job number is not in the Xero job list",IF(I38="","No cost centre",IF(AND(P38="Y",C38=""),"Marked posted to Xero but has no invoice number",IF(AND(L38&lt;&gt;"",K38=""),"No tax code",IF(AND(L38&lt;&gt;"",O38=""),"No revenue GL code",""))))))))</f>
        <v/>
      </c>
    </row>
    <row r="39" ht="15" customHeight="1">
      <c r="A39" s="11" t="n"/>
      <c r="B39" s="12">
        <f>IF(A39="","",EOMONTH(A39,0))</f>
        <v/>
      </c>
      <c r="C39" s="13" t="n"/>
      <c r="D39" s="13" t="inlineStr">
        <is>
          <t>TWG</t>
        </is>
      </c>
      <c r="E39" s="13" t="inlineStr">
        <is>
          <t>26081301</t>
        </is>
      </c>
      <c r="F39" s="14">
        <f>IF(E39="","",IF(COUNTIF(lst_Jobs,E39&amp;"")&gt;0,"OK","CHECK"))</f>
        <v/>
      </c>
      <c r="G39" s="13" t="inlineStr">
        <is>
          <t>EY Support Technician BNE</t>
        </is>
      </c>
      <c r="H39" s="13" t="inlineStr">
        <is>
          <t>Onsite</t>
        </is>
      </c>
      <c r="I39" s="13" t="inlineStr">
        <is>
          <t>ONSITE</t>
        </is>
      </c>
      <c r="J39" s="13" t="inlineStr">
        <is>
          <t>Contract</t>
        </is>
      </c>
      <c r="K39" s="13" t="inlineStr">
        <is>
          <t>GST 10%</t>
        </is>
      </c>
      <c r="L39" s="15" t="n">
        <v>3740</v>
      </c>
      <c r="M39" s="16">
        <f>IF(L39="","",IF(K39="GST 10%",ROUND(L39*0.1,2),0))</f>
        <v/>
      </c>
      <c r="N39" s="16">
        <f>IF(L39="","",L39+M39)</f>
        <v/>
      </c>
      <c r="O39" s="13" t="inlineStr">
        <is>
          <t>41100</t>
        </is>
      </c>
      <c r="P39" s="13" t="inlineStr">
        <is>
          <t>N</t>
        </is>
      </c>
      <c r="Q39" s="13" t="inlineStr">
        <is>
          <t>N</t>
        </is>
      </c>
      <c r="R39" s="13" t="inlineStr">
        <is>
          <t>To Invoice</t>
        </is>
      </c>
      <c r="S39" s="13" t="inlineStr">
        <is>
          <t>November</t>
        </is>
      </c>
      <c r="T39" s="14">
        <f>IF(COUNTA(A39,D39,C39,L39)=0,"",IF(A39="","No date - sits outside every month",IF(E39="","No job number",IF(F39="CHECK","Job number is not in the Xero job list",IF(I39="","No cost centre",IF(AND(P39="Y",C39=""),"Marked posted to Xero but has no invoice number",IF(AND(L39&lt;&gt;"",K39=""),"No tax code",IF(AND(L39&lt;&gt;"",O39=""),"No revenue GL code",""))))))))</f>
        <v/>
      </c>
    </row>
    <row r="40" ht="15" customHeight="1">
      <c r="A40" s="11" t="n">
        <v>46265</v>
      </c>
      <c r="B40" s="12">
        <f>IF(A40="","",EOMONTH(A40,0))</f>
        <v/>
      </c>
      <c r="C40" s="13" t="inlineStr">
        <is>
          <t>INV-10603</t>
        </is>
      </c>
      <c r="D40" s="13" t="inlineStr">
        <is>
          <t>CBA</t>
        </is>
      </c>
      <c r="E40" s="13" t="inlineStr">
        <is>
          <t>1668</t>
        </is>
      </c>
      <c r="F40" s="14">
        <f>IF(E40="","",IF(COUNTIF(lst_Jobs,E40&amp;"")&gt;0,"OK","CHECK"))</f>
        <v/>
      </c>
      <c r="G40" s="13" t="inlineStr">
        <is>
          <t>85720001CBPSCSJUN27 AFTERHOUR</t>
        </is>
      </c>
      <c r="H40" s="13" t="inlineStr">
        <is>
          <t>Onsite</t>
        </is>
      </c>
      <c r="I40" s="13" t="inlineStr">
        <is>
          <t>ONSITE</t>
        </is>
      </c>
      <c r="J40" s="13" t="inlineStr">
        <is>
          <t>Contract</t>
        </is>
      </c>
      <c r="K40" s="13" t="inlineStr">
        <is>
          <t>GST 10%</t>
        </is>
      </c>
      <c r="L40" s="15" t="n">
        <v>775</v>
      </c>
      <c r="M40" s="16">
        <f>IF(L40="","",IF(K40="GST 10%",ROUND(L40*0.1,2),0))</f>
        <v/>
      </c>
      <c r="N40" s="16">
        <f>IF(L40="","",L40+M40)</f>
        <v/>
      </c>
      <c r="O40" s="13" t="inlineStr">
        <is>
          <t>41100</t>
        </is>
      </c>
      <c r="P40" s="13" t="inlineStr">
        <is>
          <t>Y</t>
        </is>
      </c>
      <c r="Q40" s="13" t="inlineStr">
        <is>
          <t>N</t>
        </is>
      </c>
      <c r="R40" s="13" t="inlineStr">
        <is>
          <t>Invoiced</t>
        </is>
      </c>
      <c r="S40" s="13" t="n"/>
      <c r="T40" s="14">
        <f>IF(COUNTA(A40,D40,C40,L40)=0,"",IF(A40="","No date - sits outside every month",IF(E40="","No job number",IF(F40="CHECK","Job number is not in the Xero job list",IF(I40="","No cost centre",IF(AND(P40="Y",C40=""),"Marked posted to Xero but has no invoice number",IF(AND(L40&lt;&gt;"",K40=""),"No tax code",IF(AND(L40&lt;&gt;"",O40=""),"No revenue GL code",""))))))))</f>
        <v/>
      </c>
    </row>
    <row r="41" ht="15" customHeight="1">
      <c r="A41" s="11" t="n">
        <v>46265</v>
      </c>
      <c r="B41" s="12">
        <f>IF(A41="","",EOMONTH(A41,0))</f>
        <v/>
      </c>
      <c r="C41" s="13" t="inlineStr">
        <is>
          <t>INV-10604</t>
        </is>
      </c>
      <c r="D41" s="13" t="inlineStr">
        <is>
          <t>CBA</t>
        </is>
      </c>
      <c r="E41" s="13" t="inlineStr">
        <is>
          <t>1668</t>
        </is>
      </c>
      <c r="F41" s="14">
        <f>IF(E41="","",IF(COUNTIF(lst_Jobs,E41&amp;"")&gt;0,"OK","CHECK"))</f>
        <v/>
      </c>
      <c r="G41" s="13" t="inlineStr">
        <is>
          <t>85720001CBPSCSJUN27 DEDICATED TECH</t>
        </is>
      </c>
      <c r="H41" s="13" t="inlineStr">
        <is>
          <t>Onsite</t>
        </is>
      </c>
      <c r="I41" s="13" t="inlineStr">
        <is>
          <t>ONSITE</t>
        </is>
      </c>
      <c r="J41" s="13" t="inlineStr">
        <is>
          <t>Contract</t>
        </is>
      </c>
      <c r="K41" s="13" t="inlineStr">
        <is>
          <t>GST 10%</t>
        </is>
      </c>
      <c r="L41" s="15" t="n">
        <v>510</v>
      </c>
      <c r="M41" s="16">
        <f>IF(L41="","",IF(K41="GST 10%",ROUND(L41*0.1,2),0))</f>
        <v/>
      </c>
      <c r="N41" s="16">
        <f>IF(L41="","",L41+M41)</f>
        <v/>
      </c>
      <c r="O41" s="13" t="inlineStr">
        <is>
          <t>41100</t>
        </is>
      </c>
      <c r="P41" s="13" t="inlineStr">
        <is>
          <t>Y</t>
        </is>
      </c>
      <c r="Q41" s="13" t="inlineStr">
        <is>
          <t>N</t>
        </is>
      </c>
      <c r="R41" s="13" t="inlineStr">
        <is>
          <t>Invoiced</t>
        </is>
      </c>
      <c r="S41" s="13" t="n"/>
      <c r="T41" s="14">
        <f>IF(COUNTA(A41,D41,C41,L41)=0,"",IF(A41="","No date - sits outside every month",IF(E41="","No job number",IF(F41="CHECK","Job number is not in the Xero job list",IF(I41="","No cost centre",IF(AND(P41="Y",C41=""),"Marked posted to Xero but has no invoice number",IF(AND(L41&lt;&gt;"",K41=""),"No tax code",IF(AND(L41&lt;&gt;"",O41=""),"No revenue GL code",""))))))))</f>
        <v/>
      </c>
    </row>
    <row r="42" ht="15" customHeight="1">
      <c r="A42" s="11" t="n">
        <v>46265</v>
      </c>
      <c r="B42" s="12">
        <f>IF(A42="","",EOMONTH(A42,0))</f>
        <v/>
      </c>
      <c r="C42" s="13" t="inlineStr">
        <is>
          <t>INV-10605</t>
        </is>
      </c>
      <c r="D42" s="13" t="inlineStr">
        <is>
          <t>CBA</t>
        </is>
      </c>
      <c r="E42" s="13" t="inlineStr">
        <is>
          <t>1668</t>
        </is>
      </c>
      <c r="F42" s="14">
        <f>IF(E42="","",IF(COUNTIF(lst_Jobs,E42&amp;"")&gt;0,"OK","CHECK"))</f>
        <v/>
      </c>
      <c r="G42" s="13" t="inlineStr">
        <is>
          <t>85720001CBPSCSJUN27 DEDICATED TECH</t>
        </is>
      </c>
      <c r="H42" s="13" t="inlineStr">
        <is>
          <t>Onsite</t>
        </is>
      </c>
      <c r="I42" s="13" t="inlineStr">
        <is>
          <t>ONSITE</t>
        </is>
      </c>
      <c r="J42" s="13" t="inlineStr">
        <is>
          <t>Contract</t>
        </is>
      </c>
      <c r="K42" s="13" t="inlineStr">
        <is>
          <t>GST 10%</t>
        </is>
      </c>
      <c r="L42" s="15" t="n">
        <v>340</v>
      </c>
      <c r="M42" s="16">
        <f>IF(L42="","",IF(K42="GST 10%",ROUND(L42*0.1,2),0))</f>
        <v/>
      </c>
      <c r="N42" s="16">
        <f>IF(L42="","",L42+M42)</f>
        <v/>
      </c>
      <c r="O42" s="13" t="inlineStr">
        <is>
          <t>41100</t>
        </is>
      </c>
      <c r="P42" s="13" t="inlineStr">
        <is>
          <t>Y</t>
        </is>
      </c>
      <c r="Q42" s="13" t="inlineStr">
        <is>
          <t>N</t>
        </is>
      </c>
      <c r="R42" s="13" t="inlineStr">
        <is>
          <t>Invoiced</t>
        </is>
      </c>
      <c r="S42" s="13" t="n"/>
      <c r="T42" s="14">
        <f>IF(COUNTA(A42,D42,C42,L42)=0,"",IF(A42="","No date - sits outside every month",IF(E42="","No job number",IF(F42="CHECK","Job number is not in the Xero job list",IF(I42="","No cost centre",IF(AND(P42="Y",C42=""),"Marked posted to Xero but has no invoice number",IF(AND(L42&lt;&gt;"",K42=""),"No tax code",IF(AND(L42&lt;&gt;"",O42=""),"No revenue GL code",""))))))))</f>
        <v/>
      </c>
    </row>
    <row r="43" ht="15" customHeight="1">
      <c r="A43" s="11" t="n">
        <v>46265</v>
      </c>
      <c r="B43" s="12">
        <f>IF(A43="","",EOMONTH(A43,0))</f>
        <v/>
      </c>
      <c r="C43" s="13" t="inlineStr">
        <is>
          <t>INV-10606</t>
        </is>
      </c>
      <c r="D43" s="13" t="inlineStr">
        <is>
          <t>CBA</t>
        </is>
      </c>
      <c r="E43" s="13" t="inlineStr">
        <is>
          <t>1668</t>
        </is>
      </c>
      <c r="F43" s="14">
        <f>IF(E43="","",IF(COUNTIF(lst_Jobs,E43&amp;"")&gt;0,"OK","CHECK"))</f>
        <v/>
      </c>
      <c r="G43" s="13" t="inlineStr">
        <is>
          <t>85720001CBPSCSJUN27 DEDICATED TECH</t>
        </is>
      </c>
      <c r="H43" s="13" t="inlineStr">
        <is>
          <t>Onsite</t>
        </is>
      </c>
      <c r="I43" s="13" t="inlineStr">
        <is>
          <t>ONSITE</t>
        </is>
      </c>
      <c r="J43" s="13" t="inlineStr">
        <is>
          <t>Contract</t>
        </is>
      </c>
      <c r="K43" s="13" t="inlineStr">
        <is>
          <t>GST 10%</t>
        </is>
      </c>
      <c r="L43" s="15" t="n">
        <v>510</v>
      </c>
      <c r="M43" s="16">
        <f>IF(L43="","",IF(K43="GST 10%",ROUND(L43*0.1,2),0))</f>
        <v/>
      </c>
      <c r="N43" s="16">
        <f>IF(L43="","",L43+M43)</f>
        <v/>
      </c>
      <c r="O43" s="13" t="inlineStr">
        <is>
          <t>41100</t>
        </is>
      </c>
      <c r="P43" s="13" t="inlineStr">
        <is>
          <t>Y</t>
        </is>
      </c>
      <c r="Q43" s="13" t="inlineStr">
        <is>
          <t>N</t>
        </is>
      </c>
      <c r="R43" s="13" t="inlineStr">
        <is>
          <t>Invoiced</t>
        </is>
      </c>
      <c r="S43" s="13" t="n"/>
      <c r="T43" s="14">
        <f>IF(COUNTA(A43,D43,C43,L43)=0,"",IF(A43="","No date - sits outside every month",IF(E43="","No job number",IF(F43="CHECK","Job number is not in the Xero job list",IF(I43="","No cost centre",IF(AND(P43="Y",C43=""),"Marked posted to Xero but has no invoice number",IF(AND(L43&lt;&gt;"",K43=""),"No tax code",IF(AND(L43&lt;&gt;"",O43=""),"No revenue GL code",""))))))))</f>
        <v/>
      </c>
    </row>
    <row r="44" ht="15" customHeight="1">
      <c r="A44" s="11" t="n">
        <v>46265</v>
      </c>
      <c r="B44" s="12">
        <f>IF(A44="","",EOMONTH(A44,0))</f>
        <v/>
      </c>
      <c r="C44" s="13" t="inlineStr">
        <is>
          <t>INV-10607</t>
        </is>
      </c>
      <c r="D44" s="13" t="inlineStr">
        <is>
          <t>CBA</t>
        </is>
      </c>
      <c r="E44" s="13" t="inlineStr">
        <is>
          <t>1668</t>
        </is>
      </c>
      <c r="F44" s="14">
        <f>IF(E44="","",IF(COUNTIF(lst_Jobs,E44&amp;"")&gt;0,"OK","CHECK"))</f>
        <v/>
      </c>
      <c r="G44" s="13" t="inlineStr">
        <is>
          <t>85720001CBPSCSJUN27 DEDICATED TECH</t>
        </is>
      </c>
      <c r="H44" s="13" t="inlineStr">
        <is>
          <t>Onsite</t>
        </is>
      </c>
      <c r="I44" s="13" t="inlineStr">
        <is>
          <t>ONSITE</t>
        </is>
      </c>
      <c r="J44" s="13" t="inlineStr">
        <is>
          <t>Contract</t>
        </is>
      </c>
      <c r="K44" s="13" t="inlineStr">
        <is>
          <t>GST 10%</t>
        </is>
      </c>
      <c r="L44" s="15" t="n">
        <v>510</v>
      </c>
      <c r="M44" s="16">
        <f>IF(L44="","",IF(K44="GST 10%",ROUND(L44*0.1,2),0))</f>
        <v/>
      </c>
      <c r="N44" s="16">
        <f>IF(L44="","",L44+M44)</f>
        <v/>
      </c>
      <c r="O44" s="13" t="inlineStr">
        <is>
          <t>41100</t>
        </is>
      </c>
      <c r="P44" s="13" t="inlineStr">
        <is>
          <t>Y</t>
        </is>
      </c>
      <c r="Q44" s="13" t="inlineStr">
        <is>
          <t>N</t>
        </is>
      </c>
      <c r="R44" s="13" t="inlineStr">
        <is>
          <t>Invoiced</t>
        </is>
      </c>
      <c r="S44" s="13" t="n"/>
      <c r="T44" s="14">
        <f>IF(COUNTA(A44,D44,C44,L44)=0,"",IF(A44="","No date - sits outside every month",IF(E44="","No job number",IF(F44="CHECK","Job number is not in the Xero job list",IF(I44="","No cost centre",IF(AND(P44="Y",C44=""),"Marked posted to Xero but has no invoice number",IF(AND(L44&lt;&gt;"",K44=""),"No tax code",IF(AND(L44&lt;&gt;"",O44=""),"No revenue GL code",""))))))))</f>
        <v/>
      </c>
    </row>
    <row r="45" ht="15" customHeight="1">
      <c r="A45" s="11" t="n">
        <v>46265</v>
      </c>
      <c r="B45" s="12">
        <f>IF(A45="","",EOMONTH(A45,0))</f>
        <v/>
      </c>
      <c r="C45" s="13" t="inlineStr">
        <is>
          <t>INV-10608</t>
        </is>
      </c>
      <c r="D45" s="13" t="inlineStr">
        <is>
          <t>CBA</t>
        </is>
      </c>
      <c r="E45" s="13" t="inlineStr">
        <is>
          <t>1668</t>
        </is>
      </c>
      <c r="F45" s="14">
        <f>IF(E45="","",IF(COUNTIF(lst_Jobs,E45&amp;"")&gt;0,"OK","CHECK"))</f>
        <v/>
      </c>
      <c r="G45" s="13" t="inlineStr">
        <is>
          <t>85720001CBPSCSJUN27 DEDICATED TECH</t>
        </is>
      </c>
      <c r="H45" s="13" t="inlineStr">
        <is>
          <t>Onsite</t>
        </is>
      </c>
      <c r="I45" s="13" t="inlineStr">
        <is>
          <t>ONSITE</t>
        </is>
      </c>
      <c r="J45" s="13" t="inlineStr">
        <is>
          <t>Contract</t>
        </is>
      </c>
      <c r="K45" s="13" t="inlineStr">
        <is>
          <t>GST 10%</t>
        </is>
      </c>
      <c r="L45" s="15" t="n">
        <v>340</v>
      </c>
      <c r="M45" s="16">
        <f>IF(L45="","",IF(K45="GST 10%",ROUND(L45*0.1,2),0))</f>
        <v/>
      </c>
      <c r="N45" s="16">
        <f>IF(L45="","",L45+M45)</f>
        <v/>
      </c>
      <c r="O45" s="13" t="inlineStr">
        <is>
          <t>41100</t>
        </is>
      </c>
      <c r="P45" s="13" t="inlineStr">
        <is>
          <t>Y</t>
        </is>
      </c>
      <c r="Q45" s="13" t="inlineStr">
        <is>
          <t>N</t>
        </is>
      </c>
      <c r="R45" s="13" t="inlineStr">
        <is>
          <t>Invoiced</t>
        </is>
      </c>
      <c r="S45" s="13" t="n"/>
      <c r="T45" s="14">
        <f>IF(COUNTA(A45,D45,C45,L45)=0,"",IF(A45="","No date - sits outside every month",IF(E45="","No job number",IF(F45="CHECK","Job number is not in the Xero job list",IF(I45="","No cost centre",IF(AND(P45="Y",C45=""),"Marked posted to Xero but has no invoice number",IF(AND(L45&lt;&gt;"",K45=""),"No tax code",IF(AND(L45&lt;&gt;"",O45=""),"No revenue GL code",""))))))))</f>
        <v/>
      </c>
    </row>
    <row r="46" ht="15" customHeight="1">
      <c r="A46" s="11" t="n">
        <v>46265</v>
      </c>
      <c r="B46" s="12">
        <f>IF(A46="","",EOMONTH(A46,0))</f>
        <v/>
      </c>
      <c r="C46" s="13" t="inlineStr">
        <is>
          <t>INV-10609</t>
        </is>
      </c>
      <c r="D46" s="13" t="inlineStr">
        <is>
          <t>CBA</t>
        </is>
      </c>
      <c r="E46" s="13" t="inlineStr">
        <is>
          <t>1668</t>
        </is>
      </c>
      <c r="F46" s="14">
        <f>IF(E46="","",IF(COUNTIF(lst_Jobs,E46&amp;"")&gt;0,"OK","CHECK"))</f>
        <v/>
      </c>
      <c r="G46" s="13" t="inlineStr">
        <is>
          <t>85720001CBPSCSJUN27 DEDICATED TECH</t>
        </is>
      </c>
      <c r="H46" s="13" t="inlineStr">
        <is>
          <t>Onsite</t>
        </is>
      </c>
      <c r="I46" s="13" t="inlineStr">
        <is>
          <t>ONSITE</t>
        </is>
      </c>
      <c r="J46" s="13" t="inlineStr">
        <is>
          <t>Contract</t>
        </is>
      </c>
      <c r="K46" s="13" t="inlineStr">
        <is>
          <t>GST 10%</t>
        </is>
      </c>
      <c r="L46" s="15" t="n">
        <v>425</v>
      </c>
      <c r="M46" s="16">
        <f>IF(L46="","",IF(K46="GST 10%",ROUND(L46*0.1,2),0))</f>
        <v/>
      </c>
      <c r="N46" s="16">
        <f>IF(L46="","",L46+M46)</f>
        <v/>
      </c>
      <c r="O46" s="13" t="inlineStr">
        <is>
          <t>41100</t>
        </is>
      </c>
      <c r="P46" s="13" t="inlineStr">
        <is>
          <t>Y</t>
        </is>
      </c>
      <c r="Q46" s="13" t="inlineStr">
        <is>
          <t>N</t>
        </is>
      </c>
      <c r="R46" s="13" t="inlineStr">
        <is>
          <t>Invoiced</t>
        </is>
      </c>
      <c r="S46" s="13" t="n"/>
      <c r="T46" s="14">
        <f>IF(COUNTA(A46,D46,C46,L46)=0,"",IF(A46="","No date - sits outside every month",IF(E46="","No job number",IF(F46="CHECK","Job number is not in the Xero job list",IF(I46="","No cost centre",IF(AND(P46="Y",C46=""),"Marked posted to Xero but has no invoice number",IF(AND(L46&lt;&gt;"",K46=""),"No tax code",IF(AND(L46&lt;&gt;"",O46=""),"No revenue GL code",""))))))))</f>
        <v/>
      </c>
    </row>
    <row r="47" ht="15" customHeight="1">
      <c r="A47" s="11" t="n">
        <v>46265</v>
      </c>
      <c r="B47" s="12">
        <f>IF(A47="","",EOMONTH(A47,0))</f>
        <v/>
      </c>
      <c r="C47" s="13" t="inlineStr">
        <is>
          <t>INV-10610</t>
        </is>
      </c>
      <c r="D47" s="13" t="inlineStr">
        <is>
          <t>CBA</t>
        </is>
      </c>
      <c r="E47" s="13" t="inlineStr">
        <is>
          <t>1668</t>
        </is>
      </c>
      <c r="F47" s="14">
        <f>IF(E47="","",IF(COUNTIF(lst_Jobs,E47&amp;"")&gt;0,"OK","CHECK"))</f>
        <v/>
      </c>
      <c r="G47" s="13" t="inlineStr">
        <is>
          <t>85720001CBPSCSJUN27 DEDICATED TECH</t>
        </is>
      </c>
      <c r="H47" s="13" t="inlineStr">
        <is>
          <t>Onsite</t>
        </is>
      </c>
      <c r="I47" s="13" t="inlineStr">
        <is>
          <t>ONSITE</t>
        </is>
      </c>
      <c r="J47" s="13" t="inlineStr">
        <is>
          <t>Contract</t>
        </is>
      </c>
      <c r="K47" s="13" t="inlineStr">
        <is>
          <t>GST 10%</t>
        </is>
      </c>
      <c r="L47" s="15" t="n">
        <v>595</v>
      </c>
      <c r="M47" s="16">
        <f>IF(L47="","",IF(K47="GST 10%",ROUND(L47*0.1,2),0))</f>
        <v/>
      </c>
      <c r="N47" s="16">
        <f>IF(L47="","",L47+M47)</f>
        <v/>
      </c>
      <c r="O47" s="13" t="inlineStr">
        <is>
          <t>41100</t>
        </is>
      </c>
      <c r="P47" s="13" t="inlineStr">
        <is>
          <t>Y</t>
        </is>
      </c>
      <c r="Q47" s="13" t="inlineStr">
        <is>
          <t>N</t>
        </is>
      </c>
      <c r="R47" s="13" t="inlineStr">
        <is>
          <t>Invoiced</t>
        </is>
      </c>
      <c r="S47" s="13" t="n"/>
      <c r="T47" s="14">
        <f>IF(COUNTA(A47,D47,C47,L47)=0,"",IF(A47="","No date - sits outside every month",IF(E47="","No job number",IF(F47="CHECK","Job number is not in the Xero job list",IF(I47="","No cost centre",IF(AND(P47="Y",C47=""),"Marked posted to Xero but has no invoice number",IF(AND(L47&lt;&gt;"",K47=""),"No tax code",IF(AND(L47&lt;&gt;"",O47=""),"No revenue GL code",""))))))))</f>
        <v/>
      </c>
    </row>
    <row r="48" ht="15" customHeight="1">
      <c r="A48" s="11" t="n">
        <v>46265</v>
      </c>
      <c r="B48" s="12">
        <f>IF(A48="","",EOMONTH(A48,0))</f>
        <v/>
      </c>
      <c r="C48" s="13" t="inlineStr">
        <is>
          <t>INV-10614</t>
        </is>
      </c>
      <c r="D48" s="13" t="inlineStr">
        <is>
          <t>CBA</t>
        </is>
      </c>
      <c r="E48" s="13" t="inlineStr">
        <is>
          <t>585, 586</t>
        </is>
      </c>
      <c r="F48" s="14">
        <f>IF(E48="","",IF(COUNTIF(lst_Jobs,E48&amp;"")&gt;0,"OK","CHECK"))</f>
        <v/>
      </c>
      <c r="G48" s="13" t="inlineStr">
        <is>
          <t>85720001CBPSCSJUN27</t>
        </is>
      </c>
      <c r="H48" s="13" t="inlineStr">
        <is>
          <t>Onsite</t>
        </is>
      </c>
      <c r="I48" s="13" t="inlineStr">
        <is>
          <t>ONSITE</t>
        </is>
      </c>
      <c r="J48" s="13" t="inlineStr">
        <is>
          <t>Contract</t>
        </is>
      </c>
      <c r="K48" s="13" t="inlineStr">
        <is>
          <t>GST 10%</t>
        </is>
      </c>
      <c r="L48" s="15" t="n">
        <v>22680</v>
      </c>
      <c r="M48" s="16">
        <f>IF(L48="","",IF(K48="GST 10%",ROUND(L48*0.1,2),0))</f>
        <v/>
      </c>
      <c r="N48" s="16">
        <f>IF(L48="","",L48+M48)</f>
        <v/>
      </c>
      <c r="O48" s="13" t="inlineStr">
        <is>
          <t>41100</t>
        </is>
      </c>
      <c r="P48" s="13" t="inlineStr">
        <is>
          <t>Y</t>
        </is>
      </c>
      <c r="Q48" s="13" t="inlineStr">
        <is>
          <t>N</t>
        </is>
      </c>
      <c r="R48" s="13" t="inlineStr">
        <is>
          <t>Invoiced</t>
        </is>
      </c>
      <c r="S48" s="13" t="n"/>
      <c r="T48" s="14">
        <f>IF(COUNTA(A48,D48,C48,L48)=0,"",IF(A48="","No date - sits outside every month",IF(E48="","No job number",IF(F48="CHECK","Job number is not in the Xero job list",IF(I48="","No cost centre",IF(AND(P48="Y",C48=""),"Marked posted to Xero but has no invoice number",IF(AND(L48&lt;&gt;"",K48=""),"No tax code",IF(AND(L48&lt;&gt;"",O48=""),"No revenue GL code",""))))))))</f>
        <v/>
      </c>
    </row>
    <row r="49" ht="15" customHeight="1">
      <c r="A49" s="11" t="n">
        <v>46265</v>
      </c>
      <c r="B49" s="12">
        <f>IF(A49="","",EOMONTH(A49,0))</f>
        <v/>
      </c>
      <c r="C49" s="13" t="inlineStr">
        <is>
          <t>INV-10613</t>
        </is>
      </c>
      <c r="D49" s="13" t="inlineStr">
        <is>
          <t>CBA</t>
        </is>
      </c>
      <c r="E49" s="13" t="inlineStr">
        <is>
          <t>587</t>
        </is>
      </c>
      <c r="F49" s="14">
        <f>IF(E49="","",IF(COUNTIF(lst_Jobs,E49&amp;"")&gt;0,"OK","CHECK"))</f>
        <v/>
      </c>
      <c r="G49" s="13" t="inlineStr">
        <is>
          <t>85720001CBSCSJUN27</t>
        </is>
      </c>
      <c r="H49" s="13" t="inlineStr">
        <is>
          <t>Onsite</t>
        </is>
      </c>
      <c r="I49" s="13" t="inlineStr">
        <is>
          <t>ONSITE</t>
        </is>
      </c>
      <c r="J49" s="13" t="inlineStr">
        <is>
          <t>Contract</t>
        </is>
      </c>
      <c r="K49" s="13" t="inlineStr">
        <is>
          <t>GST 10%</t>
        </is>
      </c>
      <c r="L49" s="15" t="n">
        <v>10197.88</v>
      </c>
      <c r="M49" s="16">
        <f>IF(L49="","",IF(K49="GST 10%",ROUND(L49*0.1,2),0))</f>
        <v/>
      </c>
      <c r="N49" s="16">
        <f>IF(L49="","",L49+M49)</f>
        <v/>
      </c>
      <c r="O49" s="13" t="inlineStr">
        <is>
          <t>41100</t>
        </is>
      </c>
      <c r="P49" s="13" t="inlineStr">
        <is>
          <t>Y</t>
        </is>
      </c>
      <c r="Q49" s="13" t="inlineStr">
        <is>
          <t>N</t>
        </is>
      </c>
      <c r="R49" s="13" t="inlineStr">
        <is>
          <t>Invoiced</t>
        </is>
      </c>
      <c r="S49" s="13" t="n"/>
      <c r="T49" s="14">
        <f>IF(COUNTA(A49,D49,C49,L49)=0,"",IF(A49="","No date - sits outside every month",IF(E49="","No job number",IF(F49="CHECK","Job number is not in the Xero job list",IF(I49="","No cost centre",IF(AND(P49="Y",C49=""),"Marked posted to Xero but has no invoice number",IF(AND(L49&lt;&gt;"",K49=""),"No tax code",IF(AND(L49&lt;&gt;"",O49=""),"No revenue GL code",""))))))))</f>
        <v/>
      </c>
    </row>
    <row r="50" ht="15" customHeight="1">
      <c r="A50" s="11" t="n">
        <v>46265</v>
      </c>
      <c r="B50" s="12">
        <f>IF(A50="","",EOMONTH(A50,0))</f>
        <v/>
      </c>
      <c r="C50" s="13" t="inlineStr">
        <is>
          <t>INV-10602</t>
        </is>
      </c>
      <c r="D50" s="13" t="inlineStr">
        <is>
          <t>CBA</t>
        </is>
      </c>
      <c r="E50" s="13" t="inlineStr">
        <is>
          <t>1668</t>
        </is>
      </c>
      <c r="F50" s="14">
        <f>IF(E50="","",IF(COUNTIF(lst_Jobs,E50&amp;"")&gt;0,"OK","CHECK"))</f>
        <v/>
      </c>
      <c r="G50" s="13" t="inlineStr">
        <is>
          <t>85720001CBPSCSJUN27 DEDICATED TECH</t>
        </is>
      </c>
      <c r="H50" s="13" t="inlineStr">
        <is>
          <t>Onsite</t>
        </is>
      </c>
      <c r="I50" s="13" t="inlineStr">
        <is>
          <t>ONSITE</t>
        </is>
      </c>
      <c r="J50" s="13" t="inlineStr">
        <is>
          <t>Contract</t>
        </is>
      </c>
      <c r="K50" s="13" t="inlineStr">
        <is>
          <t>GST 10%</t>
        </is>
      </c>
      <c r="L50" s="15" t="n">
        <v>170</v>
      </c>
      <c r="M50" s="16">
        <f>IF(L50="","",IF(K50="GST 10%",ROUND(L50*0.1,2),0))</f>
        <v/>
      </c>
      <c r="N50" s="16">
        <f>IF(L50="","",L50+M50)</f>
        <v/>
      </c>
      <c r="O50" s="13" t="inlineStr">
        <is>
          <t>41100</t>
        </is>
      </c>
      <c r="P50" s="13" t="inlineStr">
        <is>
          <t>Y</t>
        </is>
      </c>
      <c r="Q50" s="13" t="inlineStr">
        <is>
          <t>N</t>
        </is>
      </c>
      <c r="R50" s="13" t="inlineStr">
        <is>
          <t>Invoiced</t>
        </is>
      </c>
      <c r="S50" s="13" t="n"/>
      <c r="T50" s="14">
        <f>IF(COUNTA(A50,D50,C50,L50)=0,"",IF(A50="","No date - sits outside every month",IF(E50="","No job number",IF(F50="CHECK","Job number is not in the Xero job list",IF(I50="","No cost centre",IF(AND(P50="Y",C50=""),"Marked posted to Xero but has no invoice number",IF(AND(L50&lt;&gt;"",K50=""),"No tax code",IF(AND(L50&lt;&gt;"",O50=""),"No revenue GL code",""))))))))</f>
        <v/>
      </c>
    </row>
    <row r="51" ht="15" customHeight="1">
      <c r="A51" s="11" t="n">
        <v>46265</v>
      </c>
      <c r="B51" s="12">
        <f>IF(A51="","",EOMONTH(A51,0))</f>
        <v/>
      </c>
      <c r="C51" s="13" t="inlineStr">
        <is>
          <t>INV-10618</t>
        </is>
      </c>
      <c r="D51" s="13" t="inlineStr">
        <is>
          <t>Ricoh Australia Pty Ltd</t>
        </is>
      </c>
      <c r="E51" s="13" t="inlineStr">
        <is>
          <t>2880</t>
        </is>
      </c>
      <c r="F51" s="14">
        <f>IF(E51="","",IF(COUNTIF(lst_Jobs,E51&amp;"")&gt;0,"OK","CHECK"))</f>
        <v/>
      </c>
      <c r="G51" s="13" t="inlineStr">
        <is>
          <t>CONTRACT</t>
        </is>
      </c>
      <c r="H51" s="13" t="inlineStr">
        <is>
          <t>Onsite</t>
        </is>
      </c>
      <c r="I51" s="13" t="inlineStr">
        <is>
          <t>ONSITE</t>
        </is>
      </c>
      <c r="J51" s="13" t="inlineStr">
        <is>
          <t>Contract</t>
        </is>
      </c>
      <c r="K51" s="13" t="inlineStr">
        <is>
          <t>GST 10%</t>
        </is>
      </c>
      <c r="L51" s="15" t="n">
        <v>11860.56</v>
      </c>
      <c r="M51" s="16">
        <f>IF(L51="","",IF(K51="GST 10%",ROUND(L51*0.1,2),0))</f>
        <v/>
      </c>
      <c r="N51" s="16">
        <f>IF(L51="","",L51+M51)</f>
        <v/>
      </c>
      <c r="O51" s="13" t="inlineStr">
        <is>
          <t>41100</t>
        </is>
      </c>
      <c r="P51" s="13" t="inlineStr">
        <is>
          <t>Y</t>
        </is>
      </c>
      <c r="Q51" s="13" t="inlineStr">
        <is>
          <t>N</t>
        </is>
      </c>
      <c r="R51" s="13" t="inlineStr">
        <is>
          <t>Invoiced</t>
        </is>
      </c>
      <c r="S51" s="13" t="n"/>
      <c r="T51" s="14">
        <f>IF(COUNTA(A51,D51,C51,L51)=0,"",IF(A51="","No date - sits outside every month",IF(E51="","No job number",IF(F51="CHECK","Job number is not in the Xero job list",IF(I51="","No cost centre",IF(AND(P51="Y",C51=""),"Marked posted to Xero but has no invoice number",IF(AND(L51&lt;&gt;"",K51=""),"No tax code",IF(AND(L51&lt;&gt;"",O51=""),"No revenue GL code",""))))))))</f>
        <v/>
      </c>
    </row>
    <row r="52" ht="15" customHeight="1">
      <c r="A52" s="11" t="n"/>
      <c r="B52" s="12">
        <f>IF(A52="","",EOMONTH(A52,0))</f>
        <v/>
      </c>
      <c r="C52" s="13" t="n"/>
      <c r="D52" s="13" t="inlineStr">
        <is>
          <t>DTTL</t>
        </is>
      </c>
      <c r="E52" s="13" t="inlineStr">
        <is>
          <t>26073103</t>
        </is>
      </c>
      <c r="F52" s="14">
        <f>IF(E52="","",IF(COUNTIF(lst_Jobs,E52&amp;"")&gt;0,"OK","CHECK"))</f>
        <v/>
      </c>
      <c r="G52" s="13" t="inlineStr">
        <is>
          <t>Perth AV &amp; Hospitality Technician (SEP26-FEB27)</t>
        </is>
      </c>
      <c r="H52" s="13" t="inlineStr">
        <is>
          <t>Onsite</t>
        </is>
      </c>
      <c r="I52" s="13" t="inlineStr">
        <is>
          <t>ONSITE</t>
        </is>
      </c>
      <c r="J52" s="13" t="inlineStr">
        <is>
          <t>Contract</t>
        </is>
      </c>
      <c r="K52" s="13" t="inlineStr">
        <is>
          <t>GST 10%</t>
        </is>
      </c>
      <c r="L52" s="15" t="n"/>
      <c r="M52" s="16">
        <f>IF(L52="","",IF(K52="GST 10%",ROUND(L52*0.1,2),0))</f>
        <v/>
      </c>
      <c r="N52" s="16">
        <f>IF(L52="","",L52+M52)</f>
        <v/>
      </c>
      <c r="O52" s="13" t="inlineStr">
        <is>
          <t>41100</t>
        </is>
      </c>
      <c r="P52" s="13" t="inlineStr">
        <is>
          <t>N</t>
        </is>
      </c>
      <c r="Q52" s="13" t="inlineStr">
        <is>
          <t>N</t>
        </is>
      </c>
      <c r="R52" s="13" t="inlineStr">
        <is>
          <t>To Invoice</t>
        </is>
      </c>
      <c r="S52" s="13"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14">
        <f>IF(COUNTA(A52,D52,C52,L52)=0,"",IF(A52="","No date - sits outside every month",IF(E52="","No job number",IF(F52="CHECK","Job number is not in the Xero job list",IF(I52="","No cost centre",IF(AND(P52="Y",C52=""),"Marked posted to Xero but has no invoice number",IF(AND(L52&lt;&gt;"",K52=""),"No tax code",IF(AND(L52&lt;&gt;"",O52=""),"No revenue GL code",""))))))))</f>
        <v/>
      </c>
    </row>
    <row r="53" ht="15" customHeight="1">
      <c r="A53" s="11" t="n">
        <v>46268</v>
      </c>
      <c r="B53" s="12">
        <f>IF(A53="","",EOMONTH(A53,0))</f>
        <v/>
      </c>
      <c r="C53" s="13" t="inlineStr">
        <is>
          <t>INV-10620</t>
        </is>
      </c>
      <c r="D53" s="13" t="inlineStr">
        <is>
          <t>Ricoh Australia Pty Ltd</t>
        </is>
      </c>
      <c r="E53" s="13" t="inlineStr">
        <is>
          <t>26082801</t>
        </is>
      </c>
      <c r="F53" s="14">
        <f>IF(E53="","",IF(COUNTIF(lst_Jobs,E53&amp;"")&gt;0,"OK","CHECK"))</f>
        <v/>
      </c>
      <c r="G53" s="13" t="inlineStr">
        <is>
          <t>Ricoh Australia - SHELL AV Support</t>
        </is>
      </c>
      <c r="H53" s="13" t="inlineStr">
        <is>
          <t>Onsite</t>
        </is>
      </c>
      <c r="I53" s="13" t="inlineStr">
        <is>
          <t>ONSITE</t>
        </is>
      </c>
      <c r="J53" s="13" t="inlineStr">
        <is>
          <t>Contract</t>
        </is>
      </c>
      <c r="K53" s="13" t="inlineStr">
        <is>
          <t>GST 10%</t>
        </is>
      </c>
      <c r="L53" s="15" t="n">
        <v>340</v>
      </c>
      <c r="M53" s="16">
        <f>IF(L53="","",IF(K53="GST 10%",ROUND(L53*0.1,2),0))</f>
        <v/>
      </c>
      <c r="N53" s="16">
        <f>IF(L53="","",L53+M53)</f>
        <v/>
      </c>
      <c r="O53" s="13" t="inlineStr">
        <is>
          <t>41100</t>
        </is>
      </c>
      <c r="P53" s="13" t="inlineStr">
        <is>
          <t>Y</t>
        </is>
      </c>
      <c r="Q53" s="13" t="inlineStr">
        <is>
          <t>N</t>
        </is>
      </c>
      <c r="R53" s="13" t="inlineStr">
        <is>
          <t>Invoiced</t>
        </is>
      </c>
      <c r="S53" s="13" t="inlineStr">
        <is>
          <t>This was not actually for Shell - error in quote. End client was Wotton Kearney.</t>
        </is>
      </c>
      <c r="T53" s="14">
        <f>IF(COUNTA(A53,D53,C53,L53)=0,"",IF(A53="","No date - sits outside every month",IF(E53="","No job number",IF(F53="CHECK","Job number is not in the Xero job list",IF(I53="","No cost centre",IF(AND(P53="Y",C53=""),"Marked posted to Xero but has no invoice number",IF(AND(L53&lt;&gt;"",K53=""),"No tax code",IF(AND(L53&lt;&gt;"",O53=""),"No revenue GL code",""))))))))</f>
        <v/>
      </c>
    </row>
    <row r="54" ht="15" customHeight="1">
      <c r="A54" s="11" t="n"/>
      <c r="B54" s="12">
        <f>IF(A54="","",EOMONTH(A54,0))</f>
        <v/>
      </c>
      <c r="C54" s="13" t="n"/>
      <c r="D54" s="13" t="inlineStr">
        <is>
          <t>PWC</t>
        </is>
      </c>
      <c r="E54" s="13" t="inlineStr">
        <is>
          <t>2608603</t>
        </is>
      </c>
      <c r="F54" s="14">
        <f>IF(E54="","",IF(COUNTIF(lst_Jobs,E54&amp;"")&gt;0,"OK","CHECK"))</f>
        <v/>
      </c>
      <c r="G54" s="13" t="inlineStr">
        <is>
          <t>Pool of Hours - National AV / IT Support</t>
        </is>
      </c>
      <c r="H54" s="13" t="inlineStr">
        <is>
          <t>Onsite</t>
        </is>
      </c>
      <c r="I54" s="13" t="inlineStr">
        <is>
          <t>ONSITE</t>
        </is>
      </c>
      <c r="J54" s="13" t="inlineStr">
        <is>
          <t>Contract</t>
        </is>
      </c>
      <c r="K54" s="13" t="inlineStr">
        <is>
          <t>GST 10%</t>
        </is>
      </c>
      <c r="L54" s="15" t="n">
        <v>8500</v>
      </c>
      <c r="M54" s="16">
        <f>IF(L54="","",IF(K54="GST 10%",ROUND(L54*0.1,2),0))</f>
        <v/>
      </c>
      <c r="N54" s="16">
        <f>IF(L54="","",L54+M54)</f>
        <v/>
      </c>
      <c r="O54" s="13" t="inlineStr">
        <is>
          <t>41100</t>
        </is>
      </c>
      <c r="P54" s="13" t="inlineStr">
        <is>
          <t>N</t>
        </is>
      </c>
      <c r="Q54" s="13" t="inlineStr">
        <is>
          <t>N</t>
        </is>
      </c>
      <c r="R54" s="13" t="inlineStr">
        <is>
          <t>To Invoice</t>
        </is>
      </c>
      <c r="S54" s="13" t="n"/>
      <c r="T54" s="14">
        <f>IF(COUNTA(A54,D54,C54,L54)=0,"",IF(A54="","No date - sits outside every month",IF(E54="","No job number",IF(F54="CHECK","Job number is not in the Xero job list",IF(I54="","No cost centre",IF(AND(P54="Y",C54=""),"Marked posted to Xero but has no invoice number",IF(AND(L54&lt;&gt;"",K54=""),"No tax code",IF(AND(L54&lt;&gt;"",O54=""),"No revenue GL code",""))))))))</f>
        <v/>
      </c>
    </row>
    <row r="55" ht="15" customHeight="1">
      <c r="A55" s="11" t="n"/>
      <c r="B55" s="12">
        <f>IF(A55="","",EOMONTH(A55,0))</f>
        <v/>
      </c>
      <c r="C55" s="13" t="n"/>
      <c r="D55" s="13" t="inlineStr">
        <is>
          <t>DTTL</t>
        </is>
      </c>
      <c r="E55" s="13" t="inlineStr">
        <is>
          <t>26073107</t>
        </is>
      </c>
      <c r="F55" s="14">
        <f>IF(E55="","",IF(COUNTIF(lst_Jobs,E55&amp;"")&gt;0,"OK","CHECK"))</f>
        <v/>
      </c>
      <c r="G55" s="13" t="inlineStr">
        <is>
          <t>Technician Travel (ADL-HOB Return)</t>
        </is>
      </c>
      <c r="H55" s="13" t="inlineStr">
        <is>
          <t>Onsite</t>
        </is>
      </c>
      <c r="I55" s="13" t="inlineStr">
        <is>
          <t>ONSITE</t>
        </is>
      </c>
      <c r="J55" s="13" t="inlineStr">
        <is>
          <t>Contract</t>
        </is>
      </c>
      <c r="K55" s="13" t="inlineStr">
        <is>
          <t>GST 10%</t>
        </is>
      </c>
      <c r="L55" s="15" t="n">
        <v>7145</v>
      </c>
      <c r="M55" s="16">
        <f>IF(L55="","",IF(K55="GST 10%",ROUND(L55*0.1,2),0))</f>
        <v/>
      </c>
      <c r="N55" s="16">
        <f>IF(L55="","",L55+M55)</f>
        <v/>
      </c>
      <c r="O55" s="13" t="inlineStr">
        <is>
          <t>41100</t>
        </is>
      </c>
      <c r="P55" s="13" t="inlineStr">
        <is>
          <t>N</t>
        </is>
      </c>
      <c r="Q55" s="13" t="inlineStr">
        <is>
          <t>N</t>
        </is>
      </c>
      <c r="R55" s="13" t="inlineStr">
        <is>
          <t>To Invoice</t>
        </is>
      </c>
      <c r="S55" s="13" t="n"/>
      <c r="T55" s="14">
        <f>IF(COUNTA(A55,D55,C55,L55)=0,"",IF(A55="","No date - sits outside every month",IF(E55="","No job number",IF(F55="CHECK","Job number is not in the Xero job list",IF(I55="","No cost centre",IF(AND(P55="Y",C55=""),"Marked posted to Xero but has no invoice number",IF(AND(L55&lt;&gt;"",K55=""),"No tax code",IF(AND(L55&lt;&gt;"",O55=""),"No revenue GL code",""))))))))</f>
        <v/>
      </c>
    </row>
    <row r="56" ht="15" customHeight="1">
      <c r="A56" s="11" t="n"/>
      <c r="B56" s="12">
        <f>IF(A56="","",EOMONTH(A56,0))</f>
        <v/>
      </c>
      <c r="C56" s="13" t="n"/>
      <c r="D56" s="13" t="inlineStr">
        <is>
          <t>DTTL</t>
        </is>
      </c>
      <c r="E56" s="13" t="inlineStr">
        <is>
          <t>2608502</t>
        </is>
      </c>
      <c r="F56" s="14">
        <f>IF(E56="","",IF(COUNTIF(lst_Jobs,E56&amp;"")&gt;0,"OK","CHECK"))</f>
        <v/>
      </c>
      <c r="G56" s="13" t="inlineStr">
        <is>
          <t>Change Maker</t>
        </is>
      </c>
      <c r="H56" s="13" t="inlineStr">
        <is>
          <t>Onsite</t>
        </is>
      </c>
      <c r="I56" s="13" t="inlineStr">
        <is>
          <t>ONSITE</t>
        </is>
      </c>
      <c r="J56" s="13" t="inlineStr">
        <is>
          <t>Contract</t>
        </is>
      </c>
      <c r="K56" s="13" t="inlineStr">
        <is>
          <t>GST 10%</t>
        </is>
      </c>
      <c r="L56" s="15" t="n">
        <v>1275</v>
      </c>
      <c r="M56" s="16">
        <f>IF(L56="","",IF(K56="GST 10%",ROUND(L56*0.1,2),0))</f>
        <v/>
      </c>
      <c r="N56" s="16">
        <f>IF(L56="","",L56+M56)</f>
        <v/>
      </c>
      <c r="O56" s="13" t="inlineStr">
        <is>
          <t>41100</t>
        </is>
      </c>
      <c r="P56" s="13" t="inlineStr">
        <is>
          <t>N</t>
        </is>
      </c>
      <c r="Q56" s="13" t="inlineStr">
        <is>
          <t>N</t>
        </is>
      </c>
      <c r="R56" s="13" t="inlineStr">
        <is>
          <t>To Invoice</t>
        </is>
      </c>
      <c r="S56" s="13" t="n"/>
      <c r="T56" s="14">
        <f>IF(COUNTA(A56,D56,C56,L56)=0,"",IF(A56="","No date - sits outside every month",IF(E56="","No job number",IF(F56="CHECK","Job number is not in the Xero job list",IF(I56="","No cost centre",IF(AND(P56="Y",C56=""),"Marked posted to Xero but has no invoice number",IF(AND(L56&lt;&gt;"",K56=""),"No tax code",IF(AND(L56&lt;&gt;"",O56=""),"No revenue GL code",""))))))))</f>
        <v/>
      </c>
    </row>
    <row r="57" ht="15" customHeight="1">
      <c r="A57" s="11" t="n"/>
      <c r="B57" s="12">
        <f>IF(A57="","",EOMONTH(A57,0))</f>
        <v/>
      </c>
      <c r="C57" s="13" t="n"/>
      <c r="D57" s="13" t="inlineStr">
        <is>
          <t>DTTL</t>
        </is>
      </c>
      <c r="E57" s="13" t="inlineStr">
        <is>
          <t>26082704</t>
        </is>
      </c>
      <c r="F57" s="14">
        <f>IF(E57="","",IF(COUNTIF(lst_Jobs,E57&amp;"")&gt;0,"OK","CHECK"))</f>
        <v/>
      </c>
      <c r="G57" s="13" t="inlineStr">
        <is>
          <t>STL Travel (SYD-PER)</t>
        </is>
      </c>
      <c r="H57" s="13" t="inlineStr">
        <is>
          <t>Onsite</t>
        </is>
      </c>
      <c r="I57" s="13" t="inlineStr">
        <is>
          <t>ONSITE</t>
        </is>
      </c>
      <c r="J57" s="13" t="inlineStr">
        <is>
          <t>Contract</t>
        </is>
      </c>
      <c r="K57" s="13" t="inlineStr">
        <is>
          <t>GST 10%</t>
        </is>
      </c>
      <c r="L57" s="15" t="n">
        <v>7735</v>
      </c>
      <c r="M57" s="16">
        <f>IF(L57="","",IF(K57="GST 10%",ROUND(L57*0.1,2),0))</f>
        <v/>
      </c>
      <c r="N57" s="16">
        <f>IF(L57="","",L57+M57)</f>
        <v/>
      </c>
      <c r="O57" s="13" t="inlineStr">
        <is>
          <t>41100</t>
        </is>
      </c>
      <c r="P57" s="13" t="inlineStr">
        <is>
          <t>N</t>
        </is>
      </c>
      <c r="Q57" s="13" t="inlineStr">
        <is>
          <t>N</t>
        </is>
      </c>
      <c r="R57" s="13" t="inlineStr">
        <is>
          <t>To Invoice</t>
        </is>
      </c>
      <c r="S57" s="13" t="n"/>
      <c r="T57" s="14">
        <f>IF(COUNTA(A57,D57,C57,L57)=0,"",IF(A57="","No date - sits outside every month",IF(E57="","No job number",IF(F57="CHECK","Job number is not in the Xero job list",IF(I57="","No cost centre",IF(AND(P57="Y",C57=""),"Marked posted to Xero but has no invoice number",IF(AND(L57&lt;&gt;"",K57=""),"No tax code",IF(AND(L57&lt;&gt;"",O57=""),"No revenue GL code",""))))))))</f>
        <v/>
      </c>
    </row>
    <row r="58" ht="15" customHeight="1">
      <c r="A58" s="11" t="n"/>
      <c r="B58" s="12">
        <f>IF(A58="","",EOMONTH(A58,0))</f>
        <v/>
      </c>
      <c r="C58" s="13" t="n"/>
      <c r="D58" s="13" t="inlineStr">
        <is>
          <t>CBA</t>
        </is>
      </c>
      <c r="E58" s="13" t="inlineStr">
        <is>
          <t>26043001</t>
        </is>
      </c>
      <c r="F58" s="14">
        <f>IF(E58="","",IF(COUNTIF(lst_Jobs,E58&amp;"")&gt;0,"OK","CHECK"))</f>
        <v/>
      </c>
      <c r="G58" s="13" t="n"/>
      <c r="H58" s="13" t="inlineStr">
        <is>
          <t>Onsite</t>
        </is>
      </c>
      <c r="I58" s="13" t="inlineStr">
        <is>
          <t>ONSITE</t>
        </is>
      </c>
      <c r="J58" s="13" t="inlineStr">
        <is>
          <t>Contract</t>
        </is>
      </c>
      <c r="K58" s="13" t="inlineStr">
        <is>
          <t>GST 10%</t>
        </is>
      </c>
      <c r="L58" s="15" t="n"/>
      <c r="M58" s="16">
        <f>IF(L58="","",IF(K58="GST 10%",ROUND(L58*0.1,2),0))</f>
        <v/>
      </c>
      <c r="N58" s="16">
        <f>IF(L58="","",L58+M58)</f>
        <v/>
      </c>
      <c r="O58" s="13" t="inlineStr">
        <is>
          <t>41100</t>
        </is>
      </c>
      <c r="P58" s="13" t="inlineStr">
        <is>
          <t>N</t>
        </is>
      </c>
      <c r="Q58" s="13" t="inlineStr">
        <is>
          <t>N</t>
        </is>
      </c>
      <c r="R58" s="13" t="inlineStr">
        <is>
          <t>To Invoice</t>
        </is>
      </c>
      <c r="S58" s="13" t="n"/>
      <c r="T58" s="14">
        <f>IF(COUNTA(A58,D58,C58,L58)=0,"",IF(A58="","No date - sits outside every month",IF(E58="","No job number",IF(F58="CHECK","Job number is not in the Xero job list",IF(I58="","No cost centre",IF(AND(P58="Y",C58=""),"Marked posted to Xero but has no invoice number",IF(AND(L58&lt;&gt;"",K58=""),"No tax code",IF(AND(L58&lt;&gt;"",O58=""),"No revenue GL code",""))))))))</f>
        <v/>
      </c>
    </row>
    <row r="59" ht="15" customHeight="1">
      <c r="A59" s="11" t="n">
        <v>46205</v>
      </c>
      <c r="B59" s="12">
        <f>IF(A59="","",EOMONTH(A59,0))</f>
        <v/>
      </c>
      <c r="C59" s="13" t="inlineStr">
        <is>
          <t>INV-10513</t>
        </is>
      </c>
      <c r="D59" s="13" t="inlineStr">
        <is>
          <t>Elkiem</t>
        </is>
      </c>
      <c r="E59" s="13" t="inlineStr">
        <is>
          <t>2602309</t>
        </is>
      </c>
      <c r="F59" s="14">
        <f>IF(E59="","",IF(COUNTIF(lst_Jobs,E59&amp;"")&gt;0,"OK","CHECK"))</f>
        <v/>
      </c>
      <c r="G59" s="13" t="inlineStr">
        <is>
          <t>Studio Support | 1.7.26</t>
        </is>
      </c>
      <c r="H59" s="13" t="inlineStr">
        <is>
          <t>Production</t>
        </is>
      </c>
      <c r="I59" s="13" t="inlineStr">
        <is>
          <t>PRODUCTION</t>
        </is>
      </c>
      <c r="J59" s="13" t="inlineStr">
        <is>
          <t>Project</t>
        </is>
      </c>
      <c r="K59" s="13" t="inlineStr">
        <is>
          <t>GST 10%</t>
        </is>
      </c>
      <c r="L59" s="15" t="n">
        <v>380</v>
      </c>
      <c r="M59" s="16">
        <f>IF(L59="","",IF(K59="GST 10%",ROUND(L59*0.1,2),0))</f>
        <v/>
      </c>
      <c r="N59" s="16">
        <f>IF(L59="","",L59+M59)</f>
        <v/>
      </c>
      <c r="O59" s="13" t="inlineStr">
        <is>
          <t>42100</t>
        </is>
      </c>
      <c r="P59" s="13" t="inlineStr">
        <is>
          <t>Y</t>
        </is>
      </c>
      <c r="Q59" s="13" t="inlineStr">
        <is>
          <t>N</t>
        </is>
      </c>
      <c r="R59" s="13" t="inlineStr">
        <is>
          <t>Invoiced</t>
        </is>
      </c>
      <c r="S59" s="13" t="n"/>
      <c r="T59" s="14">
        <f>IF(COUNTA(A59,D59,C59,L59)=0,"",IF(A59="","No date - sits outside every month",IF(E59="","No job number",IF(F59="CHECK","Job number is not in the Xero job list",IF(I59="","No cost centre",IF(AND(P59="Y",C59=""),"Marked posted to Xero but has no invoice number",IF(AND(L59&lt;&gt;"",K59=""),"No tax code",IF(AND(L59&lt;&gt;"",O59=""),"No revenue GL code",""))))))))</f>
        <v/>
      </c>
    </row>
    <row r="60" ht="15" customHeight="1">
      <c r="A60" s="11" t="n">
        <v>46210</v>
      </c>
      <c r="B60" s="12">
        <f>IF(A60="","",EOMONTH(A60,0))</f>
        <v/>
      </c>
      <c r="C60" s="13" t="inlineStr">
        <is>
          <t>INV-10519</t>
        </is>
      </c>
      <c r="D60" s="13" t="inlineStr">
        <is>
          <t>RSNSW</t>
        </is>
      </c>
      <c r="E60" s="13" t="inlineStr">
        <is>
          <t>26032301</t>
        </is>
      </c>
      <c r="F60" s="14">
        <f>IF(E60="","",IF(COUNTIF(lst_Jobs,E60&amp;"")&gt;0,"OK","CHECK"))</f>
        <v/>
      </c>
      <c r="G60" s="13" t="inlineStr">
        <is>
          <t>Ordinary General Meeting | 1.7.26</t>
        </is>
      </c>
      <c r="H60" s="13" t="inlineStr">
        <is>
          <t>Production</t>
        </is>
      </c>
      <c r="I60" s="13" t="inlineStr">
        <is>
          <t>PRODUCTION</t>
        </is>
      </c>
      <c r="J60" s="13" t="inlineStr">
        <is>
          <t>Project</t>
        </is>
      </c>
      <c r="K60" s="13" t="inlineStr">
        <is>
          <t>GST 10%</t>
        </is>
      </c>
      <c r="L60" s="15" t="n">
        <v>2042</v>
      </c>
      <c r="M60" s="16">
        <f>IF(L60="","",IF(K60="GST 10%",ROUND(L60*0.1,2),0))</f>
        <v/>
      </c>
      <c r="N60" s="16">
        <f>IF(L60="","",L60+M60)</f>
        <v/>
      </c>
      <c r="O60" s="13" t="inlineStr">
        <is>
          <t>42100</t>
        </is>
      </c>
      <c r="P60" s="13" t="inlineStr">
        <is>
          <t>Y</t>
        </is>
      </c>
      <c r="Q60" s="13" t="inlineStr">
        <is>
          <t>N</t>
        </is>
      </c>
      <c r="R60" s="13" t="inlineStr">
        <is>
          <t>Invoiced</t>
        </is>
      </c>
      <c r="S60" s="13" t="inlineStr">
        <is>
          <t>Production portion of this invoice</t>
        </is>
      </c>
      <c r="T60" s="14">
        <f>IF(COUNTA(A60,D60,C60,L60)=0,"",IF(A60="","No date - sits outside every month",IF(E60="","No job number",IF(F60="CHECK","Job number is not in the Xero job list",IF(I60="","No cost centre",IF(AND(P60="Y",C60=""),"Marked posted to Xero but has no invoice number",IF(AND(L60&lt;&gt;"",K60=""),"No tax code",IF(AND(L60&lt;&gt;"",O60=""),"No revenue GL code",""))))))))</f>
        <v/>
      </c>
    </row>
    <row r="61" ht="15" customHeight="1">
      <c r="A61" s="11" t="n">
        <v>46210</v>
      </c>
      <c r="B61" s="12">
        <f>IF(A61="","",EOMONTH(A61,0))</f>
        <v/>
      </c>
      <c r="C61" s="13" t="inlineStr">
        <is>
          <t>INV-10519</t>
        </is>
      </c>
      <c r="D61" s="13" t="inlineStr">
        <is>
          <t>RSNSW</t>
        </is>
      </c>
      <c r="E61" s="13" t="inlineStr">
        <is>
          <t>26032301</t>
        </is>
      </c>
      <c r="F61" s="14">
        <f>IF(E61="","",IF(COUNTIF(lst_Jobs,E61&amp;"")&gt;0,"OK","CHECK"))</f>
        <v/>
      </c>
      <c r="G61" s="13" t="inlineStr">
        <is>
          <t>Ordinary General Meeting | 1.7.26</t>
        </is>
      </c>
      <c r="H61" s="13" t="inlineStr">
        <is>
          <t>Production</t>
        </is>
      </c>
      <c r="I61" s="13" t="inlineStr">
        <is>
          <t>VIDEO</t>
        </is>
      </c>
      <c r="J61" s="13" t="inlineStr">
        <is>
          <t>Project</t>
        </is>
      </c>
      <c r="K61" s="13" t="inlineStr">
        <is>
          <t>GST 10%</t>
        </is>
      </c>
      <c r="L61" s="15" t="n">
        <v>1029</v>
      </c>
      <c r="M61" s="16">
        <f>IF(L61="","",IF(K61="GST 10%",ROUND(L61*0.1,2),0))</f>
        <v/>
      </c>
      <c r="N61" s="16">
        <f>IF(L61="","",L61+M61)</f>
        <v/>
      </c>
      <c r="O61" s="13" t="inlineStr">
        <is>
          <t>42150</t>
        </is>
      </c>
      <c r="P61" s="13" t="inlineStr">
        <is>
          <t>Y</t>
        </is>
      </c>
      <c r="Q61" s="13" t="inlineStr">
        <is>
          <t>N</t>
        </is>
      </c>
      <c r="R61" s="13" t="inlineStr">
        <is>
          <t>Invoiced</t>
        </is>
      </c>
      <c r="S61" s="13" t="inlineStr">
        <is>
          <t>Video portion of this invoice</t>
        </is>
      </c>
      <c r="T61" s="14">
        <f>IF(COUNTA(A61,D61,C61,L61)=0,"",IF(A61="","No date - sits outside every month",IF(E61="","No job number",IF(F61="CHECK","Job number is not in the Xero job list",IF(I61="","No cost centre",IF(AND(P61="Y",C61=""),"Marked posted to Xero but has no invoice number",IF(AND(L61&lt;&gt;"",K61=""),"No tax code",IF(AND(L61&lt;&gt;"",O61=""),"No revenue GL code",""))))))))</f>
        <v/>
      </c>
    </row>
    <row r="62" ht="15" customHeight="1">
      <c r="A62" s="11" t="n">
        <v>46210</v>
      </c>
      <c r="B62" s="12">
        <f>IF(A62="","",EOMONTH(A62,0))</f>
        <v/>
      </c>
      <c r="C62" s="13" t="inlineStr">
        <is>
          <t>INV-10515</t>
        </is>
      </c>
      <c r="D62" s="13" t="inlineStr">
        <is>
          <t>PWC</t>
        </is>
      </c>
      <c r="E62" s="13" t="inlineStr">
        <is>
          <t>26062201</t>
        </is>
      </c>
      <c r="F62" s="14">
        <f>IF(E62="","",IF(COUNTIF(lst_Jobs,E62&amp;"")&gt;0,"OK","CHECK"))</f>
        <v/>
      </c>
      <c r="G62" s="13" t="inlineStr">
        <is>
          <t>Tax and Legal Webcast 2.7.26</t>
        </is>
      </c>
      <c r="H62" s="13" t="inlineStr">
        <is>
          <t>Production</t>
        </is>
      </c>
      <c r="I62" s="13" t="inlineStr">
        <is>
          <t>PRODUCTION</t>
        </is>
      </c>
      <c r="J62" s="13" t="inlineStr">
        <is>
          <t>Project</t>
        </is>
      </c>
      <c r="K62" s="13" t="inlineStr">
        <is>
          <t>GST 10%</t>
        </is>
      </c>
      <c r="L62" s="15" t="n">
        <v>955</v>
      </c>
      <c r="M62" s="16">
        <f>IF(L62="","",IF(K62="GST 10%",ROUND(L62*0.1,2),0))</f>
        <v/>
      </c>
      <c r="N62" s="16">
        <f>IF(L62="","",L62+M62)</f>
        <v/>
      </c>
      <c r="O62" s="13" t="inlineStr">
        <is>
          <t>42100</t>
        </is>
      </c>
      <c r="P62" s="13" t="inlineStr">
        <is>
          <t>Y</t>
        </is>
      </c>
      <c r="Q62" s="13" t="inlineStr">
        <is>
          <t>N</t>
        </is>
      </c>
      <c r="R62" s="13" t="inlineStr">
        <is>
          <t>Invoiced</t>
        </is>
      </c>
      <c r="S62" s="13" t="inlineStr">
        <is>
          <t>Production portion of this invoice</t>
        </is>
      </c>
      <c r="T62" s="14">
        <f>IF(COUNTA(A62,D62,C62,L62)=0,"",IF(A62="","No date - sits outside every month",IF(E62="","No job number",IF(F62="CHECK","Job number is not in the Xero job list",IF(I62="","No cost centre",IF(AND(P62="Y",C62=""),"Marked posted to Xero but has no invoice number",IF(AND(L62&lt;&gt;"",K62=""),"No tax code",IF(AND(L62&lt;&gt;"",O62=""),"No revenue GL code",""))))))))</f>
        <v/>
      </c>
    </row>
    <row r="63" ht="15" customHeight="1">
      <c r="A63" s="11" t="n">
        <v>46210</v>
      </c>
      <c r="B63" s="12">
        <f>IF(A63="","",EOMONTH(A63,0))</f>
        <v/>
      </c>
      <c r="C63" s="13" t="inlineStr">
        <is>
          <t>INV-10515</t>
        </is>
      </c>
      <c r="D63" s="13" t="inlineStr">
        <is>
          <t>PWC</t>
        </is>
      </c>
      <c r="E63" s="13" t="inlineStr">
        <is>
          <t>26062201</t>
        </is>
      </c>
      <c r="F63" s="14">
        <f>IF(E63="","",IF(COUNTIF(lst_Jobs,E63&amp;"")&gt;0,"OK","CHECK"))</f>
        <v/>
      </c>
      <c r="G63" s="13" t="inlineStr">
        <is>
          <t>Tax and Legal Webcast 2.7.26</t>
        </is>
      </c>
      <c r="H63" s="13" t="inlineStr">
        <is>
          <t>Production</t>
        </is>
      </c>
      <c r="I63" s="13" t="inlineStr">
        <is>
          <t>VIDEO</t>
        </is>
      </c>
      <c r="J63" s="13" t="inlineStr">
        <is>
          <t>Project</t>
        </is>
      </c>
      <c r="K63" s="13" t="inlineStr">
        <is>
          <t>GST 10%</t>
        </is>
      </c>
      <c r="L63" s="15" t="n">
        <v>970</v>
      </c>
      <c r="M63" s="16">
        <f>IF(L63="","",IF(K63="GST 10%",ROUND(L63*0.1,2),0))</f>
        <v/>
      </c>
      <c r="N63" s="16">
        <f>IF(L63="","",L63+M63)</f>
        <v/>
      </c>
      <c r="O63" s="13" t="inlineStr">
        <is>
          <t>42150</t>
        </is>
      </c>
      <c r="P63" s="13" t="inlineStr">
        <is>
          <t>Y</t>
        </is>
      </c>
      <c r="Q63" s="13" t="inlineStr">
        <is>
          <t>N</t>
        </is>
      </c>
      <c r="R63" s="13" t="inlineStr">
        <is>
          <t>Invoiced</t>
        </is>
      </c>
      <c r="S63" s="13" t="inlineStr">
        <is>
          <t>Video portion of this invoice</t>
        </is>
      </c>
      <c r="T63" s="14">
        <f>IF(COUNTA(A63,D63,C63,L63)=0,"",IF(A63="","No date - sits outside every month",IF(E63="","No job number",IF(F63="CHECK","Job number is not in the Xero job list",IF(I63="","No cost centre",IF(AND(P63="Y",C63=""),"Marked posted to Xero but has no invoice number",IF(AND(L63&lt;&gt;"",K63=""),"No tax code",IF(AND(L63&lt;&gt;"",O63=""),"No revenue GL code",""))))))))</f>
        <v/>
      </c>
    </row>
    <row r="64" ht="15" customHeight="1">
      <c r="A64" s="11" t="n">
        <v>46219</v>
      </c>
      <c r="B64" s="12">
        <f>IF(A64="","",EOMONTH(A64,0))</f>
        <v/>
      </c>
      <c r="C64" s="13" t="inlineStr">
        <is>
          <t>INV-10524</t>
        </is>
      </c>
      <c r="D64" s="13" t="inlineStr">
        <is>
          <t>Elkiem - PM** Cancelled</t>
        </is>
      </c>
      <c r="E64" s="13" t="inlineStr">
        <is>
          <t>2605802</t>
        </is>
      </c>
      <c r="F64" s="14">
        <f>IF(E64="","",IF(COUNTIF(lst_Jobs,E64&amp;"")&gt;0,"OK","CHECK"))</f>
        <v/>
      </c>
      <c r="G64" s="13" t="inlineStr">
        <is>
          <t>Elkiem Studio Support | 15.7.26</t>
        </is>
      </c>
      <c r="H64" s="13" t="inlineStr">
        <is>
          <t>Production</t>
        </is>
      </c>
      <c r="I64" s="13" t="inlineStr">
        <is>
          <t>PRODUCTION</t>
        </is>
      </c>
      <c r="J64" s="13" t="inlineStr">
        <is>
          <t>Project</t>
        </is>
      </c>
      <c r="K64" s="13" t="inlineStr">
        <is>
          <t>GST 10%</t>
        </is>
      </c>
      <c r="L64" s="15" t="n">
        <v>261.25</v>
      </c>
      <c r="M64" s="16">
        <f>IF(L64="","",IF(K64="GST 10%",ROUND(L64*0.1,2),0))</f>
        <v/>
      </c>
      <c r="N64" s="16">
        <f>IF(L64="","",L64+M64)</f>
        <v/>
      </c>
      <c r="O64" s="13" t="inlineStr">
        <is>
          <t>42100</t>
        </is>
      </c>
      <c r="P64" s="13" t="inlineStr">
        <is>
          <t>Y</t>
        </is>
      </c>
      <c r="Q64" s="13" t="inlineStr">
        <is>
          <t>N</t>
        </is>
      </c>
      <c r="R64" s="13" t="inlineStr">
        <is>
          <t>Invoiced</t>
        </is>
      </c>
      <c r="S64" s="13" t="n"/>
      <c r="T64" s="14">
        <f>IF(COUNTA(A64,D64,C64,L64)=0,"",IF(A64="","No date - sits outside every month",IF(E64="","No job number",IF(F64="CHECK","Job number is not in the Xero job list",IF(I64="","No cost centre",IF(AND(P64="Y",C64=""),"Marked posted to Xero but has no invoice number",IF(AND(L64&lt;&gt;"",K64=""),"No tax code",IF(AND(L64&lt;&gt;"",O64=""),"No revenue GL code",""))))))))</f>
        <v/>
      </c>
    </row>
    <row r="65" ht="15" customHeight="1">
      <c r="A65" s="11" t="n">
        <v>46210</v>
      </c>
      <c r="B65" s="12">
        <f>IF(A65="","",EOMONTH(A65,0))</f>
        <v/>
      </c>
      <c r="C65" s="13" t="inlineStr">
        <is>
          <t>INV-10518</t>
        </is>
      </c>
      <c r="D65" s="13" t="inlineStr">
        <is>
          <t>Litecard</t>
        </is>
      </c>
      <c r="E65" s="13" t="inlineStr">
        <is>
          <t>2607701</t>
        </is>
      </c>
      <c r="F65" s="14">
        <f>IF(E65="","",IF(COUNTIF(lst_Jobs,E65&amp;"")&gt;0,"OK","CHECK"))</f>
        <v/>
      </c>
      <c r="G65" s="13" t="inlineStr">
        <is>
          <t>Screen &amp; Mic Hire 16.7.26</t>
        </is>
      </c>
      <c r="H65" s="13" t="inlineStr">
        <is>
          <t>Production</t>
        </is>
      </c>
      <c r="I65" s="13" t="inlineStr">
        <is>
          <t>PRODUCTION</t>
        </is>
      </c>
      <c r="J65" s="13" t="inlineStr">
        <is>
          <t>Project</t>
        </is>
      </c>
      <c r="K65" s="13" t="inlineStr">
        <is>
          <t>GST 10%</t>
        </is>
      </c>
      <c r="L65" s="15" t="n">
        <v>500</v>
      </c>
      <c r="M65" s="16">
        <f>IF(L65="","",IF(K65="GST 10%",ROUND(L65*0.1,2),0))</f>
        <v/>
      </c>
      <c r="N65" s="16">
        <f>IF(L65="","",L65+M65)</f>
        <v/>
      </c>
      <c r="O65" s="13" t="inlineStr">
        <is>
          <t>42100</t>
        </is>
      </c>
      <c r="P65" s="13" t="inlineStr">
        <is>
          <t>Y</t>
        </is>
      </c>
      <c r="Q65" s="13" t="inlineStr">
        <is>
          <t>N</t>
        </is>
      </c>
      <c r="R65" s="13" t="inlineStr">
        <is>
          <t>Invoiced</t>
        </is>
      </c>
      <c r="S65" s="13" t="n"/>
      <c r="T65" s="14">
        <f>IF(COUNTA(A65,D65,C65,L65)=0,"",IF(A65="","No date - sits outside every month",IF(E65="","No job number",IF(F65="CHECK","Job number is not in the Xero job list",IF(I65="","No cost centre",IF(AND(P65="Y",C65=""),"Marked posted to Xero but has no invoice number",IF(AND(L65&lt;&gt;"",K65=""),"No tax code",IF(AND(L65&lt;&gt;"",O65=""),"No revenue GL code",""))))))))</f>
        <v/>
      </c>
    </row>
    <row r="66" ht="15" customHeight="1">
      <c r="A66" s="11" t="n">
        <v>46216</v>
      </c>
      <c r="B66" s="12">
        <f>IF(A66="","",EOMONTH(A66,0))</f>
        <v/>
      </c>
      <c r="C66" s="13" t="inlineStr">
        <is>
          <t>INV-10522</t>
        </is>
      </c>
      <c r="D66" s="13" t="inlineStr">
        <is>
          <t>Litecard</t>
        </is>
      </c>
      <c r="E66" s="13" t="inlineStr">
        <is>
          <t>2607701</t>
        </is>
      </c>
      <c r="F66" s="14">
        <f>IF(E66="","",IF(COUNTIF(lst_Jobs,E66&amp;"")&gt;0,"OK","CHECK"))</f>
        <v/>
      </c>
      <c r="G66" s="13" t="inlineStr">
        <is>
          <t>Litecard - Event Photographer - 16.7.26</t>
        </is>
      </c>
      <c r="H66" s="13" t="inlineStr">
        <is>
          <t>Production</t>
        </is>
      </c>
      <c r="I66" s="13" t="inlineStr">
        <is>
          <t>VIDEO</t>
        </is>
      </c>
      <c r="J66" s="13" t="inlineStr">
        <is>
          <t>Project</t>
        </is>
      </c>
      <c r="K66" s="13" t="inlineStr">
        <is>
          <t>GST 10%</t>
        </is>
      </c>
      <c r="L66" s="15" t="n">
        <v>550</v>
      </c>
      <c r="M66" s="16">
        <f>IF(L66="","",IF(K66="GST 10%",ROUND(L66*0.1,2),0))</f>
        <v/>
      </c>
      <c r="N66" s="16">
        <f>IF(L66="","",L66+M66)</f>
        <v/>
      </c>
      <c r="O66" s="13" t="inlineStr">
        <is>
          <t>42150</t>
        </is>
      </c>
      <c r="P66" s="13" t="inlineStr">
        <is>
          <t>Y</t>
        </is>
      </c>
      <c r="Q66" s="13" t="inlineStr">
        <is>
          <t>N</t>
        </is>
      </c>
      <c r="R66" s="13" t="inlineStr">
        <is>
          <t>Invoiced</t>
        </is>
      </c>
      <c r="S66" s="13" t="n"/>
      <c r="T66" s="14">
        <f>IF(COUNTA(A66,D66,C66,L66)=0,"",IF(A66="","No date - sits outside every month",IF(E66="","No job number",IF(F66="CHECK","Job number is not in the Xero job list",IF(I66="","No cost centre",IF(AND(P66="Y",C66=""),"Marked posted to Xero but has no invoice number",IF(AND(L66&lt;&gt;"",K66=""),"No tax code",IF(AND(L66&lt;&gt;"",O66=""),"No revenue GL code",""))))))))</f>
        <v/>
      </c>
    </row>
    <row r="67" ht="15" customHeight="1">
      <c r="A67" s="11" t="n">
        <v>46234</v>
      </c>
      <c r="B67" s="12">
        <f>IF(A67="","",EOMONTH(A67,0))</f>
        <v/>
      </c>
      <c r="C67" s="13" t="inlineStr">
        <is>
          <t>INV-10554</t>
        </is>
      </c>
      <c r="D67" s="13" t="inlineStr">
        <is>
          <t>Microsoft</t>
        </is>
      </c>
      <c r="E67" s="13" t="inlineStr">
        <is>
          <t>26052703</t>
        </is>
      </c>
      <c r="F67" s="14">
        <f>IF(E67="","",IF(COUNTIF(lst_Jobs,E67&amp;"")&gt;0,"OK","CHECK"))</f>
        <v/>
      </c>
      <c r="G67" s="13" t="inlineStr">
        <is>
          <t>Microsoft Town Hall 21.7.26</t>
        </is>
      </c>
      <c r="H67" s="13" t="inlineStr">
        <is>
          <t>Production</t>
        </is>
      </c>
      <c r="I67" s="13" t="inlineStr">
        <is>
          <t>PRODUCTION</t>
        </is>
      </c>
      <c r="J67" s="13" t="inlineStr">
        <is>
          <t>Project</t>
        </is>
      </c>
      <c r="K67" s="13" t="inlineStr">
        <is>
          <t>GST 10%</t>
        </is>
      </c>
      <c r="L67" s="15" t="n">
        <v>10885</v>
      </c>
      <c r="M67" s="16">
        <f>IF(L67="","",IF(K67="GST 10%",ROUND(L67*0.1,2),0))</f>
        <v/>
      </c>
      <c r="N67" s="16">
        <f>IF(L67="","",L67+M67)</f>
        <v/>
      </c>
      <c r="O67" s="13" t="inlineStr">
        <is>
          <t>42100</t>
        </is>
      </c>
      <c r="P67" s="13" t="inlineStr">
        <is>
          <t>Y</t>
        </is>
      </c>
      <c r="Q67" s="13" t="inlineStr">
        <is>
          <t>N</t>
        </is>
      </c>
      <c r="R67" s="13" t="inlineStr">
        <is>
          <t>Invoiced</t>
        </is>
      </c>
      <c r="S67" s="13" t="inlineStr">
        <is>
          <t>Production portion of this invoice</t>
        </is>
      </c>
      <c r="T67" s="14">
        <f>IF(COUNTA(A67,D67,C67,L67)=0,"",IF(A67="","No date - sits outside every month",IF(E67="","No job number",IF(F67="CHECK","Job number is not in the Xero job list",IF(I67="","No cost centre",IF(AND(P67="Y",C67=""),"Marked posted to Xero but has no invoice number",IF(AND(L67&lt;&gt;"",K67=""),"No tax code",IF(AND(L67&lt;&gt;"",O67=""),"No revenue GL code",""))))))))</f>
        <v/>
      </c>
    </row>
    <row r="68" ht="15" customHeight="1">
      <c r="A68" s="11" t="n">
        <v>46234</v>
      </c>
      <c r="B68" s="12">
        <f>IF(A68="","",EOMONTH(A68,0))</f>
        <v/>
      </c>
      <c r="C68" s="13" t="inlineStr">
        <is>
          <t>INV-10554</t>
        </is>
      </c>
      <c r="D68" s="13" t="inlineStr">
        <is>
          <t>Microsoft</t>
        </is>
      </c>
      <c r="E68" s="13" t="inlineStr">
        <is>
          <t>26052703</t>
        </is>
      </c>
      <c r="F68" s="14">
        <f>IF(E68="","",IF(COUNTIF(lst_Jobs,E68&amp;"")&gt;0,"OK","CHECK"))</f>
        <v/>
      </c>
      <c r="G68" s="13" t="inlineStr">
        <is>
          <t>Microsoft Town Hall 21.7.26</t>
        </is>
      </c>
      <c r="H68" s="13" t="inlineStr">
        <is>
          <t>Production</t>
        </is>
      </c>
      <c r="I68" s="13" t="inlineStr">
        <is>
          <t>VIDEO</t>
        </is>
      </c>
      <c r="J68" s="13" t="inlineStr">
        <is>
          <t>Project</t>
        </is>
      </c>
      <c r="K68" s="13" t="inlineStr">
        <is>
          <t>GST 10%</t>
        </is>
      </c>
      <c r="L68" s="15" t="n">
        <v>1702</v>
      </c>
      <c r="M68" s="16">
        <f>IF(L68="","",IF(K68="GST 10%",ROUND(L68*0.1,2),0))</f>
        <v/>
      </c>
      <c r="N68" s="16">
        <f>IF(L68="","",L68+M68)</f>
        <v/>
      </c>
      <c r="O68" s="13" t="inlineStr">
        <is>
          <t>42150</t>
        </is>
      </c>
      <c r="P68" s="13" t="inlineStr">
        <is>
          <t>Y</t>
        </is>
      </c>
      <c r="Q68" s="13" t="inlineStr">
        <is>
          <t>N</t>
        </is>
      </c>
      <c r="R68" s="13" t="inlineStr">
        <is>
          <t>Invoiced</t>
        </is>
      </c>
      <c r="S68" s="13" t="inlineStr">
        <is>
          <t>Video portion of this invoice</t>
        </is>
      </c>
      <c r="T68" s="14">
        <f>IF(COUNTA(A68,D68,C68,L68)=0,"",IF(A68="","No date - sits outside every month",IF(E68="","No job number",IF(F68="CHECK","Job number is not in the Xero job list",IF(I68="","No cost centre",IF(AND(P68="Y",C68=""),"Marked posted to Xero but has no invoice number",IF(AND(L68&lt;&gt;"",K68=""),"No tax code",IF(AND(L68&lt;&gt;"",O68=""),"No revenue GL code",""))))))))</f>
        <v/>
      </c>
    </row>
    <row r="69" ht="15" customHeight="1">
      <c r="A69" s="11" t="n">
        <v>46232</v>
      </c>
      <c r="B69" s="12">
        <f>IF(A69="","",EOMONTH(A69,0))</f>
        <v/>
      </c>
      <c r="C69" s="13" t="inlineStr">
        <is>
          <t>INV-10538</t>
        </is>
      </c>
      <c r="D69" s="13" t="inlineStr">
        <is>
          <t>Optiver</t>
        </is>
      </c>
      <c r="E69" s="13" t="inlineStr">
        <is>
          <t>26041603</t>
        </is>
      </c>
      <c r="F69" s="14">
        <f>IF(E69="","",IF(COUNTIF(lst_Jobs,E69&amp;"")&gt;0,"OK","CHECK"))</f>
        <v/>
      </c>
      <c r="G69" s="13" t="inlineStr">
        <is>
          <t>Mid-Year Town Hall 23.7.26</t>
        </is>
      </c>
      <c r="H69" s="13" t="inlineStr">
        <is>
          <t>Production</t>
        </is>
      </c>
      <c r="I69" s="13" t="inlineStr">
        <is>
          <t>PRODUCTION</t>
        </is>
      </c>
      <c r="J69" s="13" t="inlineStr">
        <is>
          <t>Project</t>
        </is>
      </c>
      <c r="K69" s="13" t="inlineStr">
        <is>
          <t>GST 10%</t>
        </is>
      </c>
      <c r="L69" s="15" t="n">
        <v>745</v>
      </c>
      <c r="M69" s="16">
        <f>IF(L69="","",IF(K69="GST 10%",ROUND(L69*0.1,2),0))</f>
        <v/>
      </c>
      <c r="N69" s="16">
        <f>IF(L69="","",L69+M69)</f>
        <v/>
      </c>
      <c r="O69" s="13" t="inlineStr">
        <is>
          <t>42100</t>
        </is>
      </c>
      <c r="P69" s="13" t="inlineStr">
        <is>
          <t>Y</t>
        </is>
      </c>
      <c r="Q69" s="13" t="inlineStr">
        <is>
          <t>N</t>
        </is>
      </c>
      <c r="R69" s="13" t="inlineStr">
        <is>
          <t>Invoiced</t>
        </is>
      </c>
      <c r="S69" s="13" t="n"/>
      <c r="T69" s="14">
        <f>IF(COUNTA(A69,D69,C69,L69)=0,"",IF(A69="","No date - sits outside every month",IF(E69="","No job number",IF(F69="CHECK","Job number is not in the Xero job list",IF(I69="","No cost centre",IF(AND(P69="Y",C69=""),"Marked posted to Xero but has no invoice number",IF(AND(L69&lt;&gt;"",K69=""),"No tax code",IF(AND(L69&lt;&gt;"",O69=""),"No revenue GL code",""))))))))</f>
        <v/>
      </c>
    </row>
    <row r="70" ht="15" customHeight="1">
      <c r="A70" s="11" t="n">
        <v>46234</v>
      </c>
      <c r="B70" s="12">
        <f>IF(A70="","",EOMONTH(A70,0))</f>
        <v/>
      </c>
      <c r="C70" s="13" t="inlineStr">
        <is>
          <t>INV-10540</t>
        </is>
      </c>
      <c r="D70" s="13" t="inlineStr">
        <is>
          <t>Arup</t>
        </is>
      </c>
      <c r="E70" s="13" t="inlineStr">
        <is>
          <t>2605403</t>
        </is>
      </c>
      <c r="F70" s="14">
        <f>IF(E70="","",IF(COUNTIF(lst_Jobs,E70&amp;"")&gt;0,"OK","CHECK"))</f>
        <v/>
      </c>
      <c r="G70" s="13" t="inlineStr">
        <is>
          <t>Oves Awards Night 23.7.26</t>
        </is>
      </c>
      <c r="H70" s="13" t="inlineStr">
        <is>
          <t>Production</t>
        </is>
      </c>
      <c r="I70" s="13" t="inlineStr">
        <is>
          <t>PRODUCTION</t>
        </is>
      </c>
      <c r="J70" s="13" t="inlineStr">
        <is>
          <t>Project</t>
        </is>
      </c>
      <c r="K70" s="13" t="inlineStr">
        <is>
          <t>GST 10%</t>
        </is>
      </c>
      <c r="L70" s="15" t="n">
        <v>5460</v>
      </c>
      <c r="M70" s="16">
        <f>IF(L70="","",IF(K70="GST 10%",ROUND(L70*0.1,2),0))</f>
        <v/>
      </c>
      <c r="N70" s="16">
        <f>IF(L70="","",L70+M70)</f>
        <v/>
      </c>
      <c r="O70" s="13" t="inlineStr">
        <is>
          <t>42100</t>
        </is>
      </c>
      <c r="P70" s="13" t="inlineStr">
        <is>
          <t>Y</t>
        </is>
      </c>
      <c r="Q70" s="13" t="inlineStr">
        <is>
          <t>N</t>
        </is>
      </c>
      <c r="R70" s="13" t="inlineStr">
        <is>
          <t>Invoiced</t>
        </is>
      </c>
      <c r="S70" s="13" t="inlineStr">
        <is>
          <t>Production portion of this invoice</t>
        </is>
      </c>
      <c r="T70" s="14">
        <f>IF(COUNTA(A70,D70,C70,L70)=0,"",IF(A70="","No date - sits outside every month",IF(E70="","No job number",IF(F70="CHECK","Job number is not in the Xero job list",IF(I70="","No cost centre",IF(AND(P70="Y",C70=""),"Marked posted to Xero but has no invoice number",IF(AND(L70&lt;&gt;"",K70=""),"No tax code",IF(AND(L70&lt;&gt;"",O70=""),"No revenue GL code",""))))))))</f>
        <v/>
      </c>
    </row>
    <row r="71" ht="15" customHeight="1">
      <c r="A71" s="11" t="n">
        <v>46234</v>
      </c>
      <c r="B71" s="12">
        <f>IF(A71="","",EOMONTH(A71,0))</f>
        <v/>
      </c>
      <c r="C71" s="13" t="inlineStr">
        <is>
          <t>INV-10540</t>
        </is>
      </c>
      <c r="D71" s="13" t="inlineStr">
        <is>
          <t>Arup</t>
        </is>
      </c>
      <c r="E71" s="13" t="inlineStr">
        <is>
          <t>2605403</t>
        </is>
      </c>
      <c r="F71" s="14">
        <f>IF(E71="","",IF(COUNTIF(lst_Jobs,E71&amp;"")&gt;0,"OK","CHECK"))</f>
        <v/>
      </c>
      <c r="G71" s="13" t="inlineStr">
        <is>
          <t>Oves Awards Night 23.7.26</t>
        </is>
      </c>
      <c r="H71" s="13" t="inlineStr">
        <is>
          <t>Production</t>
        </is>
      </c>
      <c r="I71" s="13" t="inlineStr">
        <is>
          <t>VIDEO</t>
        </is>
      </c>
      <c r="J71" s="13" t="inlineStr">
        <is>
          <t>Project</t>
        </is>
      </c>
      <c r="K71" s="13" t="inlineStr">
        <is>
          <t>GST 10%</t>
        </is>
      </c>
      <c r="L71" s="15" t="n">
        <v>176</v>
      </c>
      <c r="M71" s="16">
        <f>IF(L71="","",IF(K71="GST 10%",ROUND(L71*0.1,2),0))</f>
        <v/>
      </c>
      <c r="N71" s="16">
        <f>IF(L71="","",L71+M71)</f>
        <v/>
      </c>
      <c r="O71" s="13" t="inlineStr">
        <is>
          <t>42150</t>
        </is>
      </c>
      <c r="P71" s="13" t="inlineStr">
        <is>
          <t>Y</t>
        </is>
      </c>
      <c r="Q71" s="13" t="inlineStr">
        <is>
          <t>N</t>
        </is>
      </c>
      <c r="R71" s="13" t="inlineStr">
        <is>
          <t>Invoiced</t>
        </is>
      </c>
      <c r="S71" s="13" t="inlineStr">
        <is>
          <t>Video portion of this invoice</t>
        </is>
      </c>
      <c r="T71" s="14">
        <f>IF(COUNTA(A71,D71,C71,L71)=0,"",IF(A71="","No date - sits outside every month",IF(E71="","No job number",IF(F71="CHECK","Job number is not in the Xero job list",IF(I71="","No cost centre",IF(AND(P71="Y",C71=""),"Marked posted to Xero but has no invoice number",IF(AND(L71&lt;&gt;"",K71=""),"No tax code",IF(AND(L71&lt;&gt;"",O71=""),"No revenue GL code",""))))))))</f>
        <v/>
      </c>
    </row>
    <row r="72" ht="15" customHeight="1">
      <c r="A72" s="11" t="n">
        <v>46234</v>
      </c>
      <c r="B72" s="12">
        <f>IF(A72="","",EOMONTH(A72,0))</f>
        <v/>
      </c>
      <c r="C72" s="13" t="inlineStr">
        <is>
          <t>INV-10552</t>
        </is>
      </c>
      <c r="D72" s="13" t="inlineStr">
        <is>
          <t>On24</t>
        </is>
      </c>
      <c r="E72" s="13" t="inlineStr">
        <is>
          <t>2607901</t>
        </is>
      </c>
      <c r="F72" s="14">
        <f>IF(E72="","",IF(COUNTIF(lst_Jobs,E72&amp;"")&gt;0,"OK","CHECK"))</f>
        <v/>
      </c>
      <c r="G72" s="13" t="inlineStr">
        <is>
          <t>KWM Event 23.7.26 (PO #25962)</t>
        </is>
      </c>
      <c r="H72" s="13" t="inlineStr">
        <is>
          <t>Production</t>
        </is>
      </c>
      <c r="I72" s="13" t="inlineStr">
        <is>
          <t>PRODUCTION</t>
        </is>
      </c>
      <c r="J72" s="13" t="inlineStr">
        <is>
          <t>Project</t>
        </is>
      </c>
      <c r="K72" s="13" t="inlineStr">
        <is>
          <t>GST 10%</t>
        </is>
      </c>
      <c r="L72" s="15" t="n">
        <v>2575</v>
      </c>
      <c r="M72" s="16">
        <f>IF(L72="","",IF(K72="GST 10%",ROUND(L72*0.1,2),0))</f>
        <v/>
      </c>
      <c r="N72" s="16">
        <f>IF(L72="","",L72+M72)</f>
        <v/>
      </c>
      <c r="O72" s="13" t="inlineStr">
        <is>
          <t>42100</t>
        </is>
      </c>
      <c r="P72" s="13" t="inlineStr">
        <is>
          <t>Y</t>
        </is>
      </c>
      <c r="Q72" s="13" t="inlineStr">
        <is>
          <t>N</t>
        </is>
      </c>
      <c r="R72" s="13" t="inlineStr">
        <is>
          <t>Invoiced</t>
        </is>
      </c>
      <c r="S72" s="13" t="n"/>
      <c r="T72" s="14">
        <f>IF(COUNTA(A72,D72,C72,L72)=0,"",IF(A72="","No date - sits outside every month",IF(E72="","No job number",IF(F72="CHECK","Job number is not in the Xero job list",IF(I72="","No cost centre",IF(AND(P72="Y",C72=""),"Marked posted to Xero but has no invoice number",IF(AND(L72&lt;&gt;"",K72=""),"No tax code",IF(AND(L72&lt;&gt;"",O72=""),"No revenue GL code",""))))))))</f>
        <v/>
      </c>
    </row>
    <row r="73" ht="15" customHeight="1">
      <c r="A73" s="11" t="n">
        <v>46223</v>
      </c>
      <c r="B73" s="12">
        <f>IF(A73="","",EOMONTH(A73,0))</f>
        <v/>
      </c>
      <c r="C73" s="13" t="inlineStr">
        <is>
          <t>INV-10533</t>
        </is>
      </c>
      <c r="D73" s="13" t="inlineStr">
        <is>
          <t>Skykick Ranger</t>
        </is>
      </c>
      <c r="E73" s="13" t="inlineStr">
        <is>
          <t>26063001</t>
        </is>
      </c>
      <c r="F73" s="14">
        <f>IF(E73="","",IF(COUNTIF(lst_Jobs,E73&amp;"")&gt;0,"OK","CHECK"))</f>
        <v/>
      </c>
      <c r="G73" s="13" t="inlineStr">
        <is>
          <t>Sydney Performance Dry Hire 26.7.26</t>
        </is>
      </c>
      <c r="H73" s="13" t="inlineStr">
        <is>
          <t>Production</t>
        </is>
      </c>
      <c r="I73" s="13" t="inlineStr">
        <is>
          <t>PRODUCTION</t>
        </is>
      </c>
      <c r="J73" s="13" t="inlineStr">
        <is>
          <t>Project</t>
        </is>
      </c>
      <c r="K73" s="13" t="inlineStr">
        <is>
          <t>GST 10%</t>
        </is>
      </c>
      <c r="L73" s="15" t="n">
        <v>975</v>
      </c>
      <c r="M73" s="16">
        <f>IF(L73="","",IF(K73="GST 10%",ROUND(L73*0.1,2),0))</f>
        <v/>
      </c>
      <c r="N73" s="16">
        <f>IF(L73="","",L73+M73)</f>
        <v/>
      </c>
      <c r="O73" s="13" t="inlineStr">
        <is>
          <t>42100</t>
        </is>
      </c>
      <c r="P73" s="13" t="inlineStr">
        <is>
          <t>Y</t>
        </is>
      </c>
      <c r="Q73" s="13" t="inlineStr">
        <is>
          <t>N</t>
        </is>
      </c>
      <c r="R73" s="13" t="inlineStr">
        <is>
          <t>Invoiced</t>
        </is>
      </c>
      <c r="S73" s="13" t="n"/>
      <c r="T73" s="14">
        <f>IF(COUNTA(A73,D73,C73,L73)=0,"",IF(A73="","No date - sits outside every month",IF(E73="","No job number",IF(F73="CHECK","Job number is not in the Xero job list",IF(I73="","No cost centre",IF(AND(P73="Y",C73=""),"Marked posted to Xero but has no invoice number",IF(AND(L73&lt;&gt;"",K73=""),"No tax code",IF(AND(L73&lt;&gt;"",O73=""),"No revenue GL code",""))))))))</f>
        <v/>
      </c>
    </row>
    <row r="74" ht="15" customHeight="1">
      <c r="A74" s="11" t="n">
        <v>46234</v>
      </c>
      <c r="B74" s="12">
        <f>IF(A74="","",EOMONTH(A74,0))</f>
        <v/>
      </c>
      <c r="C74" s="13" t="inlineStr">
        <is>
          <t>INV-10557</t>
        </is>
      </c>
      <c r="D74" s="13" t="inlineStr">
        <is>
          <t>Ventia</t>
        </is>
      </c>
      <c r="E74" s="13" t="inlineStr">
        <is>
          <t>2604202</t>
        </is>
      </c>
      <c r="F74" s="14">
        <f>IF(E74="","",IF(COUNTIF(lst_Jobs,E74&amp;"")&gt;0,"OK","CHECK"))</f>
        <v/>
      </c>
      <c r="G74" s="13" t="inlineStr">
        <is>
          <t>Ventia Awards 28 &amp; 30.7.26 (PO 4701355678)</t>
        </is>
      </c>
      <c r="H74" s="13" t="inlineStr">
        <is>
          <t>Production</t>
        </is>
      </c>
      <c r="I74" s="13" t="inlineStr">
        <is>
          <t>PRODUCTION</t>
        </is>
      </c>
      <c r="J74" s="13" t="inlineStr">
        <is>
          <t>Project</t>
        </is>
      </c>
      <c r="K74" s="13" t="inlineStr">
        <is>
          <t>GST 10%</t>
        </is>
      </c>
      <c r="L74" s="15" t="n">
        <v>52749.78</v>
      </c>
      <c r="M74" s="16">
        <f>IF(L74="","",IF(K74="GST 10%",ROUND(L74*0.1,2),0))</f>
        <v/>
      </c>
      <c r="N74" s="16">
        <f>IF(L74="","",L74+M74)</f>
        <v/>
      </c>
      <c r="O74" s="13" t="inlineStr">
        <is>
          <t>42100</t>
        </is>
      </c>
      <c r="P74" s="13" t="inlineStr">
        <is>
          <t>Y</t>
        </is>
      </c>
      <c r="Q74" s="13" t="inlineStr">
        <is>
          <t>N</t>
        </is>
      </c>
      <c r="R74" s="13" t="inlineStr">
        <is>
          <t>Invoiced</t>
        </is>
      </c>
      <c r="S74" s="13" t="n"/>
      <c r="T74" s="14">
        <f>IF(COUNTA(A74,D74,C74,L74)=0,"",IF(A74="","No date - sits outside every month",IF(E74="","No job number",IF(F74="CHECK","Job number is not in the Xero job list",IF(I74="","No cost centre",IF(AND(P74="Y",C74=""),"Marked posted to Xero but has no invoice number",IF(AND(L74&lt;&gt;"",K74=""),"No tax code",IF(AND(L74&lt;&gt;"",O74=""),"No revenue GL code",""))))))))</f>
        <v/>
      </c>
    </row>
    <row r="75" ht="15" customHeight="1">
      <c r="A75" s="11" t="n">
        <v>46234</v>
      </c>
      <c r="B75" s="12">
        <f>IF(A75="","",EOMONTH(A75,0))</f>
        <v/>
      </c>
      <c r="C75" s="13" t="inlineStr">
        <is>
          <t>INV-10555</t>
        </is>
      </c>
      <c r="D75" s="13" t="inlineStr">
        <is>
          <t>PWC</t>
        </is>
      </c>
      <c r="E75" s="13" t="inlineStr">
        <is>
          <t>26062202</t>
        </is>
      </c>
      <c r="F75" s="14">
        <f>IF(E75="","",IF(COUNTIF(lst_Jobs,E75&amp;"")&gt;0,"OK","CHECK"))</f>
        <v/>
      </c>
      <c r="G75" s="13" t="inlineStr">
        <is>
          <t>Early Careers Webcast 29.7.26</t>
        </is>
      </c>
      <c r="H75" s="13" t="inlineStr">
        <is>
          <t>Production</t>
        </is>
      </c>
      <c r="I75" s="13" t="inlineStr">
        <is>
          <t>PRODUCTION</t>
        </is>
      </c>
      <c r="J75" s="13" t="inlineStr">
        <is>
          <t>Project</t>
        </is>
      </c>
      <c r="K75" s="13" t="inlineStr">
        <is>
          <t>GST 10%</t>
        </is>
      </c>
      <c r="L75" s="15" t="n">
        <v>1925</v>
      </c>
      <c r="M75" s="16">
        <f>IF(L75="","",IF(K75="GST 10%",ROUND(L75*0.1,2),0))</f>
        <v/>
      </c>
      <c r="N75" s="16">
        <f>IF(L75="","",L75+M75)</f>
        <v/>
      </c>
      <c r="O75" s="13" t="inlineStr">
        <is>
          <t>42100</t>
        </is>
      </c>
      <c r="P75" s="13" t="inlineStr">
        <is>
          <t>Y</t>
        </is>
      </c>
      <c r="Q75" s="13" t="inlineStr">
        <is>
          <t>N</t>
        </is>
      </c>
      <c r="R75" s="13" t="inlineStr">
        <is>
          <t>Invoiced</t>
        </is>
      </c>
      <c r="S75" s="13" t="n"/>
      <c r="T75" s="14">
        <f>IF(COUNTA(A75,D75,C75,L75)=0,"",IF(A75="","No date - sits outside every month",IF(E75="","No job number",IF(F75="CHECK","Job number is not in the Xero job list",IF(I75="","No cost centre",IF(AND(P75="Y",C75=""),"Marked posted to Xero but has no invoice number",IF(AND(L75&lt;&gt;"",K75=""),"No tax code",IF(AND(L75&lt;&gt;"",O75=""),"No revenue GL code",""))))))))</f>
        <v/>
      </c>
    </row>
    <row r="76" ht="15" customHeight="1">
      <c r="A76" s="11" t="n">
        <v>46234</v>
      </c>
      <c r="B76" s="12">
        <f>IF(A76="","",EOMONTH(A76,0))</f>
        <v/>
      </c>
      <c r="C76" s="13" t="inlineStr">
        <is>
          <t>INV-10558</t>
        </is>
      </c>
      <c r="D76" s="13" t="inlineStr">
        <is>
          <t>Ventia (Melbourne)</t>
        </is>
      </c>
      <c r="E76" s="13" t="inlineStr">
        <is>
          <t>26071303</t>
        </is>
      </c>
      <c r="F76" s="14">
        <f>IF(E76="","",IF(COUNTIF(lst_Jobs,E76&amp;"")&gt;0,"OK","CHECK"))</f>
        <v/>
      </c>
      <c r="G76" s="13" t="inlineStr">
        <is>
          <t>Melbourne Office Event 30&amp;31.7.26</t>
        </is>
      </c>
      <c r="H76" s="13" t="inlineStr">
        <is>
          <t>Production</t>
        </is>
      </c>
      <c r="I76" s="13" t="inlineStr">
        <is>
          <t>PRODUCTION</t>
        </is>
      </c>
      <c r="J76" s="13" t="inlineStr">
        <is>
          <t>Project</t>
        </is>
      </c>
      <c r="K76" s="13" t="inlineStr">
        <is>
          <t>GST 10%</t>
        </is>
      </c>
      <c r="L76" s="15" t="n">
        <v>11570</v>
      </c>
      <c r="M76" s="16">
        <f>IF(L76="","",IF(K76="GST 10%",ROUND(L76*0.1,2),0))</f>
        <v/>
      </c>
      <c r="N76" s="16">
        <f>IF(L76="","",L76+M76)</f>
        <v/>
      </c>
      <c r="O76" s="13" t="inlineStr">
        <is>
          <t>42100</t>
        </is>
      </c>
      <c r="P76" s="13" t="inlineStr">
        <is>
          <t>Y</t>
        </is>
      </c>
      <c r="Q76" s="13" t="inlineStr">
        <is>
          <t>N</t>
        </is>
      </c>
      <c r="R76" s="13" t="inlineStr">
        <is>
          <t>Invoiced</t>
        </is>
      </c>
      <c r="S76" s="13" t="n"/>
      <c r="T76" s="14">
        <f>IF(COUNTA(A76,D76,C76,L76)=0,"",IF(A76="","No date - sits outside every month",IF(E76="","No job number",IF(F76="CHECK","Job number is not in the Xero job list",IF(I76="","No cost centre",IF(AND(P76="Y",C76=""),"Marked posted to Xero but has no invoice number",IF(AND(L76&lt;&gt;"",K76=""),"No tax code",IF(AND(L76&lt;&gt;"",O76=""),"No revenue GL code",""))))))))</f>
        <v/>
      </c>
    </row>
    <row r="77" ht="15" customHeight="1">
      <c r="A77" s="11" t="n">
        <v>46234</v>
      </c>
      <c r="B77" s="12">
        <f>IF(A77="","",EOMONTH(A77,0))</f>
        <v/>
      </c>
      <c r="C77" s="13" t="inlineStr">
        <is>
          <t>INV-10556</t>
        </is>
      </c>
      <c r="D77" s="13" t="inlineStr">
        <is>
          <t>Garvan</t>
        </is>
      </c>
      <c r="E77" s="13" t="inlineStr">
        <is>
          <t>26061702</t>
        </is>
      </c>
      <c r="F77" s="14">
        <f>IF(E77="","",IF(COUNTIF(lst_Jobs,E77&amp;"")&gt;0,"OK","CHECK"))</f>
        <v/>
      </c>
      <c r="G77" s="13" t="inlineStr">
        <is>
          <t>Morning Tea Event 31.7.26 (PO-58817)</t>
        </is>
      </c>
      <c r="H77" s="13" t="inlineStr">
        <is>
          <t>Production</t>
        </is>
      </c>
      <c r="I77" s="13" t="inlineStr">
        <is>
          <t>PRODUCTION</t>
        </is>
      </c>
      <c r="J77" s="13" t="inlineStr">
        <is>
          <t>Project</t>
        </is>
      </c>
      <c r="K77" s="13" t="inlineStr">
        <is>
          <t>GST 10%</t>
        </is>
      </c>
      <c r="L77" s="15" t="n">
        <v>1120</v>
      </c>
      <c r="M77" s="16">
        <f>IF(L77="","",IF(K77="GST 10%",ROUND(L77*0.1,2),0))</f>
        <v/>
      </c>
      <c r="N77" s="16">
        <f>IF(L77="","",L77+M77)</f>
        <v/>
      </c>
      <c r="O77" s="13" t="inlineStr">
        <is>
          <t>42100</t>
        </is>
      </c>
      <c r="P77" s="13" t="inlineStr">
        <is>
          <t>Y</t>
        </is>
      </c>
      <c r="Q77" s="13" t="inlineStr">
        <is>
          <t>N</t>
        </is>
      </c>
      <c r="R77" s="13" t="inlineStr">
        <is>
          <t>Invoiced</t>
        </is>
      </c>
      <c r="S77" s="13" t="n"/>
      <c r="T77" s="14">
        <f>IF(COUNTA(A77,D77,C77,L77)=0,"",IF(A77="","No date - sits outside every month",IF(E77="","No job number",IF(F77="CHECK","Job number is not in the Xero job list",IF(I77="","No cost centre",IF(AND(P77="Y",C77=""),"Marked posted to Xero but has no invoice number",IF(AND(L77&lt;&gt;"",K77=""),"No tax code",IF(AND(L77&lt;&gt;"",O77=""),"No revenue GL code",""))))))))</f>
        <v/>
      </c>
    </row>
    <row r="78" ht="15" customHeight="1">
      <c r="A78" s="11" t="n">
        <v>46234</v>
      </c>
      <c r="B78" s="12">
        <f>IF(A78="","",EOMONTH(A78,0))</f>
        <v/>
      </c>
      <c r="C78" s="13" t="inlineStr">
        <is>
          <t>INV-10559</t>
        </is>
      </c>
      <c r="D78" s="13" t="inlineStr">
        <is>
          <t>CBA</t>
        </is>
      </c>
      <c r="E78" s="13" t="inlineStr">
        <is>
          <t>26061701</t>
        </is>
      </c>
      <c r="F78" s="14">
        <f>IF(E78="","",IF(COUNTIF(lst_Jobs,E78&amp;"")&gt;0,"OK","CHECK"))</f>
        <v/>
      </c>
      <c r="G78" s="13" t="inlineStr">
        <is>
          <t>CBA LES July 2026</t>
        </is>
      </c>
      <c r="H78" s="13" t="inlineStr">
        <is>
          <t>Production</t>
        </is>
      </c>
      <c r="I78" s="13" t="inlineStr">
        <is>
          <t>PRODUCTION</t>
        </is>
      </c>
      <c r="J78" s="13" t="inlineStr">
        <is>
          <t>Project</t>
        </is>
      </c>
      <c r="K78" s="13" t="inlineStr">
        <is>
          <t>GST 10%</t>
        </is>
      </c>
      <c r="L78" s="15" t="n">
        <v>8550</v>
      </c>
      <c r="M78" s="16">
        <f>IF(L78="","",IF(K78="GST 10%",ROUND(L78*0.1,2),0))</f>
        <v/>
      </c>
      <c r="N78" s="16">
        <f>IF(L78="","",L78+M78)</f>
        <v/>
      </c>
      <c r="O78" s="13" t="inlineStr">
        <is>
          <t>42100</t>
        </is>
      </c>
      <c r="P78" s="13" t="inlineStr">
        <is>
          <t>Y</t>
        </is>
      </c>
      <c r="Q78" s="13" t="inlineStr">
        <is>
          <t>N</t>
        </is>
      </c>
      <c r="R78" s="13" t="inlineStr">
        <is>
          <t>Invoiced</t>
        </is>
      </c>
      <c r="S78" s="13" t="n"/>
      <c r="T78" s="14">
        <f>IF(COUNTA(A78,D78,C78,L78)=0,"",IF(A78="","No date - sits outside every month",IF(E78="","No job number",IF(F78="CHECK","Job number is not in the Xero job list",IF(I78="","No cost centre",IF(AND(P78="Y",C78=""),"Marked posted to Xero but has no invoice number",IF(AND(L78&lt;&gt;"",K78=""),"No tax code",IF(AND(L78&lt;&gt;"",O78=""),"No revenue GL code",""))))))))</f>
        <v/>
      </c>
    </row>
    <row r="79" ht="15" customHeight="1">
      <c r="A79" s="11" t="n">
        <v>46247</v>
      </c>
      <c r="B79" s="12">
        <f>IF(A79="","",EOMONTH(A79,0))</f>
        <v/>
      </c>
      <c r="C79" s="13" t="inlineStr">
        <is>
          <t>CN-10563</t>
        </is>
      </c>
      <c r="D79" s="13" t="inlineStr">
        <is>
          <t>CBA</t>
        </is>
      </c>
      <c r="E79" s="13" t="inlineStr">
        <is>
          <t>26061701</t>
        </is>
      </c>
      <c r="F79" s="14">
        <f>IF(E79="","",IF(COUNTIF(lst_Jobs,E79&amp;"")&gt;0,"OK","CHECK"))</f>
        <v/>
      </c>
      <c r="G79" s="13" t="inlineStr">
        <is>
          <t>CBA LES July 2026 Loading Reversal</t>
        </is>
      </c>
      <c r="H79" s="13" t="inlineStr">
        <is>
          <t>Production</t>
        </is>
      </c>
      <c r="I79" s="13" t="inlineStr">
        <is>
          <t>PRODUCTION</t>
        </is>
      </c>
      <c r="J79" s="13" t="inlineStr">
        <is>
          <t>Project</t>
        </is>
      </c>
      <c r="K79" s="13" t="inlineStr">
        <is>
          <t>GST 10%</t>
        </is>
      </c>
      <c r="L79" s="15" t="n">
        <v>-332.5</v>
      </c>
      <c r="M79" s="16">
        <f>IF(L79="","",IF(K79="GST 10%",ROUND(L79*0.1,2),0))</f>
        <v/>
      </c>
      <c r="N79" s="16">
        <f>IF(L79="","",L79+M79)</f>
        <v/>
      </c>
      <c r="O79" s="13" t="inlineStr">
        <is>
          <t>42100</t>
        </is>
      </c>
      <c r="P79" s="13" t="inlineStr">
        <is>
          <t>Y</t>
        </is>
      </c>
      <c r="Q79" s="13" t="inlineStr">
        <is>
          <t>N</t>
        </is>
      </c>
      <c r="R79" s="13" t="inlineStr">
        <is>
          <t>Invoiced</t>
        </is>
      </c>
      <c r="S79" s="13" t="n"/>
      <c r="T79" s="14">
        <f>IF(COUNTA(A79,D79,C79,L79)=0,"",IF(A79="","No date - sits outside every month",IF(E79="","No job number",IF(F79="CHECK","Job number is not in the Xero job list",IF(I79="","No cost centre",IF(AND(P79="Y",C79=""),"Marked posted to Xero but has no invoice number",IF(AND(L79&lt;&gt;"",K79=""),"No tax code",IF(AND(L79&lt;&gt;"",O79=""),"No revenue GL code",""))))))))</f>
        <v/>
      </c>
    </row>
    <row r="80" ht="15" customHeight="1">
      <c r="A80" s="11" t="n">
        <v>46247</v>
      </c>
      <c r="B80" s="12">
        <f>IF(A80="","",EOMONTH(A80,0))</f>
        <v/>
      </c>
      <c r="C80" s="13" t="inlineStr">
        <is>
          <t>INV-10561</t>
        </is>
      </c>
      <c r="D80" s="13" t="inlineStr">
        <is>
          <t>RSNSW</t>
        </is>
      </c>
      <c r="E80" s="13" t="inlineStr">
        <is>
          <t>2512804</t>
        </is>
      </c>
      <c r="F80" s="14">
        <f>IF(E80="","",IF(COUNTIF(lst_Jobs,E80&amp;"")&gt;0,"OK","CHECK"))</f>
        <v/>
      </c>
      <c r="G80" s="13" t="inlineStr">
        <is>
          <t>Ordinary General Meeting 5.8.26</t>
        </is>
      </c>
      <c r="H80" s="13" t="inlineStr">
        <is>
          <t>Production</t>
        </is>
      </c>
      <c r="I80" s="13" t="inlineStr">
        <is>
          <t>PRODUCTION</t>
        </is>
      </c>
      <c r="J80" s="13" t="inlineStr">
        <is>
          <t>Project</t>
        </is>
      </c>
      <c r="K80" s="13" t="inlineStr">
        <is>
          <t>GST 10%</t>
        </is>
      </c>
      <c r="L80" s="15" t="n">
        <v>2232</v>
      </c>
      <c r="M80" s="16">
        <f>IF(L80="","",IF(K80="GST 10%",ROUND(L80*0.1,2),0))</f>
        <v/>
      </c>
      <c r="N80" s="16">
        <f>IF(L80="","",L80+M80)</f>
        <v/>
      </c>
      <c r="O80" s="13" t="inlineStr">
        <is>
          <t>42100</t>
        </is>
      </c>
      <c r="P80" s="13" t="inlineStr">
        <is>
          <t>Y</t>
        </is>
      </c>
      <c r="Q80" s="13" t="inlineStr">
        <is>
          <t>N</t>
        </is>
      </c>
      <c r="R80" s="13" t="inlineStr">
        <is>
          <t>Invoiced</t>
        </is>
      </c>
      <c r="S80" s="13" t="inlineStr">
        <is>
          <t>Production portion of this invoice</t>
        </is>
      </c>
      <c r="T80" s="14">
        <f>IF(COUNTA(A80,D80,C80,L80)=0,"",IF(A80="","No date - sits outside every month",IF(E80="","No job number",IF(F80="CHECK","Job number is not in the Xero job list",IF(I80="","No cost centre",IF(AND(P80="Y",C80=""),"Marked posted to Xero but has no invoice number",IF(AND(L80&lt;&gt;"",K80=""),"No tax code",IF(AND(L80&lt;&gt;"",O80=""),"No revenue GL code",""))))))))</f>
        <v/>
      </c>
    </row>
    <row r="81" ht="15" customHeight="1">
      <c r="A81" s="11" t="n">
        <v>46247</v>
      </c>
      <c r="B81" s="12">
        <f>IF(A81="","",EOMONTH(A81,0))</f>
        <v/>
      </c>
      <c r="C81" s="13" t="inlineStr">
        <is>
          <t>INV-10561</t>
        </is>
      </c>
      <c r="D81" s="13" t="inlineStr">
        <is>
          <t>RSNSW</t>
        </is>
      </c>
      <c r="E81" s="13" t="inlineStr">
        <is>
          <t>2512804</t>
        </is>
      </c>
      <c r="F81" s="14">
        <f>IF(E81="","",IF(COUNTIF(lst_Jobs,E81&amp;"")&gt;0,"OK","CHECK"))</f>
        <v/>
      </c>
      <c r="G81" s="13" t="inlineStr">
        <is>
          <t>Ordinary General Meeting 5.8.26</t>
        </is>
      </c>
      <c r="H81" s="13" t="inlineStr">
        <is>
          <t>Production</t>
        </is>
      </c>
      <c r="I81" s="13" t="inlineStr">
        <is>
          <t>VIDEO</t>
        </is>
      </c>
      <c r="J81" s="13" t="inlineStr">
        <is>
          <t>Project</t>
        </is>
      </c>
      <c r="K81" s="13" t="inlineStr">
        <is>
          <t>GST 10%</t>
        </is>
      </c>
      <c r="L81" s="15" t="n">
        <v>1029</v>
      </c>
      <c r="M81" s="16">
        <f>IF(L81="","",IF(K81="GST 10%",ROUND(L81*0.1,2),0))</f>
        <v/>
      </c>
      <c r="N81" s="16">
        <f>IF(L81="","",L81+M81)</f>
        <v/>
      </c>
      <c r="O81" s="13" t="inlineStr">
        <is>
          <t>42150</t>
        </is>
      </c>
      <c r="P81" s="13" t="inlineStr">
        <is>
          <t>Y</t>
        </is>
      </c>
      <c r="Q81" s="13" t="inlineStr">
        <is>
          <t>N</t>
        </is>
      </c>
      <c r="R81" s="13" t="inlineStr">
        <is>
          <t>Invoiced</t>
        </is>
      </c>
      <c r="S81" s="13" t="inlineStr">
        <is>
          <t>Video portion of this invoice</t>
        </is>
      </c>
      <c r="T81" s="14">
        <f>IF(COUNTA(A81,D81,C81,L81)=0,"",IF(A81="","No date - sits outside every month",IF(E81="","No job number",IF(F81="CHECK","Job number is not in the Xero job list",IF(I81="","No cost centre",IF(AND(P81="Y",C81=""),"Marked posted to Xero but has no invoice number",IF(AND(L81&lt;&gt;"",K81=""),"No tax code",IF(AND(L81&lt;&gt;"",O81=""),"No revenue GL code",""))))))))</f>
        <v/>
      </c>
    </row>
    <row r="82" ht="15" customHeight="1">
      <c r="A82" s="11" t="n">
        <v>46247</v>
      </c>
      <c r="B82" s="12">
        <f>IF(A82="","",EOMONTH(A82,0))</f>
        <v/>
      </c>
      <c r="C82" s="13" t="inlineStr">
        <is>
          <t>INV-10560</t>
        </is>
      </c>
      <c r="D82" s="13" t="inlineStr">
        <is>
          <t>Garvan</t>
        </is>
      </c>
      <c r="E82" s="13" t="inlineStr">
        <is>
          <t>2607703</t>
        </is>
      </c>
      <c r="F82" s="14">
        <f>IF(E82="","",IF(COUNTIF(lst_Jobs,E82&amp;"")&gt;0,"OK","CHECK"))</f>
        <v/>
      </c>
      <c r="G82" s="13" t="inlineStr">
        <is>
          <t>YPO Event 6.8.26 (PO-58493)</t>
        </is>
      </c>
      <c r="H82" s="13" t="inlineStr">
        <is>
          <t>Production</t>
        </is>
      </c>
      <c r="I82" s="13" t="inlineStr">
        <is>
          <t>PRODUCTION</t>
        </is>
      </c>
      <c r="J82" s="13" t="inlineStr">
        <is>
          <t>Project</t>
        </is>
      </c>
      <c r="K82" s="13" t="inlineStr">
        <is>
          <t>GST 10%</t>
        </is>
      </c>
      <c r="L82" s="15" t="n">
        <v>2152.5</v>
      </c>
      <c r="M82" s="16">
        <f>IF(L82="","",IF(K82="GST 10%",ROUND(L82*0.1,2),0))</f>
        <v/>
      </c>
      <c r="N82" s="16">
        <f>IF(L82="","",L82+M82)</f>
        <v/>
      </c>
      <c r="O82" s="13" t="inlineStr">
        <is>
          <t>42100</t>
        </is>
      </c>
      <c r="P82" s="13" t="inlineStr">
        <is>
          <t>Y</t>
        </is>
      </c>
      <c r="Q82" s="13" t="inlineStr">
        <is>
          <t>N</t>
        </is>
      </c>
      <c r="R82" s="13" t="inlineStr">
        <is>
          <t>Invoiced</t>
        </is>
      </c>
      <c r="S82" s="13" t="n"/>
      <c r="T82" s="14">
        <f>IF(COUNTA(A82,D82,C82,L82)=0,"",IF(A82="","No date - sits outside every month",IF(E82="","No job number",IF(F82="CHECK","Job number is not in the Xero job list",IF(I82="","No cost centre",IF(AND(P82="Y",C82=""),"Marked posted to Xero but has no invoice number",IF(AND(L82&lt;&gt;"",K82=""),"No tax code",IF(AND(L82&lt;&gt;"",O82=""),"No revenue GL code",""))))))))</f>
        <v/>
      </c>
    </row>
    <row r="83" ht="15" customHeight="1">
      <c r="A83" s="11" t="n">
        <v>46247</v>
      </c>
      <c r="B83" s="12">
        <f>IF(A83="","",EOMONTH(A83,0))</f>
        <v/>
      </c>
      <c r="C83" s="13" t="inlineStr">
        <is>
          <t>INV-10562</t>
        </is>
      </c>
      <c r="D83" s="13" t="inlineStr">
        <is>
          <t>PwC</t>
        </is>
      </c>
      <c r="E83" s="13" t="inlineStr">
        <is>
          <t>26072902</t>
        </is>
      </c>
      <c r="F83" s="14">
        <f>IF(E83="","",IF(COUNTIF(lst_Jobs,E83&amp;"")&gt;0,"OK","CHECK"))</f>
        <v/>
      </c>
      <c r="G83" s="13" t="inlineStr">
        <is>
          <t>AI Townhall 6.8.26 (PO2601703328)</t>
        </is>
      </c>
      <c r="H83" s="13" t="inlineStr">
        <is>
          <t>Production</t>
        </is>
      </c>
      <c r="I83" s="13" t="inlineStr">
        <is>
          <t>PRODUCTION</t>
        </is>
      </c>
      <c r="J83" s="13" t="inlineStr">
        <is>
          <t>Project</t>
        </is>
      </c>
      <c r="K83" s="13" t="inlineStr">
        <is>
          <t>GST 10%</t>
        </is>
      </c>
      <c r="L83" s="15" t="n">
        <v>1165</v>
      </c>
      <c r="M83" s="16">
        <f>IF(L83="","",IF(K83="GST 10%",ROUND(L83*0.1,2),0))</f>
        <v/>
      </c>
      <c r="N83" s="16">
        <f>IF(L83="","",L83+M83)</f>
        <v/>
      </c>
      <c r="O83" s="13" t="inlineStr">
        <is>
          <t>42100</t>
        </is>
      </c>
      <c r="P83" s="13" t="inlineStr">
        <is>
          <t>Y</t>
        </is>
      </c>
      <c r="Q83" s="13" t="inlineStr">
        <is>
          <t>N</t>
        </is>
      </c>
      <c r="R83" s="13" t="inlineStr">
        <is>
          <t>Invoiced</t>
        </is>
      </c>
      <c r="S83" s="13" t="inlineStr">
        <is>
          <t>Production portion of this invoice</t>
        </is>
      </c>
      <c r="T83" s="14">
        <f>IF(COUNTA(A83,D83,C83,L83)=0,"",IF(A83="","No date - sits outside every month",IF(E83="","No job number",IF(F83="CHECK","Job number is not in the Xero job list",IF(I83="","No cost centre",IF(AND(P83="Y",C83=""),"Marked posted to Xero but has no invoice number",IF(AND(L83&lt;&gt;"",K83=""),"No tax code",IF(AND(L83&lt;&gt;"",O83=""),"No revenue GL code",""))))))))</f>
        <v/>
      </c>
    </row>
    <row r="84" ht="15" customHeight="1">
      <c r="A84" s="11" t="n">
        <v>46247</v>
      </c>
      <c r="B84" s="12">
        <f>IF(A84="","",EOMONTH(A84,0))</f>
        <v/>
      </c>
      <c r="C84" s="13" t="inlineStr">
        <is>
          <t>INV-10562</t>
        </is>
      </c>
      <c r="D84" s="13" t="inlineStr">
        <is>
          <t>PwC</t>
        </is>
      </c>
      <c r="E84" s="13" t="inlineStr">
        <is>
          <t>26072902</t>
        </is>
      </c>
      <c r="F84" s="14">
        <f>IF(E84="","",IF(COUNTIF(lst_Jobs,E84&amp;"")&gt;0,"OK","CHECK"))</f>
        <v/>
      </c>
      <c r="G84" s="13" t="inlineStr">
        <is>
          <t>AI Townhall 6.8.26 (PO2601703328)</t>
        </is>
      </c>
      <c r="H84" s="13" t="inlineStr">
        <is>
          <t>Production</t>
        </is>
      </c>
      <c r="I84" s="13" t="inlineStr">
        <is>
          <t>VIDEO</t>
        </is>
      </c>
      <c r="J84" s="13" t="inlineStr">
        <is>
          <t>Project</t>
        </is>
      </c>
      <c r="K84" s="13" t="inlineStr">
        <is>
          <t>GST 10%</t>
        </is>
      </c>
      <c r="L84" s="15" t="n">
        <v>485</v>
      </c>
      <c r="M84" s="16">
        <f>IF(L84="","",IF(K84="GST 10%",ROUND(L84*0.1,2),0))</f>
        <v/>
      </c>
      <c r="N84" s="16">
        <f>IF(L84="","",L84+M84)</f>
        <v/>
      </c>
      <c r="O84" s="13" t="inlineStr">
        <is>
          <t>42150</t>
        </is>
      </c>
      <c r="P84" s="13" t="inlineStr">
        <is>
          <t>Y</t>
        </is>
      </c>
      <c r="Q84" s="13" t="inlineStr">
        <is>
          <t>N</t>
        </is>
      </c>
      <c r="R84" s="13" t="inlineStr">
        <is>
          <t>Invoiced</t>
        </is>
      </c>
      <c r="S84" s="13" t="inlineStr">
        <is>
          <t>Video portion of this invoice</t>
        </is>
      </c>
      <c r="T84" s="14">
        <f>IF(COUNTA(A84,D84,C84,L84)=0,"",IF(A84="","No date - sits outside every month",IF(E84="","No job number",IF(F84="CHECK","Job number is not in the Xero job list",IF(I84="","No cost centre",IF(AND(P84="Y",C84=""),"Marked posted to Xero but has no invoice number",IF(AND(L84&lt;&gt;"",K84=""),"No tax code",IF(AND(L84&lt;&gt;"",O84=""),"No revenue GL code",""))))))))</f>
        <v/>
      </c>
    </row>
    <row r="85" ht="15" customHeight="1">
      <c r="A85" s="11" t="n">
        <v>46255</v>
      </c>
      <c r="B85" s="12">
        <f>IF(A85="","",EOMONTH(A85,0))</f>
        <v/>
      </c>
      <c r="C85" s="13" t="inlineStr">
        <is>
          <t>INV-10580</t>
        </is>
      </c>
      <c r="D85" s="13" t="inlineStr">
        <is>
          <t>Elkiem</t>
        </is>
      </c>
      <c r="E85" s="13" t="inlineStr">
        <is>
          <t>26071901</t>
        </is>
      </c>
      <c r="F85" s="14">
        <f>IF(E85="","",IF(COUNTIF(lst_Jobs,E85&amp;"")&gt;0,"OK","CHECK"))</f>
        <v/>
      </c>
      <c r="G85" s="13" t="inlineStr">
        <is>
          <t>Studio Support 11.8.26</t>
        </is>
      </c>
      <c r="H85" s="13" t="inlineStr">
        <is>
          <t>Production</t>
        </is>
      </c>
      <c r="I85" s="13" t="inlineStr">
        <is>
          <t>PRODUCTION</t>
        </is>
      </c>
      <c r="J85" s="13" t="inlineStr">
        <is>
          <t>Project</t>
        </is>
      </c>
      <c r="K85" s="13" t="inlineStr">
        <is>
          <t>GST 10%</t>
        </is>
      </c>
      <c r="L85" s="15" t="n">
        <v>380</v>
      </c>
      <c r="M85" s="16">
        <f>IF(L85="","",IF(K85="GST 10%",ROUND(L85*0.1,2),0))</f>
        <v/>
      </c>
      <c r="N85" s="16">
        <f>IF(L85="","",L85+M85)</f>
        <v/>
      </c>
      <c r="O85" s="13" t="inlineStr">
        <is>
          <t>42100</t>
        </is>
      </c>
      <c r="P85" s="13" t="inlineStr">
        <is>
          <t>Y</t>
        </is>
      </c>
      <c r="Q85" s="13" t="inlineStr">
        <is>
          <t>N</t>
        </is>
      </c>
      <c r="R85" s="13" t="inlineStr">
        <is>
          <t>Invoiced</t>
        </is>
      </c>
      <c r="S85" s="13" t="n"/>
      <c r="T85" s="14">
        <f>IF(COUNTA(A85,D85,C85,L85)=0,"",IF(A85="","No date - sits outside every month",IF(E85="","No job number",IF(F85="CHECK","Job number is not in the Xero job list",IF(I85="","No cost centre",IF(AND(P85="Y",C85=""),"Marked posted to Xero but has no invoice number",IF(AND(L85&lt;&gt;"",K85=""),"No tax code",IF(AND(L85&lt;&gt;"",O85=""),"No revenue GL code",""))))))))</f>
        <v/>
      </c>
    </row>
    <row r="86" ht="15" customHeight="1">
      <c r="A86" s="11" t="n">
        <v>46255</v>
      </c>
      <c r="B86" s="12">
        <f>IF(A86="","",EOMONTH(A86,0))</f>
        <v/>
      </c>
      <c r="C86" s="13" t="inlineStr">
        <is>
          <t>INV-10581</t>
        </is>
      </c>
      <c r="D86" s="13" t="inlineStr">
        <is>
          <t>CEO Institute</t>
        </is>
      </c>
      <c r="E86" s="13" t="inlineStr">
        <is>
          <t>26063002</t>
        </is>
      </c>
      <c r="F86" s="14">
        <f>IF(E86="","",IF(COUNTIF(lst_Jobs,E86&amp;"")&gt;0,"OK","CHECK"))</f>
        <v/>
      </c>
      <c r="G86" s="13" t="inlineStr">
        <is>
          <t>CEO Connect 11.8.26</t>
        </is>
      </c>
      <c r="H86" s="13" t="inlineStr">
        <is>
          <t>Production</t>
        </is>
      </c>
      <c r="I86" s="13" t="inlineStr">
        <is>
          <t>PRODUCTION</t>
        </is>
      </c>
      <c r="J86" s="13" t="inlineStr">
        <is>
          <t>Project</t>
        </is>
      </c>
      <c r="K86" s="13" t="inlineStr">
        <is>
          <t>GST 10%</t>
        </is>
      </c>
      <c r="L86" s="15" t="n">
        <v>6283</v>
      </c>
      <c r="M86" s="16">
        <f>IF(L86="","",IF(K86="GST 10%",ROUND(L86*0.1,2),0))</f>
        <v/>
      </c>
      <c r="N86" s="16">
        <f>IF(L86="","",L86+M86)</f>
        <v/>
      </c>
      <c r="O86" s="13" t="inlineStr">
        <is>
          <t>42100</t>
        </is>
      </c>
      <c r="P86" s="13" t="inlineStr">
        <is>
          <t>Y</t>
        </is>
      </c>
      <c r="Q86" s="13" t="inlineStr">
        <is>
          <t>N</t>
        </is>
      </c>
      <c r="R86" s="13" t="inlineStr">
        <is>
          <t>Invoiced</t>
        </is>
      </c>
      <c r="S86" s="13" t="inlineStr">
        <is>
          <t>Production portion of this invoice</t>
        </is>
      </c>
      <c r="T86" s="14">
        <f>IF(COUNTA(A86,D86,C86,L86)=0,"",IF(A86="","No date - sits outside every month",IF(E86="","No job number",IF(F86="CHECK","Job number is not in the Xero job list",IF(I86="","No cost centre",IF(AND(P86="Y",C86=""),"Marked posted to Xero but has no invoice number",IF(AND(L86&lt;&gt;"",K86=""),"No tax code",IF(AND(L86&lt;&gt;"",O86=""),"No revenue GL code",""))))))))</f>
        <v/>
      </c>
    </row>
    <row r="87" ht="15" customHeight="1">
      <c r="A87" s="11" t="n">
        <v>46255</v>
      </c>
      <c r="B87" s="12">
        <f>IF(A87="","",EOMONTH(A87,0))</f>
        <v/>
      </c>
      <c r="C87" s="13" t="inlineStr">
        <is>
          <t>INV-10581</t>
        </is>
      </c>
      <c r="D87" s="13" t="inlineStr">
        <is>
          <t>CEO Institute</t>
        </is>
      </c>
      <c r="E87" s="13" t="inlineStr">
        <is>
          <t>26063002</t>
        </is>
      </c>
      <c r="F87" s="14">
        <f>IF(E87="","",IF(COUNTIF(lst_Jobs,E87&amp;"")&gt;0,"OK","CHECK"))</f>
        <v/>
      </c>
      <c r="G87" s="13" t="inlineStr">
        <is>
          <t>CEO Connect 11.8.26</t>
        </is>
      </c>
      <c r="H87" s="13" t="inlineStr">
        <is>
          <t>Production</t>
        </is>
      </c>
      <c r="I87" s="13" t="inlineStr">
        <is>
          <t>VIDEO</t>
        </is>
      </c>
      <c r="J87" s="13" t="inlineStr">
        <is>
          <t>Project</t>
        </is>
      </c>
      <c r="K87" s="13" t="inlineStr">
        <is>
          <t>GST 10%</t>
        </is>
      </c>
      <c r="L87" s="15" t="n">
        <v>1977.35</v>
      </c>
      <c r="M87" s="16">
        <f>IF(L87="","",IF(K87="GST 10%",ROUND(L87*0.1,2),0))</f>
        <v/>
      </c>
      <c r="N87" s="16">
        <f>IF(L87="","",L87+M87)</f>
        <v/>
      </c>
      <c r="O87" s="13" t="inlineStr">
        <is>
          <t>42150</t>
        </is>
      </c>
      <c r="P87" s="13" t="inlineStr">
        <is>
          <t>Y</t>
        </is>
      </c>
      <c r="Q87" s="13" t="inlineStr">
        <is>
          <t>N</t>
        </is>
      </c>
      <c r="R87" s="13" t="inlineStr">
        <is>
          <t>Invoiced</t>
        </is>
      </c>
      <c r="S87" s="13" t="inlineStr">
        <is>
          <t>Video portion of this invoice</t>
        </is>
      </c>
      <c r="T87" s="14">
        <f>IF(COUNTA(A87,D87,C87,L87)=0,"",IF(A87="","No date - sits outside every month",IF(E87="","No job number",IF(F87="CHECK","Job number is not in the Xero job list",IF(I87="","No cost centre",IF(AND(P87="Y",C87=""),"Marked posted to Xero but has no invoice number",IF(AND(L87&lt;&gt;"",K87=""),"No tax code",IF(AND(L87&lt;&gt;"",O87=""),"No revenue GL code",""))))))))</f>
        <v/>
      </c>
    </row>
    <row r="88" ht="15" customHeight="1">
      <c r="A88" s="11" t="n">
        <v>46259</v>
      </c>
      <c r="B88" s="12">
        <f>IF(A88="","",EOMONTH(A88,0))</f>
        <v/>
      </c>
      <c r="C88" s="13" t="inlineStr">
        <is>
          <t>INV-10577</t>
        </is>
      </c>
      <c r="D88" s="13" t="inlineStr">
        <is>
          <t>PwC</t>
        </is>
      </c>
      <c r="E88" s="13" t="inlineStr">
        <is>
          <t>26072903</t>
        </is>
      </c>
      <c r="F88" s="14">
        <f>IF(E88="","",IF(COUNTIF(lst_Jobs,E88&amp;"")&gt;0,"OK","CHECK"))</f>
        <v/>
      </c>
      <c r="G88" s="13" t="inlineStr">
        <is>
          <t>GB Webcast 11.8.26</t>
        </is>
      </c>
      <c r="H88" s="13" t="inlineStr">
        <is>
          <t>Production</t>
        </is>
      </c>
      <c r="I88" s="13" t="inlineStr">
        <is>
          <t>PRODUCTION</t>
        </is>
      </c>
      <c r="J88" s="13" t="inlineStr">
        <is>
          <t>Project</t>
        </is>
      </c>
      <c r="K88" s="13" t="inlineStr">
        <is>
          <t>GST 10%</t>
        </is>
      </c>
      <c r="L88" s="15" t="n">
        <v>3235</v>
      </c>
      <c r="M88" s="16">
        <f>IF(L88="","",IF(K88="GST 10%",ROUND(L88*0.1,2),0))</f>
        <v/>
      </c>
      <c r="N88" s="16">
        <f>IF(L88="","",L88+M88)</f>
        <v/>
      </c>
      <c r="O88" s="13" t="inlineStr">
        <is>
          <t>42100</t>
        </is>
      </c>
      <c r="P88" s="13" t="inlineStr">
        <is>
          <t>Y</t>
        </is>
      </c>
      <c r="Q88" s="13" t="inlineStr">
        <is>
          <t>N</t>
        </is>
      </c>
      <c r="R88" s="13" t="inlineStr">
        <is>
          <t>Invoiced</t>
        </is>
      </c>
      <c r="S88" s="13" t="inlineStr">
        <is>
          <t>Production portion of this invoice</t>
        </is>
      </c>
      <c r="T88" s="14">
        <f>IF(COUNTA(A88,D88,C88,L88)=0,"",IF(A88="","No date - sits outside every month",IF(E88="","No job number",IF(F88="CHECK","Job number is not in the Xero job list",IF(I88="","No cost centre",IF(AND(P88="Y",C88=""),"Marked posted to Xero but has no invoice number",IF(AND(L88&lt;&gt;"",K88=""),"No tax code",IF(AND(L88&lt;&gt;"",O88=""),"No revenue GL code",""))))))))</f>
        <v/>
      </c>
    </row>
    <row r="89" ht="15" customHeight="1">
      <c r="A89" s="11" t="n">
        <v>46259</v>
      </c>
      <c r="B89" s="12">
        <f>IF(A89="","",EOMONTH(A89,0))</f>
        <v/>
      </c>
      <c r="C89" s="13" t="inlineStr">
        <is>
          <t>INV-10577</t>
        </is>
      </c>
      <c r="D89" s="13" t="inlineStr">
        <is>
          <t>PwC</t>
        </is>
      </c>
      <c r="E89" s="13" t="inlineStr">
        <is>
          <t>26072903</t>
        </is>
      </c>
      <c r="F89" s="14">
        <f>IF(E89="","",IF(COUNTIF(lst_Jobs,E89&amp;"")&gt;0,"OK","CHECK"))</f>
        <v/>
      </c>
      <c r="G89" s="13" t="inlineStr">
        <is>
          <t>GB Webcast 11.8.26</t>
        </is>
      </c>
      <c r="H89" s="13" t="inlineStr">
        <is>
          <t>Production</t>
        </is>
      </c>
      <c r="I89" s="13" t="inlineStr">
        <is>
          <t>VIDEO</t>
        </is>
      </c>
      <c r="J89" s="13" t="inlineStr">
        <is>
          <t>Project</t>
        </is>
      </c>
      <c r="K89" s="13" t="inlineStr">
        <is>
          <t>GST 10%</t>
        </is>
      </c>
      <c r="L89" s="15" t="n">
        <v>1065</v>
      </c>
      <c r="M89" s="16">
        <f>IF(L89="","",IF(K89="GST 10%",ROUND(L89*0.1,2),0))</f>
        <v/>
      </c>
      <c r="N89" s="16">
        <f>IF(L89="","",L89+M89)</f>
        <v/>
      </c>
      <c r="O89" s="13" t="inlineStr">
        <is>
          <t>42150</t>
        </is>
      </c>
      <c r="P89" s="13" t="inlineStr">
        <is>
          <t>Y</t>
        </is>
      </c>
      <c r="Q89" s="13" t="inlineStr">
        <is>
          <t>N</t>
        </is>
      </c>
      <c r="R89" s="13" t="inlineStr">
        <is>
          <t>Invoiced</t>
        </is>
      </c>
      <c r="S89" s="13" t="inlineStr">
        <is>
          <t>Video portion of this invoice</t>
        </is>
      </c>
      <c r="T89" s="14">
        <f>IF(COUNTA(A89,D89,C89,L89)=0,"",IF(A89="","No date - sits outside every month",IF(E89="","No job number",IF(F89="CHECK","Job number is not in the Xero job list",IF(I89="","No cost centre",IF(AND(P89="Y",C89=""),"Marked posted to Xero but has no invoice number",IF(AND(L89&lt;&gt;"",K89=""),"No tax code",IF(AND(L89&lt;&gt;"",O89=""),"No revenue GL code",""))))))))</f>
        <v/>
      </c>
    </row>
    <row r="90" ht="15" customHeight="1">
      <c r="A90" s="11" t="n">
        <v>46259</v>
      </c>
      <c r="B90" s="12">
        <f>IF(A90="","",EOMONTH(A90,0))</f>
        <v/>
      </c>
      <c r="C90" s="13" t="inlineStr">
        <is>
          <t>INV - 10584
INV - 10585</t>
        </is>
      </c>
      <c r="D90" s="13" t="inlineStr">
        <is>
          <t>MUFG</t>
        </is>
      </c>
      <c r="E90" s="13" t="inlineStr">
        <is>
          <t>26061104</t>
        </is>
      </c>
      <c r="F90" s="14">
        <f>IF(E90="","",IF(COUNTIF(lst_Jobs,E90&amp;"")&gt;0,"OK","CHECK"))</f>
        <v/>
      </c>
      <c r="G90" s="13" t="inlineStr">
        <is>
          <t>MUFG - Suncorp FYR</t>
        </is>
      </c>
      <c r="H90" s="13" t="inlineStr">
        <is>
          <t>Production</t>
        </is>
      </c>
      <c r="I90" s="13" t="inlineStr">
        <is>
          <t>PRODUCTION</t>
        </is>
      </c>
      <c r="J90" s="13" t="inlineStr">
        <is>
          <t>Project</t>
        </is>
      </c>
      <c r="K90" s="13" t="inlineStr">
        <is>
          <t>GST 10%</t>
        </is>
      </c>
      <c r="L90" s="15" t="n">
        <v>25635.25</v>
      </c>
      <c r="M90" s="16">
        <f>IF(L90="","",IF(K90="GST 10%",ROUND(L90*0.1,2),0))</f>
        <v/>
      </c>
      <c r="N90" s="16">
        <f>IF(L90="","",L90+M90)</f>
        <v/>
      </c>
      <c r="O90" s="13" t="inlineStr">
        <is>
          <t>42100</t>
        </is>
      </c>
      <c r="P90" s="13" t="inlineStr">
        <is>
          <t>Y</t>
        </is>
      </c>
      <c r="Q90" s="13" t="inlineStr">
        <is>
          <t>N</t>
        </is>
      </c>
      <c r="R90" s="13" t="inlineStr">
        <is>
          <t>Invoiced</t>
        </is>
      </c>
      <c r="S90" s="13" t="inlineStr">
        <is>
          <t>Production portion of this invoice</t>
        </is>
      </c>
      <c r="T90" s="14">
        <f>IF(COUNTA(A90,D90,C90,L90)=0,"",IF(A90="","No date - sits outside every month",IF(E90="","No job number",IF(F90="CHECK","Job number is not in the Xero job list",IF(I90="","No cost centre",IF(AND(P90="Y",C90=""),"Marked posted to Xero but has no invoice number",IF(AND(L90&lt;&gt;"",K90=""),"No tax code",IF(AND(L90&lt;&gt;"",O90=""),"No revenue GL code",""))))))))</f>
        <v/>
      </c>
    </row>
    <row r="91" ht="15" customHeight="1">
      <c r="A91" s="11" t="n">
        <v>46259</v>
      </c>
      <c r="B91" s="12">
        <f>IF(A91="","",EOMONTH(A91,0))</f>
        <v/>
      </c>
      <c r="C91" s="13" t="inlineStr">
        <is>
          <t>INV - 10584
INV - 10585</t>
        </is>
      </c>
      <c r="D91" s="13" t="inlineStr">
        <is>
          <t>MUFG</t>
        </is>
      </c>
      <c r="E91" s="13" t="inlineStr">
        <is>
          <t>26061104</t>
        </is>
      </c>
      <c r="F91" s="14">
        <f>IF(E91="","",IF(COUNTIF(lst_Jobs,E91&amp;"")&gt;0,"OK","CHECK"))</f>
        <v/>
      </c>
      <c r="G91" s="13" t="inlineStr">
        <is>
          <t>MUFG - Suncorp FYR</t>
        </is>
      </c>
      <c r="H91" s="13" t="inlineStr">
        <is>
          <t>Production</t>
        </is>
      </c>
      <c r="I91" s="13" t="inlineStr">
        <is>
          <t>VIDEO</t>
        </is>
      </c>
      <c r="J91" s="13" t="inlineStr">
        <is>
          <t>Project</t>
        </is>
      </c>
      <c r="K91" s="13" t="inlineStr">
        <is>
          <t>GST 10%</t>
        </is>
      </c>
      <c r="L91" s="15" t="n">
        <v>3017</v>
      </c>
      <c r="M91" s="16">
        <f>IF(L91="","",IF(K91="GST 10%",ROUND(L91*0.1,2),0))</f>
        <v/>
      </c>
      <c r="N91" s="16">
        <f>IF(L91="","",L91+M91)</f>
        <v/>
      </c>
      <c r="O91" s="13" t="inlineStr">
        <is>
          <t>42150</t>
        </is>
      </c>
      <c r="P91" s="13" t="inlineStr">
        <is>
          <t>Y</t>
        </is>
      </c>
      <c r="Q91" s="13" t="inlineStr">
        <is>
          <t>N</t>
        </is>
      </c>
      <c r="R91" s="13" t="inlineStr">
        <is>
          <t>Invoiced</t>
        </is>
      </c>
      <c r="S91" s="13" t="inlineStr">
        <is>
          <t>Video portion of this invoice</t>
        </is>
      </c>
      <c r="T91" s="14">
        <f>IF(COUNTA(A91,D91,C91,L91)=0,"",IF(A91="","No date - sits outside every month",IF(E91="","No job number",IF(F91="CHECK","Job number is not in the Xero job list",IF(I91="","No cost centre",IF(AND(P91="Y",C91=""),"Marked posted to Xero but has no invoice number",IF(AND(L91&lt;&gt;"",K91=""),"No tax code",IF(AND(L91&lt;&gt;"",O91=""),"No revenue GL code",""))))))))</f>
        <v/>
      </c>
    </row>
    <row r="92" ht="15" customHeight="1">
      <c r="A92" s="11" t="n">
        <v>46247</v>
      </c>
      <c r="B92" s="12">
        <f>IF(A92="","",EOMONTH(A92,0))</f>
        <v/>
      </c>
      <c r="C92" s="13" t="inlineStr">
        <is>
          <t>INV-10563</t>
        </is>
      </c>
      <c r="D92" s="13" t="inlineStr">
        <is>
          <t>CBA</t>
        </is>
      </c>
      <c r="E92" s="13" t="inlineStr">
        <is>
          <t>26061105</t>
        </is>
      </c>
      <c r="F92" s="14">
        <f>IF(E92="","",IF(COUNTIF(lst_Jobs,E92&amp;"")&gt;0,"OK","CHECK"))</f>
        <v/>
      </c>
      <c r="G92" s="13" t="inlineStr">
        <is>
          <t>CBA FYR 2026 (Order PO3308779)</t>
        </is>
      </c>
      <c r="H92" s="13" t="inlineStr">
        <is>
          <t>Production</t>
        </is>
      </c>
      <c r="I92" s="13" t="inlineStr">
        <is>
          <t>PRODUCTION</t>
        </is>
      </c>
      <c r="J92" s="13" t="inlineStr">
        <is>
          <t>Project</t>
        </is>
      </c>
      <c r="K92" s="13" t="inlineStr">
        <is>
          <t>GST 10%</t>
        </is>
      </c>
      <c r="L92" s="15" t="n">
        <v>11320</v>
      </c>
      <c r="M92" s="16">
        <f>IF(L92="","",IF(K92="GST 10%",ROUND(L92*0.1,2),0))</f>
        <v/>
      </c>
      <c r="N92" s="16">
        <f>IF(L92="","",L92+M92)</f>
        <v/>
      </c>
      <c r="O92" s="13" t="inlineStr">
        <is>
          <t>42100</t>
        </is>
      </c>
      <c r="P92" s="13" t="inlineStr">
        <is>
          <t>Y</t>
        </is>
      </c>
      <c r="Q92" s="13" t="inlineStr">
        <is>
          <t>N</t>
        </is>
      </c>
      <c r="R92" s="13" t="inlineStr">
        <is>
          <t>Invoiced</t>
        </is>
      </c>
      <c r="S92" s="13" t="inlineStr">
        <is>
          <t>Production portion of this invoice</t>
        </is>
      </c>
      <c r="T92" s="14">
        <f>IF(COUNTA(A92,D92,C92,L92)=0,"",IF(A92="","No date - sits outside every month",IF(E92="","No job number",IF(F92="CHECK","Job number is not in the Xero job list",IF(I92="","No cost centre",IF(AND(P92="Y",C92=""),"Marked posted to Xero but has no invoice number",IF(AND(L92&lt;&gt;"",K92=""),"No tax code",IF(AND(L92&lt;&gt;"",O92=""),"No revenue GL code",""))))))))</f>
        <v/>
      </c>
    </row>
    <row r="93" ht="15" customHeight="1">
      <c r="A93" s="11" t="n">
        <v>46247</v>
      </c>
      <c r="B93" s="12">
        <f>IF(A93="","",EOMONTH(A93,0))</f>
        <v/>
      </c>
      <c r="C93" s="13" t="inlineStr">
        <is>
          <t>INV-10563</t>
        </is>
      </c>
      <c r="D93" s="13" t="inlineStr">
        <is>
          <t>CBA</t>
        </is>
      </c>
      <c r="E93" s="13" t="inlineStr">
        <is>
          <t>26061105</t>
        </is>
      </c>
      <c r="F93" s="14">
        <f>IF(E93="","",IF(COUNTIF(lst_Jobs,E93&amp;"")&gt;0,"OK","CHECK"))</f>
        <v/>
      </c>
      <c r="G93" s="13" t="inlineStr">
        <is>
          <t>CBA FYR 2026 (Order PO3308779)</t>
        </is>
      </c>
      <c r="H93" s="13" t="inlineStr">
        <is>
          <t>Production</t>
        </is>
      </c>
      <c r="I93" s="13" t="inlineStr">
        <is>
          <t>VIDEO</t>
        </is>
      </c>
      <c r="J93" s="13" t="inlineStr">
        <is>
          <t>Project</t>
        </is>
      </c>
      <c r="K93" s="13" t="inlineStr">
        <is>
          <t>GST 10%</t>
        </is>
      </c>
      <c r="L93" s="15" t="n">
        <v>850</v>
      </c>
      <c r="M93" s="16">
        <f>IF(L93="","",IF(K93="GST 10%",ROUND(L93*0.1,2),0))</f>
        <v/>
      </c>
      <c r="N93" s="16">
        <f>IF(L93="","",L93+M93)</f>
        <v/>
      </c>
      <c r="O93" s="13" t="inlineStr">
        <is>
          <t>42150</t>
        </is>
      </c>
      <c r="P93" s="13" t="inlineStr">
        <is>
          <t>Y</t>
        </is>
      </c>
      <c r="Q93" s="13" t="inlineStr">
        <is>
          <t>N</t>
        </is>
      </c>
      <c r="R93" s="13" t="inlineStr">
        <is>
          <t>Invoiced</t>
        </is>
      </c>
      <c r="S93" s="13" t="inlineStr">
        <is>
          <t>Video portion of this invoice</t>
        </is>
      </c>
      <c r="T93" s="14">
        <f>IF(COUNTA(A93,D93,C93,L93)=0,"",IF(A93="","No date - sits outside every month",IF(E93="","No job number",IF(F93="CHECK","Job number is not in the Xero job list",IF(I93="","No cost centre",IF(AND(P93="Y",C93=""),"Marked posted to Xero but has no invoice number",IF(AND(L93&lt;&gt;"",K93=""),"No tax code",IF(AND(L93&lt;&gt;"",O93=""),"No revenue GL code",""))))))))</f>
        <v/>
      </c>
    </row>
    <row r="94" ht="15" customHeight="1">
      <c r="A94" s="11" t="n">
        <v>46255</v>
      </c>
      <c r="B94" s="12">
        <f>IF(A94="","",EOMONTH(A94,0))</f>
        <v/>
      </c>
      <c r="C94" s="13" t="inlineStr">
        <is>
          <t>INV-10579</t>
        </is>
      </c>
      <c r="D94" s="13" t="inlineStr">
        <is>
          <t>AGL</t>
        </is>
      </c>
      <c r="E94" s="13" t="inlineStr">
        <is>
          <t>2605401</t>
        </is>
      </c>
      <c r="F94" s="14">
        <f>IF(E94="","",IF(COUNTIF(lst_Jobs,E94&amp;"")&gt;0,"OK","CHECK"))</f>
        <v/>
      </c>
      <c r="G94" s="13" t="inlineStr">
        <is>
          <t>AGL FYR - Investor Briefing</t>
        </is>
      </c>
      <c r="H94" s="13" t="inlineStr">
        <is>
          <t>Production</t>
        </is>
      </c>
      <c r="I94" s="13" t="inlineStr">
        <is>
          <t>PRODUCTION</t>
        </is>
      </c>
      <c r="J94" s="13" t="inlineStr">
        <is>
          <t>Project</t>
        </is>
      </c>
      <c r="K94" s="13" t="inlineStr">
        <is>
          <t>GST 10%</t>
        </is>
      </c>
      <c r="L94" s="15" t="n">
        <v>12465.5</v>
      </c>
      <c r="M94" s="16">
        <f>IF(L94="","",IF(K94="GST 10%",ROUND(L94*0.1,2),0))</f>
        <v/>
      </c>
      <c r="N94" s="16">
        <f>IF(L94="","",L94+M94)</f>
        <v/>
      </c>
      <c r="O94" s="13" t="inlineStr">
        <is>
          <t>42100</t>
        </is>
      </c>
      <c r="P94" s="13" t="inlineStr">
        <is>
          <t>Y</t>
        </is>
      </c>
      <c r="Q94" s="13" t="inlineStr">
        <is>
          <t>N</t>
        </is>
      </c>
      <c r="R94" s="13" t="inlineStr">
        <is>
          <t>Invoiced</t>
        </is>
      </c>
      <c r="S94" s="13" t="inlineStr">
        <is>
          <t>Production portion of this invoice</t>
        </is>
      </c>
      <c r="T94" s="14">
        <f>IF(COUNTA(A94,D94,C94,L94)=0,"",IF(A94="","No date - sits outside every month",IF(E94="","No job number",IF(F94="CHECK","Job number is not in the Xero job list",IF(I94="","No cost centre",IF(AND(P94="Y",C94=""),"Marked posted to Xero but has no invoice number",IF(AND(L94&lt;&gt;"",K94=""),"No tax code",IF(AND(L94&lt;&gt;"",O94=""),"No revenue GL code",""))))))))</f>
        <v/>
      </c>
    </row>
    <row r="95" ht="15" customHeight="1">
      <c r="A95" s="11" t="n">
        <v>46255</v>
      </c>
      <c r="B95" s="12">
        <f>IF(A95="","",EOMONTH(A95,0))</f>
        <v/>
      </c>
      <c r="C95" s="13" t="inlineStr">
        <is>
          <t>INV-10579</t>
        </is>
      </c>
      <c r="D95" s="13" t="inlineStr">
        <is>
          <t>AGL</t>
        </is>
      </c>
      <c r="E95" s="13" t="inlineStr">
        <is>
          <t>2605401</t>
        </is>
      </c>
      <c r="F95" s="14">
        <f>IF(E95="","",IF(COUNTIF(lst_Jobs,E95&amp;"")&gt;0,"OK","CHECK"))</f>
        <v/>
      </c>
      <c r="G95" s="13" t="inlineStr">
        <is>
          <t>AGL FYR - Investor Briefing</t>
        </is>
      </c>
      <c r="H95" s="13" t="inlineStr">
        <is>
          <t>Production</t>
        </is>
      </c>
      <c r="I95" s="13" t="inlineStr">
        <is>
          <t>VIDEO</t>
        </is>
      </c>
      <c r="J95" s="13" t="inlineStr">
        <is>
          <t>Project</t>
        </is>
      </c>
      <c r="K95" s="13" t="inlineStr">
        <is>
          <t>GST 10%</t>
        </is>
      </c>
      <c r="L95" s="15" t="n">
        <v>1806</v>
      </c>
      <c r="M95" s="16">
        <f>IF(L95="","",IF(K95="GST 10%",ROUND(L95*0.1,2),0))</f>
        <v/>
      </c>
      <c r="N95" s="16">
        <f>IF(L95="","",L95+M95)</f>
        <v/>
      </c>
      <c r="O95" s="13" t="inlineStr">
        <is>
          <t>42150</t>
        </is>
      </c>
      <c r="P95" s="13" t="inlineStr">
        <is>
          <t>Y</t>
        </is>
      </c>
      <c r="Q95" s="13" t="inlineStr">
        <is>
          <t>N</t>
        </is>
      </c>
      <c r="R95" s="13" t="inlineStr">
        <is>
          <t>Invoiced</t>
        </is>
      </c>
      <c r="S95" s="13" t="inlineStr">
        <is>
          <t>Video portion of this invoice</t>
        </is>
      </c>
      <c r="T95" s="14">
        <f>IF(COUNTA(A95,D95,C95,L95)=0,"",IF(A95="","No date - sits outside every month",IF(E95="","No job number",IF(F95="CHECK","Job number is not in the Xero job list",IF(I95="","No cost centre",IF(AND(P95="Y",C95=""),"Marked posted to Xero but has no invoice number",IF(AND(L95&lt;&gt;"",K95=""),"No tax code",IF(AND(L95&lt;&gt;"",O95=""),"No revenue GL code",""))))))))</f>
        <v/>
      </c>
    </row>
    <row r="96" ht="15" customHeight="1">
      <c r="A96" s="11" t="n">
        <v>46255</v>
      </c>
      <c r="B96" s="12">
        <f>IF(A96="","",EOMONTH(A96,0))</f>
        <v/>
      </c>
      <c r="C96" s="13" t="inlineStr">
        <is>
          <t>INV-10578</t>
        </is>
      </c>
      <c r="D96" s="13" t="inlineStr">
        <is>
          <t>AGL</t>
        </is>
      </c>
      <c r="E96" s="13" t="inlineStr">
        <is>
          <t>2605402</t>
        </is>
      </c>
      <c r="F96" s="14">
        <f>IF(E96="","",IF(COUNTIF(lst_Jobs,E96&amp;"")&gt;0,"OK","CHECK"))</f>
        <v/>
      </c>
      <c r="G96" s="13" t="inlineStr">
        <is>
          <t>AGL FYR - Employee Town Hall</t>
        </is>
      </c>
      <c r="H96" s="13" t="inlineStr">
        <is>
          <t>Production</t>
        </is>
      </c>
      <c r="I96" s="13" t="inlineStr">
        <is>
          <t>PRODUCTION</t>
        </is>
      </c>
      <c r="J96" s="13" t="inlineStr">
        <is>
          <t>Project</t>
        </is>
      </c>
      <c r="K96" s="13" t="inlineStr">
        <is>
          <t>GST 10%</t>
        </is>
      </c>
      <c r="L96" s="15" t="n">
        <v>7148.75</v>
      </c>
      <c r="M96" s="16">
        <f>IF(L96="","",IF(K96="GST 10%",ROUND(L96*0.1,2),0))</f>
        <v/>
      </c>
      <c r="N96" s="16">
        <f>IF(L96="","",L96+M96)</f>
        <v/>
      </c>
      <c r="O96" s="13" t="inlineStr">
        <is>
          <t>42100</t>
        </is>
      </c>
      <c r="P96" s="13" t="inlineStr">
        <is>
          <t>Y</t>
        </is>
      </c>
      <c r="Q96" s="13" t="inlineStr">
        <is>
          <t>N</t>
        </is>
      </c>
      <c r="R96" s="13" t="inlineStr">
        <is>
          <t>Invoiced</t>
        </is>
      </c>
      <c r="S96" s="13" t="n"/>
      <c r="T96" s="14">
        <f>IF(COUNTA(A96,D96,C96,L96)=0,"",IF(A96="","No date - sits outside every month",IF(E96="","No job number",IF(F96="CHECK","Job number is not in the Xero job list",IF(I96="","No cost centre",IF(AND(P96="Y",C96=""),"Marked posted to Xero but has no invoice number",IF(AND(L96&lt;&gt;"",K96=""),"No tax code",IF(AND(L96&lt;&gt;"",O96=""),"No revenue GL code",""))))))))</f>
        <v/>
      </c>
    </row>
    <row r="97" ht="15" customHeight="1">
      <c r="A97" s="11" t="n">
        <v>46255</v>
      </c>
      <c r="B97" s="12">
        <f>IF(A97="","",EOMONTH(A97,0))</f>
        <v/>
      </c>
      <c r="C97" s="13" t="inlineStr">
        <is>
          <t>INV-10599</t>
        </is>
      </c>
      <c r="D97" s="13" t="inlineStr">
        <is>
          <t>ASX</t>
        </is>
      </c>
      <c r="E97" s="13" t="inlineStr">
        <is>
          <t>2608604</t>
        </is>
      </c>
      <c r="F97" s="14">
        <f>IF(E97="","",IF(COUNTIF(lst_Jobs,E97&amp;"")&gt;0,"OK","CHECK"))</f>
        <v/>
      </c>
      <c r="G97" s="13" t="inlineStr">
        <is>
          <t>ASX Employee Townhall 13.8.26</t>
        </is>
      </c>
      <c r="H97" s="13" t="inlineStr">
        <is>
          <t>Production</t>
        </is>
      </c>
      <c r="I97" s="13" t="inlineStr">
        <is>
          <t>PRODUCTION</t>
        </is>
      </c>
      <c r="J97" s="13" t="inlineStr">
        <is>
          <t>Project</t>
        </is>
      </c>
      <c r="K97" s="13" t="inlineStr">
        <is>
          <t>GST 10%</t>
        </is>
      </c>
      <c r="L97" s="15" t="n">
        <v>1025</v>
      </c>
      <c r="M97" s="16">
        <f>IF(L97="","",IF(K97="GST 10%",ROUND(L97*0.1,2),0))</f>
        <v/>
      </c>
      <c r="N97" s="16">
        <f>IF(L97="","",L97+M97)</f>
        <v/>
      </c>
      <c r="O97" s="13" t="inlineStr">
        <is>
          <t>42100</t>
        </is>
      </c>
      <c r="P97" s="13" t="inlineStr">
        <is>
          <t>Y</t>
        </is>
      </c>
      <c r="Q97" s="13" t="inlineStr">
        <is>
          <t>N</t>
        </is>
      </c>
      <c r="R97" s="13" t="inlineStr">
        <is>
          <t>Invoiced</t>
        </is>
      </c>
      <c r="S97" s="13" t="inlineStr">
        <is>
          <t>Production portion of this invoice</t>
        </is>
      </c>
      <c r="T97" s="14">
        <f>IF(COUNTA(A97,D97,C97,L97)=0,"",IF(A97="","No date - sits outside every month",IF(E97="","No job number",IF(F97="CHECK","Job number is not in the Xero job list",IF(I97="","No cost centre",IF(AND(P97="Y",C97=""),"Marked posted to Xero but has no invoice number",IF(AND(L97&lt;&gt;"",K97=""),"No tax code",IF(AND(L97&lt;&gt;"",O97=""),"No revenue GL code",""))))))))</f>
        <v/>
      </c>
    </row>
    <row r="98" ht="15" customHeight="1">
      <c r="A98" s="11" t="n">
        <v>46255</v>
      </c>
      <c r="B98" s="12">
        <f>IF(A98="","",EOMONTH(A98,0))</f>
        <v/>
      </c>
      <c r="C98" s="13" t="inlineStr">
        <is>
          <t>INV-10599</t>
        </is>
      </c>
      <c r="D98" s="13" t="inlineStr">
        <is>
          <t>ASX</t>
        </is>
      </c>
      <c r="E98" s="13" t="inlineStr">
        <is>
          <t>2608604</t>
        </is>
      </c>
      <c r="F98" s="14">
        <f>IF(E98="","",IF(COUNTIF(lst_Jobs,E98&amp;"")&gt;0,"OK","CHECK"))</f>
        <v/>
      </c>
      <c r="G98" s="13" t="inlineStr">
        <is>
          <t>ASX Employee Townhall 13.8.26</t>
        </is>
      </c>
      <c r="H98" s="13" t="inlineStr">
        <is>
          <t>Production</t>
        </is>
      </c>
      <c r="I98" s="13" t="inlineStr">
        <is>
          <t>VIDEO</t>
        </is>
      </c>
      <c r="J98" s="13" t="inlineStr">
        <is>
          <t>Project</t>
        </is>
      </c>
      <c r="K98" s="13" t="inlineStr">
        <is>
          <t>GST 10%</t>
        </is>
      </c>
      <c r="L98" s="15" t="n">
        <v>485</v>
      </c>
      <c r="M98" s="16">
        <f>IF(L98="","",IF(K98="GST 10%",ROUND(L98*0.1,2),0))</f>
        <v/>
      </c>
      <c r="N98" s="16">
        <f>IF(L98="","",L98+M98)</f>
        <v/>
      </c>
      <c r="O98" s="13" t="inlineStr">
        <is>
          <t>42150</t>
        </is>
      </c>
      <c r="P98" s="13" t="inlineStr">
        <is>
          <t>Y</t>
        </is>
      </c>
      <c r="Q98" s="13" t="inlineStr">
        <is>
          <t>N</t>
        </is>
      </c>
      <c r="R98" s="13" t="inlineStr">
        <is>
          <t>Invoiced</t>
        </is>
      </c>
      <c r="S98" s="13" t="inlineStr">
        <is>
          <t>Video portion of this invoice</t>
        </is>
      </c>
      <c r="T98" s="14">
        <f>IF(COUNTA(A98,D98,C98,L98)=0,"",IF(A98="","No date - sits outside every month",IF(E98="","No job number",IF(F98="CHECK","Job number is not in the Xero job list",IF(I98="","No cost centre",IF(AND(P98="Y",C98=""),"Marked posted to Xero but has no invoice number",IF(AND(L98&lt;&gt;"",K98=""),"No tax code",IF(AND(L98&lt;&gt;"",O98=""),"No revenue GL code",""))))))))</f>
        <v/>
      </c>
    </row>
    <row r="99" ht="15" customHeight="1">
      <c r="A99" s="11" t="n">
        <v>46255</v>
      </c>
      <c r="B99" s="12">
        <f>IF(A99="","",EOMONTH(A99,0))</f>
        <v/>
      </c>
      <c r="C99" s="13" t="inlineStr">
        <is>
          <t>INV-10576</t>
        </is>
      </c>
      <c r="D99" s="13" t="inlineStr">
        <is>
          <t>ASX</t>
        </is>
      </c>
      <c r="E99" s="13" t="inlineStr">
        <is>
          <t>26052702</t>
        </is>
      </c>
      <c r="F99" s="14">
        <f>IF(E99="","",IF(COUNTIF(lst_Jobs,E99&amp;"")&gt;0,"OK","CHECK"))</f>
        <v/>
      </c>
      <c r="G99" s="13" t="inlineStr">
        <is>
          <t>ASX FYR Briefing 13.8.26</t>
        </is>
      </c>
      <c r="H99" s="13" t="inlineStr">
        <is>
          <t>Production</t>
        </is>
      </c>
      <c r="I99" s="13" t="inlineStr">
        <is>
          <t>PRODUCTION</t>
        </is>
      </c>
      <c r="J99" s="13" t="inlineStr">
        <is>
          <t>Project</t>
        </is>
      </c>
      <c r="K99" s="13" t="inlineStr">
        <is>
          <t>GST 10%</t>
        </is>
      </c>
      <c r="L99" s="15" t="n">
        <v>34222</v>
      </c>
      <c r="M99" s="16">
        <f>IF(L99="","",IF(K99="GST 10%",ROUND(L99*0.1,2),0))</f>
        <v/>
      </c>
      <c r="N99" s="16">
        <f>IF(L99="","",L99+M99)</f>
        <v/>
      </c>
      <c r="O99" s="13" t="inlineStr">
        <is>
          <t>42100</t>
        </is>
      </c>
      <c r="P99" s="13" t="inlineStr">
        <is>
          <t>Y</t>
        </is>
      </c>
      <c r="Q99" s="13" t="inlineStr">
        <is>
          <t>N</t>
        </is>
      </c>
      <c r="R99" s="13" t="inlineStr">
        <is>
          <t>Invoiced</t>
        </is>
      </c>
      <c r="S99" s="13" t="inlineStr">
        <is>
          <t>Production portion of this invoice</t>
        </is>
      </c>
      <c r="T99" s="14">
        <f>IF(COUNTA(A99,D99,C99,L99)=0,"",IF(A99="","No date - sits outside every month",IF(E99="","No job number",IF(F99="CHECK","Job number is not in the Xero job list",IF(I99="","No cost centre",IF(AND(P99="Y",C99=""),"Marked posted to Xero but has no invoice number",IF(AND(L99&lt;&gt;"",K99=""),"No tax code",IF(AND(L99&lt;&gt;"",O99=""),"No revenue GL code",""))))))))</f>
        <v/>
      </c>
    </row>
    <row r="100" ht="15" customHeight="1">
      <c r="A100" s="11" t="n">
        <v>46255</v>
      </c>
      <c r="B100" s="12">
        <f>IF(A100="","",EOMONTH(A100,0))</f>
        <v/>
      </c>
      <c r="C100" s="13" t="inlineStr">
        <is>
          <t>INV-10576</t>
        </is>
      </c>
      <c r="D100" s="13" t="inlineStr">
        <is>
          <t>ASX</t>
        </is>
      </c>
      <c r="E100" s="13" t="inlineStr">
        <is>
          <t>26052702</t>
        </is>
      </c>
      <c r="F100" s="14">
        <f>IF(E100="","",IF(COUNTIF(lst_Jobs,E100&amp;"")&gt;0,"OK","CHECK"))</f>
        <v/>
      </c>
      <c r="G100" s="13" t="inlineStr">
        <is>
          <t>ASX FYR Briefing 13.8.26</t>
        </is>
      </c>
      <c r="H100" s="13" t="inlineStr">
        <is>
          <t>Production</t>
        </is>
      </c>
      <c r="I100" s="13" t="inlineStr">
        <is>
          <t>VIDEO</t>
        </is>
      </c>
      <c r="J100" s="13" t="inlineStr">
        <is>
          <t>Project</t>
        </is>
      </c>
      <c r="K100" s="13" t="inlineStr">
        <is>
          <t>GST 10%</t>
        </is>
      </c>
      <c r="L100" s="15" t="n">
        <v>3357</v>
      </c>
      <c r="M100" s="16">
        <f>IF(L100="","",IF(K100="GST 10%",ROUND(L100*0.1,2),0))</f>
        <v/>
      </c>
      <c r="N100" s="16">
        <f>IF(L100="","",L100+M100)</f>
        <v/>
      </c>
      <c r="O100" s="13" t="inlineStr">
        <is>
          <t>42150</t>
        </is>
      </c>
      <c r="P100" s="13" t="inlineStr">
        <is>
          <t>Y</t>
        </is>
      </c>
      <c r="Q100" s="13" t="inlineStr">
        <is>
          <t>N</t>
        </is>
      </c>
      <c r="R100" s="13" t="inlineStr">
        <is>
          <t>Invoiced</t>
        </is>
      </c>
      <c r="S100" s="13" t="inlineStr">
        <is>
          <t>Video portion of this invoice</t>
        </is>
      </c>
      <c r="T100" s="14">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row>
    <row r="101" ht="15" customHeight="1">
      <c r="A101" s="11" t="n">
        <v>46261</v>
      </c>
      <c r="B101" s="12">
        <f>IF(A101="","",EOMONTH(A101,0))</f>
        <v/>
      </c>
      <c r="C101" s="13" t="inlineStr">
        <is>
          <t>INV-10600</t>
        </is>
      </c>
      <c r="D101" s="13" t="inlineStr">
        <is>
          <t>ASX</t>
        </is>
      </c>
      <c r="E101" s="13" t="inlineStr">
        <is>
          <t>26072906</t>
        </is>
      </c>
      <c r="F101" s="14">
        <f>IF(E101="","",IF(COUNTIF(lst_Jobs,E101&amp;"")&gt;0,"OK","CHECK"))</f>
        <v/>
      </c>
      <c r="G101" s="13" t="inlineStr">
        <is>
          <t>ASX Advisory Group on Corporate Governance</t>
        </is>
      </c>
      <c r="H101" s="13" t="inlineStr">
        <is>
          <t>Production</t>
        </is>
      </c>
      <c r="I101" s="13" t="inlineStr">
        <is>
          <t>VIDEO</t>
        </is>
      </c>
      <c r="J101" s="13" t="inlineStr">
        <is>
          <t>Project</t>
        </is>
      </c>
      <c r="K101" s="13" t="inlineStr">
        <is>
          <t>GST 10%</t>
        </is>
      </c>
      <c r="L101" s="15" t="n">
        <v>4601.7</v>
      </c>
      <c r="M101" s="16">
        <f>IF(L101="","",IF(K101="GST 10%",ROUND(L101*0.1,2),0))</f>
        <v/>
      </c>
      <c r="N101" s="16">
        <f>IF(L101="","",L101+M101)</f>
        <v/>
      </c>
      <c r="O101" s="13" t="inlineStr">
        <is>
          <t>42150</t>
        </is>
      </c>
      <c r="P101" s="13" t="inlineStr">
        <is>
          <t>Y</t>
        </is>
      </c>
      <c r="Q101" s="13" t="inlineStr">
        <is>
          <t>N</t>
        </is>
      </c>
      <c r="R101" s="13" t="inlineStr">
        <is>
          <t>Invoiced</t>
        </is>
      </c>
      <c r="S101" s="13" t="n"/>
      <c r="T101" s="14">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row>
    <row r="102" ht="15" customHeight="1">
      <c r="A102" s="11" t="n">
        <v>46265</v>
      </c>
      <c r="B102" s="12">
        <f>IF(A102="","",EOMONTH(A102,0))</f>
        <v/>
      </c>
      <c r="C102" s="13" t="inlineStr">
        <is>
          <t>INV-10590</t>
        </is>
      </c>
      <c r="D102" s="13" t="inlineStr">
        <is>
          <t>Cochlear</t>
        </is>
      </c>
      <c r="E102" s="13" t="inlineStr">
        <is>
          <t>2603104</t>
        </is>
      </c>
      <c r="F102" s="14">
        <f>IF(E102="","",IF(COUNTIF(lst_Jobs,E102&amp;"")&gt;0,"OK","CHECK"))</f>
        <v/>
      </c>
      <c r="G102" s="13" t="inlineStr">
        <is>
          <t>Cochlear FY26 Results 18.8.26</t>
        </is>
      </c>
      <c r="H102" s="13" t="inlineStr">
        <is>
          <t>Production</t>
        </is>
      </c>
      <c r="I102" s="13" t="inlineStr">
        <is>
          <t>PRODUCTION</t>
        </is>
      </c>
      <c r="J102" s="13" t="inlineStr">
        <is>
          <t>Project</t>
        </is>
      </c>
      <c r="K102" s="13" t="inlineStr">
        <is>
          <t>GST 10%</t>
        </is>
      </c>
      <c r="L102" s="15" t="n">
        <v>10540.5</v>
      </c>
      <c r="M102" s="16">
        <f>IF(L102="","",IF(K102="GST 10%",ROUND(L102*0.1,2),0))</f>
        <v/>
      </c>
      <c r="N102" s="16">
        <f>IF(L102="","",L102+M102)</f>
        <v/>
      </c>
      <c r="O102" s="13" t="inlineStr">
        <is>
          <t>42100</t>
        </is>
      </c>
      <c r="P102" s="13" t="inlineStr">
        <is>
          <t>Y</t>
        </is>
      </c>
      <c r="Q102" s="13" t="inlineStr">
        <is>
          <t>N</t>
        </is>
      </c>
      <c r="R102" s="13" t="inlineStr">
        <is>
          <t>Invoiced</t>
        </is>
      </c>
      <c r="S102" s="13" t="n"/>
      <c r="T102" s="14">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row>
    <row r="103" ht="15" customHeight="1">
      <c r="A103" s="11" t="n">
        <v>46260</v>
      </c>
      <c r="B103" s="12">
        <f>IF(A103="","",EOMONTH(A103,0))</f>
        <v/>
      </c>
      <c r="C103" s="13" t="inlineStr">
        <is>
          <t>INV-10589</t>
        </is>
      </c>
      <c r="D103" s="13" t="inlineStr">
        <is>
          <t>ON24</t>
        </is>
      </c>
      <c r="E103" s="13" t="inlineStr">
        <is>
          <t>26072802</t>
        </is>
      </c>
      <c r="F103" s="14">
        <f>IF(E103="","",IF(COUNTIF(lst_Jobs,E103&amp;"")&gt;0,"OK","CHECK"))</f>
        <v/>
      </c>
      <c r="G103" s="13" t="inlineStr">
        <is>
          <t>KWM Sydney Event 18.8.26 (PO25962)</t>
        </is>
      </c>
      <c r="H103" s="13" t="inlineStr">
        <is>
          <t>Production</t>
        </is>
      </c>
      <c r="I103" s="13" t="inlineStr">
        <is>
          <t>PRODUCTION</t>
        </is>
      </c>
      <c r="J103" s="13" t="inlineStr">
        <is>
          <t>Project</t>
        </is>
      </c>
      <c r="K103" s="13" t="inlineStr">
        <is>
          <t>GST 10%</t>
        </is>
      </c>
      <c r="L103" s="15" t="n">
        <v>2732.5</v>
      </c>
      <c r="M103" s="16">
        <f>IF(L103="","",IF(K103="GST 10%",ROUND(L103*0.1,2),0))</f>
        <v/>
      </c>
      <c r="N103" s="16">
        <f>IF(L103="","",L103+M103)</f>
        <v/>
      </c>
      <c r="O103" s="13" t="inlineStr">
        <is>
          <t>42100</t>
        </is>
      </c>
      <c r="P103" s="13" t="inlineStr">
        <is>
          <t>Y</t>
        </is>
      </c>
      <c r="Q103" s="13" t="inlineStr">
        <is>
          <t>N</t>
        </is>
      </c>
      <c r="R103" s="13" t="inlineStr">
        <is>
          <t>Invoiced</t>
        </is>
      </c>
      <c r="S103" s="13" t="n"/>
      <c r="T103" s="14">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row>
    <row r="104" ht="15" customHeight="1">
      <c r="A104" s="11" t="n">
        <v>46260</v>
      </c>
      <c r="B104" s="12">
        <f>IF(A104="","",EOMONTH(A104,0))</f>
        <v/>
      </c>
      <c r="C104" s="13" t="inlineStr">
        <is>
          <t>INV-10588</t>
        </is>
      </c>
      <c r="D104" s="13" t="inlineStr">
        <is>
          <t>Dimensional</t>
        </is>
      </c>
      <c r="E104" s="13" t="inlineStr">
        <is>
          <t>26081402</t>
        </is>
      </c>
      <c r="F104" s="14">
        <f>IF(E104="","",IF(COUNTIF(lst_Jobs,E104&amp;"")&gt;0,"OK","CHECK"))</f>
        <v/>
      </c>
      <c r="G104" s="13" t="inlineStr">
        <is>
          <t>AV Support 19.8.26</t>
        </is>
      </c>
      <c r="H104" s="13" t="inlineStr">
        <is>
          <t>Production</t>
        </is>
      </c>
      <c r="I104" s="13" t="inlineStr">
        <is>
          <t>PRODUCTION</t>
        </is>
      </c>
      <c r="J104" s="13" t="inlineStr">
        <is>
          <t>Project</t>
        </is>
      </c>
      <c r="K104" s="13" t="inlineStr">
        <is>
          <t>GST 10%</t>
        </is>
      </c>
      <c r="L104" s="15" t="n">
        <v>460</v>
      </c>
      <c r="M104" s="16">
        <f>IF(L104="","",IF(K104="GST 10%",ROUND(L104*0.1,2),0))</f>
        <v/>
      </c>
      <c r="N104" s="16">
        <f>IF(L104="","",L104+M104)</f>
        <v/>
      </c>
      <c r="O104" s="13" t="inlineStr">
        <is>
          <t>42100</t>
        </is>
      </c>
      <c r="P104" s="13" t="inlineStr">
        <is>
          <t>Y</t>
        </is>
      </c>
      <c r="Q104" s="13" t="inlineStr">
        <is>
          <t>N</t>
        </is>
      </c>
      <c r="R104" s="13" t="inlineStr">
        <is>
          <t>Invoiced</t>
        </is>
      </c>
      <c r="S104" s="13" t="n"/>
      <c r="T104" s="14">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row>
    <row r="105" ht="15" customHeight="1">
      <c r="A105" s="11" t="n">
        <v>46259</v>
      </c>
      <c r="B105" s="12">
        <f>IF(A105="","",EOMONTH(A105,0))</f>
        <v/>
      </c>
      <c r="C105" s="13" t="inlineStr">
        <is>
          <t>INV-10591</t>
        </is>
      </c>
      <c r="D105" s="13" t="inlineStr">
        <is>
          <t>TLC -  Melbourne</t>
        </is>
      </c>
      <c r="E105" s="13" t="inlineStr">
        <is>
          <t>26061106</t>
        </is>
      </c>
      <c r="F105" s="14">
        <f>IF(E105="","",IF(COUNTIF(lst_Jobs,E105&amp;"")&gt;0,"OK","CHECK"))</f>
        <v/>
      </c>
      <c r="G105" s="13" t="inlineStr">
        <is>
          <t>TLC Full Year Results</t>
        </is>
      </c>
      <c r="H105" s="13" t="inlineStr">
        <is>
          <t>Production</t>
        </is>
      </c>
      <c r="I105" s="13" t="inlineStr">
        <is>
          <t>PRODUCTION</t>
        </is>
      </c>
      <c r="J105" s="13" t="inlineStr">
        <is>
          <t>Project</t>
        </is>
      </c>
      <c r="K105" s="13" t="inlineStr">
        <is>
          <t>GST 10%</t>
        </is>
      </c>
      <c r="L105" s="15" t="n">
        <v>12987</v>
      </c>
      <c r="M105" s="16">
        <f>IF(L105="","",IF(K105="GST 10%",ROUND(L105*0.1,2),0))</f>
        <v/>
      </c>
      <c r="N105" s="16">
        <f>IF(L105="","",L105+M105)</f>
        <v/>
      </c>
      <c r="O105" s="13" t="inlineStr">
        <is>
          <t>42100</t>
        </is>
      </c>
      <c r="P105" s="13" t="inlineStr">
        <is>
          <t>Y</t>
        </is>
      </c>
      <c r="Q105" s="13" t="inlineStr">
        <is>
          <t>N</t>
        </is>
      </c>
      <c r="R105" s="13" t="inlineStr">
        <is>
          <t>Invoiced</t>
        </is>
      </c>
      <c r="S105" s="13" t="inlineStr">
        <is>
          <t>Production portion of this invoice</t>
        </is>
      </c>
      <c r="T105" s="14">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row>
    <row r="106" ht="15" customHeight="1">
      <c r="A106" s="11" t="n">
        <v>46259</v>
      </c>
      <c r="B106" s="12">
        <f>IF(A106="","",EOMONTH(A106,0))</f>
        <v/>
      </c>
      <c r="C106" s="13" t="inlineStr">
        <is>
          <t>INV-10591</t>
        </is>
      </c>
      <c r="D106" s="13" t="inlineStr">
        <is>
          <t>TLC -  Melbourne</t>
        </is>
      </c>
      <c r="E106" s="13" t="inlineStr">
        <is>
          <t>26061106</t>
        </is>
      </c>
      <c r="F106" s="14">
        <f>IF(E106="","",IF(COUNTIF(lst_Jobs,E106&amp;"")&gt;0,"OK","CHECK"))</f>
        <v/>
      </c>
      <c r="G106" s="13" t="inlineStr">
        <is>
          <t>TLC Full Year Results</t>
        </is>
      </c>
      <c r="H106" s="13" t="inlineStr">
        <is>
          <t>Production</t>
        </is>
      </c>
      <c r="I106" s="13" t="inlineStr">
        <is>
          <t>VIDEO</t>
        </is>
      </c>
      <c r="J106" s="13" t="inlineStr">
        <is>
          <t>Project</t>
        </is>
      </c>
      <c r="K106" s="13" t="inlineStr">
        <is>
          <t>GST 10%</t>
        </is>
      </c>
      <c r="L106" s="15" t="n">
        <v>674</v>
      </c>
      <c r="M106" s="16">
        <f>IF(L106="","",IF(K106="GST 10%",ROUND(L106*0.1,2),0))</f>
        <v/>
      </c>
      <c r="N106" s="16">
        <f>IF(L106="","",L106+M106)</f>
        <v/>
      </c>
      <c r="O106" s="13" t="inlineStr">
        <is>
          <t>42150</t>
        </is>
      </c>
      <c r="P106" s="13" t="inlineStr">
        <is>
          <t>Y</t>
        </is>
      </c>
      <c r="Q106" s="13" t="inlineStr">
        <is>
          <t>N</t>
        </is>
      </c>
      <c r="R106" s="13" t="inlineStr">
        <is>
          <t>Invoiced</t>
        </is>
      </c>
      <c r="S106" s="13" t="inlineStr">
        <is>
          <t>Video portion of this invoice</t>
        </is>
      </c>
      <c r="T106" s="14">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row>
    <row r="107" ht="15" customHeight="1">
      <c r="A107" s="11" t="n">
        <v>46259</v>
      </c>
      <c r="B107" s="12">
        <f>IF(A107="","",EOMONTH(A107,0))</f>
        <v/>
      </c>
      <c r="C107" s="13" t="inlineStr">
        <is>
          <t>INV-10587</t>
        </is>
      </c>
      <c r="D107" s="13" t="inlineStr">
        <is>
          <t>Downer</t>
        </is>
      </c>
      <c r="E107" s="13" t="inlineStr">
        <is>
          <t>26061107</t>
        </is>
      </c>
      <c r="F107" s="14">
        <f>IF(E107="","",IF(COUNTIF(lst_Jobs,E107&amp;"")&gt;0,"OK","CHECK"))</f>
        <v/>
      </c>
      <c r="G107" s="13" t="inlineStr">
        <is>
          <t>Downer FYR26 20.8.26</t>
        </is>
      </c>
      <c r="H107" s="13" t="inlineStr">
        <is>
          <t>Production</t>
        </is>
      </c>
      <c r="I107" s="13" t="inlineStr">
        <is>
          <t>PRODUCTION</t>
        </is>
      </c>
      <c r="J107" s="13" t="inlineStr">
        <is>
          <t>Project</t>
        </is>
      </c>
      <c r="K107" s="13" t="inlineStr">
        <is>
          <t>GST 10%</t>
        </is>
      </c>
      <c r="L107" s="15" t="n">
        <v>11380.75</v>
      </c>
      <c r="M107" s="16">
        <f>IF(L107="","",IF(K107="GST 10%",ROUND(L107*0.1,2),0))</f>
        <v/>
      </c>
      <c r="N107" s="16">
        <f>IF(L107="","",L107+M107)</f>
        <v/>
      </c>
      <c r="O107" s="13" t="inlineStr">
        <is>
          <t>42100</t>
        </is>
      </c>
      <c r="P107" s="13" t="inlineStr">
        <is>
          <t>Y</t>
        </is>
      </c>
      <c r="Q107" s="13" t="inlineStr">
        <is>
          <t>N</t>
        </is>
      </c>
      <c r="R107" s="13" t="inlineStr">
        <is>
          <t>Invoiced</t>
        </is>
      </c>
      <c r="S107" s="13" t="inlineStr">
        <is>
          <t>Production portion of this invoice</t>
        </is>
      </c>
      <c r="T107" s="14">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row>
    <row r="108" ht="15" customHeight="1">
      <c r="A108" s="11" t="n">
        <v>46259</v>
      </c>
      <c r="B108" s="12">
        <f>IF(A108="","",EOMONTH(A108,0))</f>
        <v/>
      </c>
      <c r="C108" s="13" t="inlineStr">
        <is>
          <t>INV-10587</t>
        </is>
      </c>
      <c r="D108" s="13" t="inlineStr">
        <is>
          <t>Downer</t>
        </is>
      </c>
      <c r="E108" s="13" t="inlineStr">
        <is>
          <t>26061107</t>
        </is>
      </c>
      <c r="F108" s="14">
        <f>IF(E108="","",IF(COUNTIF(lst_Jobs,E108&amp;"")&gt;0,"OK","CHECK"))</f>
        <v/>
      </c>
      <c r="G108" s="13" t="inlineStr">
        <is>
          <t>Downer FYR26 20.8.26</t>
        </is>
      </c>
      <c r="H108" s="13" t="inlineStr">
        <is>
          <t>Production</t>
        </is>
      </c>
      <c r="I108" s="13" t="inlineStr">
        <is>
          <t>VIDEO</t>
        </is>
      </c>
      <c r="J108" s="13" t="inlineStr">
        <is>
          <t>Project</t>
        </is>
      </c>
      <c r="K108" s="13" t="inlineStr">
        <is>
          <t>GST 10%</t>
        </is>
      </c>
      <c r="L108" s="15" t="n">
        <v>263.5</v>
      </c>
      <c r="M108" s="16">
        <f>IF(L108="","",IF(K108="GST 10%",ROUND(L108*0.1,2),0))</f>
        <v/>
      </c>
      <c r="N108" s="16">
        <f>IF(L108="","",L108+M108)</f>
        <v/>
      </c>
      <c r="O108" s="13" t="inlineStr">
        <is>
          <t>42150</t>
        </is>
      </c>
      <c r="P108" s="13" t="inlineStr">
        <is>
          <t>Y</t>
        </is>
      </c>
      <c r="Q108" s="13" t="inlineStr">
        <is>
          <t>N</t>
        </is>
      </c>
      <c r="R108" s="13" t="inlineStr">
        <is>
          <t>Invoiced</t>
        </is>
      </c>
      <c r="S108" s="13" t="inlineStr">
        <is>
          <t>Video portion of this invoice</t>
        </is>
      </c>
      <c r="T108" s="14">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row>
    <row r="109" ht="15" customHeight="1">
      <c r="A109" s="11" t="n">
        <v>46260</v>
      </c>
      <c r="B109" s="12">
        <f>IF(A109="","",EOMONTH(A109,0))</f>
        <v/>
      </c>
      <c r="C109" s="13" t="inlineStr">
        <is>
          <t>INV-10586</t>
        </is>
      </c>
      <c r="D109" s="13" t="inlineStr">
        <is>
          <t>Garvan</t>
        </is>
      </c>
      <c r="E109" s="13" t="inlineStr">
        <is>
          <t>26073110</t>
        </is>
      </c>
      <c r="F109" s="14">
        <f>IF(E109="","",IF(COUNTIF(lst_Jobs,E109&amp;"")&gt;0,"OK","CHECK"))</f>
        <v/>
      </c>
      <c r="G109" s="13" t="inlineStr">
        <is>
          <t>Garvan - Weizmann Dinner Event</t>
        </is>
      </c>
      <c r="H109" s="13" t="inlineStr">
        <is>
          <t>Production</t>
        </is>
      </c>
      <c r="I109" s="13" t="inlineStr">
        <is>
          <t>PRODUCTION</t>
        </is>
      </c>
      <c r="J109" s="13" t="inlineStr">
        <is>
          <t>Project</t>
        </is>
      </c>
      <c r="K109" s="13" t="inlineStr">
        <is>
          <t>GST 10%</t>
        </is>
      </c>
      <c r="L109" s="15" t="n">
        <v>1055</v>
      </c>
      <c r="M109" s="16">
        <f>IF(L109="","",IF(K109="GST 10%",ROUND(L109*0.1,2),0))</f>
        <v/>
      </c>
      <c r="N109" s="16">
        <f>IF(L109="","",L109+M109)</f>
        <v/>
      </c>
      <c r="O109" s="13" t="inlineStr">
        <is>
          <t>42100</t>
        </is>
      </c>
      <c r="P109" s="13" t="inlineStr">
        <is>
          <t>Y</t>
        </is>
      </c>
      <c r="Q109" s="13" t="inlineStr">
        <is>
          <t>N</t>
        </is>
      </c>
      <c r="R109" s="13" t="inlineStr">
        <is>
          <t>Invoiced</t>
        </is>
      </c>
      <c r="S109" s="13" t="n"/>
      <c r="T109" s="14">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row>
    <row r="110" ht="15" customHeight="1">
      <c r="A110" s="11" t="n"/>
      <c r="B110" s="12">
        <f>IF(A110="","",EOMONTH(A110,0))</f>
        <v/>
      </c>
      <c r="C110" s="13" t="inlineStr">
        <is>
          <t>Package</t>
        </is>
      </c>
      <c r="D110" s="13" t="inlineStr">
        <is>
          <t>APA</t>
        </is>
      </c>
      <c r="E110" s="13" t="inlineStr">
        <is>
          <t>25121208</t>
        </is>
      </c>
      <c r="F110" s="14">
        <f>IF(E110="","",IF(COUNTIF(lst_Jobs,E110&amp;"")&gt;0,"OK","CHECK"))</f>
        <v/>
      </c>
      <c r="G110" s="13" t="inlineStr">
        <is>
          <t>APA FYR Investor Briefing 20.8.26</t>
        </is>
      </c>
      <c r="H110" s="13" t="inlineStr">
        <is>
          <t>Production</t>
        </is>
      </c>
      <c r="I110" s="13" t="inlineStr">
        <is>
          <t>PRODUCTION</t>
        </is>
      </c>
      <c r="J110" s="13" t="inlineStr">
        <is>
          <t>Project</t>
        </is>
      </c>
      <c r="K110" s="13" t="inlineStr">
        <is>
          <t>GST 10%</t>
        </is>
      </c>
      <c r="L110" s="15" t="n">
        <v>8472.5</v>
      </c>
      <c r="M110" s="16">
        <f>IF(L110="","",IF(K110="GST 10%",ROUND(L110*0.1,2),0))</f>
        <v/>
      </c>
      <c r="N110" s="16">
        <f>IF(L110="","",L110+M110)</f>
        <v/>
      </c>
      <c r="O110" s="13" t="inlineStr">
        <is>
          <t>42100</t>
        </is>
      </c>
      <c r="P110" s="13" t="inlineStr">
        <is>
          <t>Y</t>
        </is>
      </c>
      <c r="Q110" s="13" t="inlineStr">
        <is>
          <t>N</t>
        </is>
      </c>
      <c r="R110" s="13" t="inlineStr">
        <is>
          <t>Invoiced</t>
        </is>
      </c>
      <c r="S110" s="13" t="n"/>
      <c r="T110" s="14">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row>
    <row r="111" ht="15" customHeight="1">
      <c r="A111" s="11" t="n"/>
      <c r="B111" s="12">
        <f>IF(A111="","",EOMONTH(A111,0))</f>
        <v/>
      </c>
      <c r="C111" s="13" t="inlineStr">
        <is>
          <t>Package</t>
        </is>
      </c>
      <c r="D111" s="13" t="inlineStr">
        <is>
          <t>APA</t>
        </is>
      </c>
      <c r="E111" s="13" t="inlineStr">
        <is>
          <t>26061108</t>
        </is>
      </c>
      <c r="F111" s="14">
        <f>IF(E111="","",IF(COUNTIF(lst_Jobs,E111&amp;"")&gt;0,"OK","CHECK"))</f>
        <v/>
      </c>
      <c r="G111" s="13" t="inlineStr">
        <is>
          <t>APA FYR Town Hall 20.8.26</t>
        </is>
      </c>
      <c r="H111" s="13" t="inlineStr">
        <is>
          <t>Production</t>
        </is>
      </c>
      <c r="I111" s="13" t="inlineStr">
        <is>
          <t>PRODUCTION</t>
        </is>
      </c>
      <c r="J111" s="13" t="inlineStr">
        <is>
          <t>Project</t>
        </is>
      </c>
      <c r="K111" s="13" t="inlineStr">
        <is>
          <t>GST 10%</t>
        </is>
      </c>
      <c r="L111" s="15" t="n">
        <v>11339</v>
      </c>
      <c r="M111" s="16">
        <f>IF(L111="","",IF(K111="GST 10%",ROUND(L111*0.1,2),0))</f>
        <v/>
      </c>
      <c r="N111" s="16">
        <f>IF(L111="","",L111+M111)</f>
        <v/>
      </c>
      <c r="O111" s="13" t="inlineStr">
        <is>
          <t>42100</t>
        </is>
      </c>
      <c r="P111" s="13" t="inlineStr">
        <is>
          <t>Y</t>
        </is>
      </c>
      <c r="Q111" s="13" t="inlineStr">
        <is>
          <t>N</t>
        </is>
      </c>
      <c r="R111" s="13" t="inlineStr">
        <is>
          <t>Invoiced</t>
        </is>
      </c>
      <c r="S111" s="13" t="inlineStr">
        <is>
          <t>Production portion of this invoice</t>
        </is>
      </c>
      <c r="T111" s="14">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row>
    <row r="112" ht="15" customHeight="1">
      <c r="A112" s="11" t="n"/>
      <c r="B112" s="12">
        <f>IF(A112="","",EOMONTH(A112,0))</f>
        <v/>
      </c>
      <c r="C112" s="13" t="inlineStr">
        <is>
          <t>Package</t>
        </is>
      </c>
      <c r="D112" s="13" t="inlineStr">
        <is>
          <t>APA</t>
        </is>
      </c>
      <c r="E112" s="13" t="inlineStr">
        <is>
          <t>26061108</t>
        </is>
      </c>
      <c r="F112" s="14">
        <f>IF(E112="","",IF(COUNTIF(lst_Jobs,E112&amp;"")&gt;0,"OK","CHECK"))</f>
        <v/>
      </c>
      <c r="G112" s="13" t="inlineStr">
        <is>
          <t>APA FYR Town Hall 20.8.26</t>
        </is>
      </c>
      <c r="H112" s="13" t="inlineStr">
        <is>
          <t>Production</t>
        </is>
      </c>
      <c r="I112" s="13" t="inlineStr">
        <is>
          <t>VIDEO</t>
        </is>
      </c>
      <c r="J112" s="13" t="inlineStr">
        <is>
          <t>Project</t>
        </is>
      </c>
      <c r="K112" s="13" t="inlineStr">
        <is>
          <t>GST 10%</t>
        </is>
      </c>
      <c r="L112" s="15" t="n">
        <v>1261.6</v>
      </c>
      <c r="M112" s="16">
        <f>IF(L112="","",IF(K112="GST 10%",ROUND(L112*0.1,2),0))</f>
        <v/>
      </c>
      <c r="N112" s="16">
        <f>IF(L112="","",L112+M112)</f>
        <v/>
      </c>
      <c r="O112" s="13" t="inlineStr">
        <is>
          <t>42150</t>
        </is>
      </c>
      <c r="P112" s="13" t="inlineStr">
        <is>
          <t>Y</t>
        </is>
      </c>
      <c r="Q112" s="13" t="inlineStr">
        <is>
          <t>N</t>
        </is>
      </c>
      <c r="R112" s="13" t="inlineStr">
        <is>
          <t>Invoiced</t>
        </is>
      </c>
      <c r="S112" s="13" t="inlineStr">
        <is>
          <t>Video portion of this invoice</t>
        </is>
      </c>
      <c r="T112" s="14">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row>
    <row r="113" ht="15" customHeight="1">
      <c r="A113" s="11" t="n">
        <v>46265</v>
      </c>
      <c r="B113" s="12">
        <f>IF(A113="","",EOMONTH(A113,0))</f>
        <v/>
      </c>
      <c r="C113" s="13" t="inlineStr">
        <is>
          <t>INV-10593</t>
        </is>
      </c>
      <c r="D113" s="13" t="inlineStr">
        <is>
          <t>Ventia</t>
        </is>
      </c>
      <c r="E113" s="13" t="inlineStr">
        <is>
          <t>26061109</t>
        </is>
      </c>
      <c r="F113" s="14">
        <f>IF(E113="","",IF(COUNTIF(lst_Jobs,E113&amp;"")&gt;0,"OK","CHECK"))</f>
        <v/>
      </c>
      <c r="G113" s="13" t="inlineStr">
        <is>
          <t>Ventia HYR Employee Town Hall 24.8.26 (PO 4701366307)</t>
        </is>
      </c>
      <c r="H113" s="13" t="inlineStr">
        <is>
          <t>Production</t>
        </is>
      </c>
      <c r="I113" s="13" t="inlineStr">
        <is>
          <t>PRODUCTION</t>
        </is>
      </c>
      <c r="J113" s="13" t="inlineStr">
        <is>
          <t>Project</t>
        </is>
      </c>
      <c r="K113" s="13" t="inlineStr">
        <is>
          <t>GST 10%</t>
        </is>
      </c>
      <c r="L113" s="15" t="n">
        <v>11630.5</v>
      </c>
      <c r="M113" s="16">
        <f>IF(L113="","",IF(K113="GST 10%",ROUND(L113*0.1,2),0))</f>
        <v/>
      </c>
      <c r="N113" s="16">
        <f>IF(L113="","",L113+M113)</f>
        <v/>
      </c>
      <c r="O113" s="13" t="inlineStr">
        <is>
          <t>42100</t>
        </is>
      </c>
      <c r="P113" s="13" t="inlineStr">
        <is>
          <t>Y</t>
        </is>
      </c>
      <c r="Q113" s="13" t="inlineStr">
        <is>
          <t>N</t>
        </is>
      </c>
      <c r="R113" s="13" t="inlineStr">
        <is>
          <t>Invoiced</t>
        </is>
      </c>
      <c r="S113" s="13" t="inlineStr">
        <is>
          <t>Production portion of this invoice</t>
        </is>
      </c>
      <c r="T113" s="14">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row>
    <row r="114" ht="15" customHeight="1">
      <c r="A114" s="11" t="n">
        <v>46265</v>
      </c>
      <c r="B114" s="12">
        <f>IF(A114="","",EOMONTH(A114,0))</f>
        <v/>
      </c>
      <c r="C114" s="13" t="inlineStr">
        <is>
          <t>INV-10593</t>
        </is>
      </c>
      <c r="D114" s="13" t="inlineStr">
        <is>
          <t>Ventia</t>
        </is>
      </c>
      <c r="E114" s="13" t="inlineStr">
        <is>
          <t>26061109</t>
        </is>
      </c>
      <c r="F114" s="14">
        <f>IF(E114="","",IF(COUNTIF(lst_Jobs,E114&amp;"")&gt;0,"OK","CHECK"))</f>
        <v/>
      </c>
      <c r="G114" s="13" t="inlineStr">
        <is>
          <t>Ventia HYR Employee Town Hall 24.8.26 (PO 4701366307)</t>
        </is>
      </c>
      <c r="H114" s="13" t="inlineStr">
        <is>
          <t>Production</t>
        </is>
      </c>
      <c r="I114" s="13" t="inlineStr">
        <is>
          <t>VIDEO</t>
        </is>
      </c>
      <c r="J114" s="13" t="inlineStr">
        <is>
          <t>Project</t>
        </is>
      </c>
      <c r="K114" s="13" t="inlineStr">
        <is>
          <t>GST 10%</t>
        </is>
      </c>
      <c r="L114" s="15" t="n">
        <v>1771</v>
      </c>
      <c r="M114" s="16">
        <f>IF(L114="","",IF(K114="GST 10%",ROUND(L114*0.1,2),0))</f>
        <v/>
      </c>
      <c r="N114" s="16">
        <f>IF(L114="","",L114+M114)</f>
        <v/>
      </c>
      <c r="O114" s="13" t="inlineStr">
        <is>
          <t>42150</t>
        </is>
      </c>
      <c r="P114" s="13" t="inlineStr">
        <is>
          <t>Y</t>
        </is>
      </c>
      <c r="Q114" s="13" t="inlineStr">
        <is>
          <t>N</t>
        </is>
      </c>
      <c r="R114" s="13" t="inlineStr">
        <is>
          <t>Invoiced</t>
        </is>
      </c>
      <c r="S114" s="13" t="inlineStr">
        <is>
          <t>Video portion of this invoice</t>
        </is>
      </c>
      <c r="T114" s="14">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row>
    <row r="115" ht="15" customHeight="1">
      <c r="A115" s="11" t="n">
        <v>46265</v>
      </c>
      <c r="B115" s="12">
        <f>IF(A115="","",EOMONTH(A115,0))</f>
        <v/>
      </c>
      <c r="C115" s="13" t="inlineStr">
        <is>
          <t>INV-10612</t>
        </is>
      </c>
      <c r="D115" s="13" t="inlineStr">
        <is>
          <t>Ventia</t>
        </is>
      </c>
      <c r="E115" s="13" t="inlineStr">
        <is>
          <t>26071501</t>
        </is>
      </c>
      <c r="F115" s="14">
        <f>IF(E115="","",IF(COUNTIF(lst_Jobs,E115&amp;"")&gt;0,"OK","CHECK"))</f>
        <v/>
      </c>
      <c r="G115" s="13" t="inlineStr">
        <is>
          <t>Ventia Half Year Results Briefing</t>
        </is>
      </c>
      <c r="H115" s="13" t="inlineStr">
        <is>
          <t>Production</t>
        </is>
      </c>
      <c r="I115" s="13" t="inlineStr">
        <is>
          <t>PRODUCTION</t>
        </is>
      </c>
      <c r="J115" s="13" t="inlineStr">
        <is>
          <t>Project</t>
        </is>
      </c>
      <c r="K115" s="13" t="inlineStr">
        <is>
          <t>GST 10%</t>
        </is>
      </c>
      <c r="L115" s="15" t="n">
        <v>10835.49</v>
      </c>
      <c r="M115" s="16">
        <f>IF(L115="","",IF(K115="GST 10%",ROUND(L115*0.1,2),0))</f>
        <v/>
      </c>
      <c r="N115" s="16">
        <f>IF(L115="","",L115+M115)</f>
        <v/>
      </c>
      <c r="O115" s="13" t="inlineStr">
        <is>
          <t>42100</t>
        </is>
      </c>
      <c r="P115" s="13" t="inlineStr">
        <is>
          <t>Y</t>
        </is>
      </c>
      <c r="Q115" s="13" t="inlineStr">
        <is>
          <t>N</t>
        </is>
      </c>
      <c r="R115" s="13" t="inlineStr">
        <is>
          <t>Invoiced</t>
        </is>
      </c>
      <c r="S115" s="13" t="n"/>
      <c r="T115" s="14">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row>
    <row r="116" ht="15" customHeight="1">
      <c r="A116" s="11" t="n">
        <v>46265</v>
      </c>
      <c r="B116" s="12">
        <f>IF(A116="","",EOMONTH(A116,0))</f>
        <v/>
      </c>
      <c r="C116" s="13" t="inlineStr">
        <is>
          <t>INV-10611</t>
        </is>
      </c>
      <c r="D116" s="13" t="inlineStr">
        <is>
          <t>Downer - Melbourne</t>
        </is>
      </c>
      <c r="E116" s="13" t="inlineStr">
        <is>
          <t>26073111</t>
        </is>
      </c>
      <c r="F116" s="14">
        <f>IF(E116="","",IF(COUNTIF(lst_Jobs,E116&amp;"")&gt;0,"OK","CHECK"))</f>
        <v/>
      </c>
      <c r="G116" s="13" t="inlineStr">
        <is>
          <t>Employee Results Briefing</t>
        </is>
      </c>
      <c r="H116" s="13" t="inlineStr">
        <is>
          <t>Production</t>
        </is>
      </c>
      <c r="I116" s="13" t="inlineStr">
        <is>
          <t>PRODUCTION</t>
        </is>
      </c>
      <c r="J116" s="13" t="inlineStr">
        <is>
          <t>Project</t>
        </is>
      </c>
      <c r="K116" s="13" t="inlineStr">
        <is>
          <t>GST 10%</t>
        </is>
      </c>
      <c r="L116" s="15" t="n">
        <v>22628.75</v>
      </c>
      <c r="M116" s="16">
        <f>IF(L116="","",IF(K116="GST 10%",ROUND(L116*0.1,2),0))</f>
        <v/>
      </c>
      <c r="N116" s="16">
        <f>IF(L116="","",L116+M116)</f>
        <v/>
      </c>
      <c r="O116" s="13" t="inlineStr">
        <is>
          <t>42100</t>
        </is>
      </c>
      <c r="P116" s="13" t="inlineStr">
        <is>
          <t>Y</t>
        </is>
      </c>
      <c r="Q116" s="13" t="inlineStr">
        <is>
          <t>N</t>
        </is>
      </c>
      <c r="R116" s="13" t="inlineStr">
        <is>
          <t>Invoiced</t>
        </is>
      </c>
      <c r="S116" s="13" t="inlineStr">
        <is>
          <t>Production portion of this invoice</t>
        </is>
      </c>
      <c r="T116" s="14">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row>
    <row r="117" ht="15" customHeight="1">
      <c r="A117" s="11" t="n">
        <v>46265</v>
      </c>
      <c r="B117" s="12">
        <f>IF(A117="","",EOMONTH(A117,0))</f>
        <v/>
      </c>
      <c r="C117" s="13" t="inlineStr">
        <is>
          <t>INV-10611</t>
        </is>
      </c>
      <c r="D117" s="13" t="inlineStr">
        <is>
          <t>Downer - Melbourne</t>
        </is>
      </c>
      <c r="E117" s="13" t="inlineStr">
        <is>
          <t>26073111</t>
        </is>
      </c>
      <c r="F117" s="14">
        <f>IF(E117="","",IF(COUNTIF(lst_Jobs,E117&amp;"")&gt;0,"OK","CHECK"))</f>
        <v/>
      </c>
      <c r="G117" s="13" t="inlineStr">
        <is>
          <t>Employee Results Briefing</t>
        </is>
      </c>
      <c r="H117" s="13" t="inlineStr">
        <is>
          <t>Production</t>
        </is>
      </c>
      <c r="I117" s="13" t="inlineStr">
        <is>
          <t>VIDEO</t>
        </is>
      </c>
      <c r="J117" s="13" t="inlineStr">
        <is>
          <t>Project</t>
        </is>
      </c>
      <c r="K117" s="13" t="inlineStr">
        <is>
          <t>GST 10%</t>
        </is>
      </c>
      <c r="L117" s="15" t="n">
        <v>1785</v>
      </c>
      <c r="M117" s="16">
        <f>IF(L117="","",IF(K117="GST 10%",ROUND(L117*0.1,2),0))</f>
        <v/>
      </c>
      <c r="N117" s="16">
        <f>IF(L117="","",L117+M117)</f>
        <v/>
      </c>
      <c r="O117" s="13" t="inlineStr">
        <is>
          <t>42150</t>
        </is>
      </c>
      <c r="P117" s="13" t="inlineStr">
        <is>
          <t>Y</t>
        </is>
      </c>
      <c r="Q117" s="13" t="inlineStr">
        <is>
          <t>N</t>
        </is>
      </c>
      <c r="R117" s="13" t="inlineStr">
        <is>
          <t>Invoiced</t>
        </is>
      </c>
      <c r="S117" s="13" t="inlineStr">
        <is>
          <t>Video portion of this invoice</t>
        </is>
      </c>
      <c r="T117" s="14">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row>
    <row r="118" ht="15" customHeight="1">
      <c r="A118" s="11" t="n">
        <v>46253</v>
      </c>
      <c r="B118" s="12">
        <f>IF(A118="","",EOMONTH(A118,0))</f>
        <v/>
      </c>
      <c r="C118" s="13" t="inlineStr">
        <is>
          <t>INV10567</t>
        </is>
      </c>
      <c r="D118" s="13" t="inlineStr">
        <is>
          <t>Symal - Melbourne</t>
        </is>
      </c>
      <c r="E118" s="13" t="inlineStr">
        <is>
          <t>2606904</t>
        </is>
      </c>
      <c r="F118" s="14">
        <f>IF(E118="","",IF(COUNTIF(lst_Jobs,E118&amp;"")&gt;0,"OK","CHECK"))</f>
        <v/>
      </c>
      <c r="G118" s="13" t="inlineStr">
        <is>
          <t>Symal FYR 2026</t>
        </is>
      </c>
      <c r="H118" s="13" t="inlineStr">
        <is>
          <t>Production</t>
        </is>
      </c>
      <c r="I118" s="13" t="inlineStr">
        <is>
          <t>PRODUCTION</t>
        </is>
      </c>
      <c r="J118" s="13" t="inlineStr">
        <is>
          <t>Project</t>
        </is>
      </c>
      <c r="K118" s="13" t="inlineStr">
        <is>
          <t>GST 10%</t>
        </is>
      </c>
      <c r="L118" s="15" t="n">
        <v>13260.5</v>
      </c>
      <c r="M118" s="16">
        <f>IF(L118="","",IF(K118="GST 10%",ROUND(L118*0.1,2),0))</f>
        <v/>
      </c>
      <c r="N118" s="16">
        <f>IF(L118="","",L118+M118)</f>
        <v/>
      </c>
      <c r="O118" s="13" t="inlineStr">
        <is>
          <t>42100</t>
        </is>
      </c>
      <c r="P118" s="13" t="inlineStr">
        <is>
          <t>Y</t>
        </is>
      </c>
      <c r="Q118" s="13" t="inlineStr">
        <is>
          <t>N</t>
        </is>
      </c>
      <c r="R118" s="13" t="inlineStr">
        <is>
          <t>Invoiced</t>
        </is>
      </c>
      <c r="S118" s="13" t="inlineStr">
        <is>
          <t>Production portion of this invoice</t>
        </is>
      </c>
      <c r="T118" s="14">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row>
    <row r="119" ht="15" customHeight="1">
      <c r="A119" s="11" t="n">
        <v>46253</v>
      </c>
      <c r="B119" s="12">
        <f>IF(A119="","",EOMONTH(A119,0))</f>
        <v/>
      </c>
      <c r="C119" s="13" t="inlineStr">
        <is>
          <t>INV10567</t>
        </is>
      </c>
      <c r="D119" s="13" t="inlineStr">
        <is>
          <t>Symal - Melbourne</t>
        </is>
      </c>
      <c r="E119" s="13" t="inlineStr">
        <is>
          <t>2606904</t>
        </is>
      </c>
      <c r="F119" s="14">
        <f>IF(E119="","",IF(COUNTIF(lst_Jobs,E119&amp;"")&gt;0,"OK","CHECK"))</f>
        <v/>
      </c>
      <c r="G119" s="13" t="inlineStr">
        <is>
          <t>Symal FYR 2026</t>
        </is>
      </c>
      <c r="H119" s="13" t="inlineStr">
        <is>
          <t>Production</t>
        </is>
      </c>
      <c r="I119" s="13" t="inlineStr">
        <is>
          <t>VIDEO</t>
        </is>
      </c>
      <c r="J119" s="13" t="inlineStr">
        <is>
          <t>Project</t>
        </is>
      </c>
      <c r="K119" s="13" t="inlineStr">
        <is>
          <t>GST 10%</t>
        </is>
      </c>
      <c r="L119" s="15" t="n">
        <v>86.5</v>
      </c>
      <c r="M119" s="16">
        <f>IF(L119="","",IF(K119="GST 10%",ROUND(L119*0.1,2),0))</f>
        <v/>
      </c>
      <c r="N119" s="16">
        <f>IF(L119="","",L119+M119)</f>
        <v/>
      </c>
      <c r="O119" s="13" t="inlineStr">
        <is>
          <t>42150</t>
        </is>
      </c>
      <c r="P119" s="13" t="inlineStr">
        <is>
          <t>Y</t>
        </is>
      </c>
      <c r="Q119" s="13" t="inlineStr">
        <is>
          <t>N</t>
        </is>
      </c>
      <c r="R119" s="13" t="inlineStr">
        <is>
          <t>Invoiced</t>
        </is>
      </c>
      <c r="S119" s="13" t="inlineStr">
        <is>
          <t>Video portion of this invoice</t>
        </is>
      </c>
      <c r="T119" s="14">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row>
    <row r="120" ht="15" customHeight="1">
      <c r="A120" s="11" t="n">
        <v>46261</v>
      </c>
      <c r="B120" s="12">
        <f>IF(A120="","",EOMONTH(A120,0))</f>
        <v/>
      </c>
      <c r="C120" s="13" t="inlineStr">
        <is>
          <t>INV-10595</t>
        </is>
      </c>
      <c r="D120" s="13" t="inlineStr">
        <is>
          <t>Garvan</t>
        </is>
      </c>
      <c r="E120" s="13" t="inlineStr">
        <is>
          <t>26061001</t>
        </is>
      </c>
      <c r="F120" s="14">
        <f>IF(E120="","",IF(COUNTIF(lst_Jobs,E120&amp;"")&gt;0,"OK","CHECK"))</f>
        <v/>
      </c>
      <c r="G120" s="13" t="inlineStr">
        <is>
          <t>Garvan August All Clear Event 25.8.26</t>
        </is>
      </c>
      <c r="H120" s="13" t="inlineStr">
        <is>
          <t>Production</t>
        </is>
      </c>
      <c r="I120" s="13" t="inlineStr">
        <is>
          <t>PRODUCTION</t>
        </is>
      </c>
      <c r="J120" s="13" t="inlineStr">
        <is>
          <t>Project</t>
        </is>
      </c>
      <c r="K120" s="13" t="inlineStr">
        <is>
          <t>GST 10%</t>
        </is>
      </c>
      <c r="L120" s="15" t="n">
        <v>770</v>
      </c>
      <c r="M120" s="16">
        <f>IF(L120="","",IF(K120="GST 10%",ROUND(L120*0.1,2),0))</f>
        <v/>
      </c>
      <c r="N120" s="16">
        <f>IF(L120="","",L120+M120)</f>
        <v/>
      </c>
      <c r="O120" s="13" t="inlineStr">
        <is>
          <t>42100</t>
        </is>
      </c>
      <c r="P120" s="13" t="inlineStr">
        <is>
          <t>Y</t>
        </is>
      </c>
      <c r="Q120" s="13" t="inlineStr">
        <is>
          <t>N</t>
        </is>
      </c>
      <c r="R120" s="13" t="inlineStr">
        <is>
          <t>Invoiced</t>
        </is>
      </c>
      <c r="S120" s="13" t="n"/>
      <c r="T120" s="14">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row>
    <row r="121" ht="15" customHeight="1">
      <c r="A121" s="11" t="n">
        <v>46260</v>
      </c>
      <c r="B121" s="12">
        <f>IF(A121="","",EOMONTH(A121,0))</f>
        <v/>
      </c>
      <c r="C121" s="13" t="inlineStr">
        <is>
          <t>INV-10594</t>
        </is>
      </c>
      <c r="D121" s="13" t="inlineStr">
        <is>
          <t>Elkiem</t>
        </is>
      </c>
      <c r="E121" s="13" t="inlineStr">
        <is>
          <t>26073105</t>
        </is>
      </c>
      <c r="F121" s="14">
        <f>IF(E121="","",IF(COUNTIF(lst_Jobs,E121&amp;"")&gt;0,"OK","CHECK"))</f>
        <v/>
      </c>
      <c r="G121" s="13" t="inlineStr">
        <is>
          <t>Studio Support 25.8.26</t>
        </is>
      </c>
      <c r="H121" s="13" t="inlineStr">
        <is>
          <t>Production</t>
        </is>
      </c>
      <c r="I121" s="13" t="inlineStr">
        <is>
          <t>PRODUCTION</t>
        </is>
      </c>
      <c r="J121" s="13" t="inlineStr">
        <is>
          <t>Project</t>
        </is>
      </c>
      <c r="K121" s="13" t="inlineStr">
        <is>
          <t>GST 10%</t>
        </is>
      </c>
      <c r="L121" s="15" t="n">
        <v>380</v>
      </c>
      <c r="M121" s="16">
        <f>IF(L121="","",IF(K121="GST 10%",ROUND(L121*0.1,2),0))</f>
        <v/>
      </c>
      <c r="N121" s="16">
        <f>IF(L121="","",L121+M121)</f>
        <v/>
      </c>
      <c r="O121" s="13" t="inlineStr">
        <is>
          <t>42100</t>
        </is>
      </c>
      <c r="P121" s="13" t="inlineStr">
        <is>
          <t>Y</t>
        </is>
      </c>
      <c r="Q121" s="13" t="inlineStr">
        <is>
          <t>N</t>
        </is>
      </c>
      <c r="R121" s="13" t="inlineStr">
        <is>
          <t>Invoiced</t>
        </is>
      </c>
      <c r="S121" s="13" t="n"/>
      <c r="T121" s="14">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row>
    <row r="122" ht="15" customHeight="1">
      <c r="A122" s="11" t="n">
        <v>46265</v>
      </c>
      <c r="B122" s="12">
        <f>IF(A122="","",EOMONTH(A122,0))</f>
        <v/>
      </c>
      <c r="C122" s="13" t="inlineStr">
        <is>
          <t>INV-10592</t>
        </is>
      </c>
      <c r="D122" s="13" t="inlineStr">
        <is>
          <t>APA</t>
        </is>
      </c>
      <c r="E122" s="13" t="inlineStr">
        <is>
          <t>2608702</t>
        </is>
      </c>
      <c r="F122" s="14">
        <f>IF(E122="","",IF(COUNTIF(lst_Jobs,E122&amp;"")&gt;0,"OK","CHECK"))</f>
        <v/>
      </c>
      <c r="G122" s="13" t="inlineStr">
        <is>
          <t>APA FYR Town Hall Screen Hire 20.8.26</t>
        </is>
      </c>
      <c r="H122" s="13" t="inlineStr">
        <is>
          <t>Production</t>
        </is>
      </c>
      <c r="I122" s="13" t="inlineStr">
        <is>
          <t>PRODUCTION</t>
        </is>
      </c>
      <c r="J122" s="13" t="inlineStr">
        <is>
          <t>Project</t>
        </is>
      </c>
      <c r="K122" s="13" t="inlineStr">
        <is>
          <t>GST 10%</t>
        </is>
      </c>
      <c r="L122" s="15" t="n">
        <v>830</v>
      </c>
      <c r="M122" s="16">
        <f>IF(L122="","",IF(K122="GST 10%",ROUND(L122*0.1,2),0))</f>
        <v/>
      </c>
      <c r="N122" s="16">
        <f>IF(L122="","",L122+M122)</f>
        <v/>
      </c>
      <c r="O122" s="13" t="inlineStr">
        <is>
          <t>42100</t>
        </is>
      </c>
      <c r="P122" s="13" t="inlineStr">
        <is>
          <t>Y</t>
        </is>
      </c>
      <c r="Q122" s="13" t="inlineStr">
        <is>
          <t>N</t>
        </is>
      </c>
      <c r="R122" s="13" t="inlineStr">
        <is>
          <t>Invoiced</t>
        </is>
      </c>
      <c r="S122" s="13" t="n"/>
      <c r="T122" s="14">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row>
    <row r="123" ht="15" customHeight="1">
      <c r="A123" s="11" t="n">
        <v>46265</v>
      </c>
      <c r="B123" s="12">
        <f>IF(A123="","",EOMONTH(A123,0))</f>
        <v/>
      </c>
      <c r="C123" s="13" t="inlineStr">
        <is>
          <t>INV-10617</t>
        </is>
      </c>
      <c r="D123" s="13" t="inlineStr">
        <is>
          <t>Virgin - BNE</t>
        </is>
      </c>
      <c r="E123" s="13" t="inlineStr">
        <is>
          <t>2606903</t>
        </is>
      </c>
      <c r="F123" s="14">
        <f>IF(E123="","",IF(COUNTIF(lst_Jobs,E123&amp;"")&gt;0,"OK","CHECK"))</f>
        <v/>
      </c>
      <c r="G123" s="13" t="inlineStr">
        <is>
          <t>FY26 Results - 28.8.26</t>
        </is>
      </c>
      <c r="H123" s="13" t="inlineStr">
        <is>
          <t>Production</t>
        </is>
      </c>
      <c r="I123" s="13" t="inlineStr">
        <is>
          <t>PRODUCTION</t>
        </is>
      </c>
      <c r="J123" s="13" t="inlineStr">
        <is>
          <t>Project</t>
        </is>
      </c>
      <c r="K123" s="13" t="inlineStr">
        <is>
          <t>GST 10%</t>
        </is>
      </c>
      <c r="L123" s="15" t="n">
        <v>13389.5</v>
      </c>
      <c r="M123" s="16">
        <f>IF(L123="","",IF(K123="GST 10%",ROUND(L123*0.1,2),0))</f>
        <v/>
      </c>
      <c r="N123" s="16">
        <f>IF(L123="","",L123+M123)</f>
        <v/>
      </c>
      <c r="O123" s="13" t="inlineStr">
        <is>
          <t>42100</t>
        </is>
      </c>
      <c r="P123" s="13" t="inlineStr">
        <is>
          <t>Y</t>
        </is>
      </c>
      <c r="Q123" s="13" t="inlineStr">
        <is>
          <t>N</t>
        </is>
      </c>
      <c r="R123" s="13" t="inlineStr">
        <is>
          <t>Invoiced</t>
        </is>
      </c>
      <c r="S123" s="13" t="n"/>
      <c r="T123" s="14">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row>
    <row r="124" ht="15" customHeight="1">
      <c r="A124" s="11" t="n">
        <v>46265</v>
      </c>
      <c r="B124" s="12">
        <f>IF(A124="","",EOMONTH(A124,0))</f>
        <v/>
      </c>
      <c r="C124" s="13" t="inlineStr">
        <is>
          <t>INV-10616</t>
        </is>
      </c>
      <c r="D124" s="13" t="inlineStr">
        <is>
          <t>CBA</t>
        </is>
      </c>
      <c r="E124" s="13" t="inlineStr">
        <is>
          <t>26072003</t>
        </is>
      </c>
      <c r="F124" s="14">
        <f>IF(E124="","",IF(COUNTIF(lst_Jobs,E124&amp;"")&gt;0,"OK","CHECK"))</f>
        <v/>
      </c>
      <c r="G124" s="13" t="inlineStr">
        <is>
          <t>CBA - Live Event Support - August</t>
        </is>
      </c>
      <c r="H124" s="13" t="inlineStr">
        <is>
          <t>Production</t>
        </is>
      </c>
      <c r="I124" s="13" t="inlineStr">
        <is>
          <t>PRODUCTION</t>
        </is>
      </c>
      <c r="J124" s="13" t="inlineStr">
        <is>
          <t>Project</t>
        </is>
      </c>
      <c r="K124" s="13" t="inlineStr">
        <is>
          <t>GST 10%</t>
        </is>
      </c>
      <c r="L124" s="15" t="n">
        <v>3990</v>
      </c>
      <c r="M124" s="16">
        <f>IF(L124="","",IF(K124="GST 10%",ROUND(L124*0.1,2),0))</f>
        <v/>
      </c>
      <c r="N124" s="16">
        <f>IF(L124="","",L124+M124)</f>
        <v/>
      </c>
      <c r="O124" s="13" t="inlineStr">
        <is>
          <t>42100</t>
        </is>
      </c>
      <c r="P124" s="13" t="inlineStr">
        <is>
          <t>Y</t>
        </is>
      </c>
      <c r="Q124" s="13" t="inlineStr">
        <is>
          <t>N</t>
        </is>
      </c>
      <c r="R124" s="13" t="inlineStr">
        <is>
          <t>Invoiced</t>
        </is>
      </c>
      <c r="S124" s="13" t="n"/>
      <c r="T124" s="14">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row>
    <row r="125" ht="15" customHeight="1">
      <c r="A125" s="11" t="n">
        <v>46218</v>
      </c>
      <c r="B125" s="12">
        <f>IF(A125="","",EOMONTH(A125,0))</f>
        <v/>
      </c>
      <c r="C125" s="13" t="inlineStr">
        <is>
          <t>INV-10521</t>
        </is>
      </c>
      <c r="D125" s="13" t="inlineStr">
        <is>
          <t>APA</t>
        </is>
      </c>
      <c r="E125" s="13" t="inlineStr">
        <is>
          <t>26061609/26061608/26061607/26061108</t>
        </is>
      </c>
      <c r="F125" s="14">
        <f>IF(E125="","",IF(COUNTIF(lst_Jobs,E125&amp;"")&gt;0,"OK","CHECK"))</f>
        <v/>
      </c>
      <c r="G125" s="13" t="inlineStr">
        <is>
          <t>APA - All Hands Package FY27 (PO-00030766)</t>
        </is>
      </c>
      <c r="H125" s="13" t="inlineStr">
        <is>
          <t>Production</t>
        </is>
      </c>
      <c r="I125" s="13" t="inlineStr">
        <is>
          <t>PRODUCTION</t>
        </is>
      </c>
      <c r="J125" s="13" t="inlineStr">
        <is>
          <t>Project</t>
        </is>
      </c>
      <c r="K125" s="13" t="inlineStr">
        <is>
          <t>GST 10%</t>
        </is>
      </c>
      <c r="L125" s="15" t="n">
        <v>49743.4</v>
      </c>
      <c r="M125" s="16">
        <f>IF(L125="","",IF(K125="GST 10%",ROUND(L125*0.1,2),0))</f>
        <v/>
      </c>
      <c r="N125" s="16">
        <f>IF(L125="","",L125+M125)</f>
        <v/>
      </c>
      <c r="O125" s="13" t="inlineStr">
        <is>
          <t>42100</t>
        </is>
      </c>
      <c r="P125" s="13" t="inlineStr">
        <is>
          <t>Y</t>
        </is>
      </c>
      <c r="Q125" s="13" t="inlineStr">
        <is>
          <t>N</t>
        </is>
      </c>
      <c r="R125" s="13" t="inlineStr">
        <is>
          <t>Invoiced</t>
        </is>
      </c>
      <c r="S125" s="13" t="inlineStr">
        <is>
          <t>Production portion of this invoice</t>
        </is>
      </c>
      <c r="T125" s="14">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row>
    <row r="126" ht="15" customHeight="1">
      <c r="A126" s="11" t="n">
        <v>46218</v>
      </c>
      <c r="B126" s="12">
        <f>IF(A126="","",EOMONTH(A126,0))</f>
        <v/>
      </c>
      <c r="C126" s="13" t="inlineStr">
        <is>
          <t>INV-10521</t>
        </is>
      </c>
      <c r="D126" s="13" t="inlineStr">
        <is>
          <t>APA</t>
        </is>
      </c>
      <c r="E126" s="13" t="inlineStr">
        <is>
          <t>26061609/26061608/26061607/26061108</t>
        </is>
      </c>
      <c r="F126" s="14">
        <f>IF(E126="","",IF(COUNTIF(lst_Jobs,E126&amp;"")&gt;0,"OK","CHECK"))</f>
        <v/>
      </c>
      <c r="G126" s="13" t="inlineStr">
        <is>
          <t>APA - All Hands Package FY27 (PO-00030766)</t>
        </is>
      </c>
      <c r="H126" s="13" t="inlineStr">
        <is>
          <t>Production</t>
        </is>
      </c>
      <c r="I126" s="13" t="inlineStr">
        <is>
          <t>VIDEO</t>
        </is>
      </c>
      <c r="J126" s="13" t="inlineStr">
        <is>
          <t>Project</t>
        </is>
      </c>
      <c r="K126" s="13" t="inlineStr">
        <is>
          <t>GST 10%</t>
        </is>
      </c>
      <c r="L126" s="15" t="n">
        <v>4308</v>
      </c>
      <c r="M126" s="16">
        <f>IF(L126="","",IF(K126="GST 10%",ROUND(L126*0.1,2),0))</f>
        <v/>
      </c>
      <c r="N126" s="16">
        <f>IF(L126="","",L126+M126)</f>
        <v/>
      </c>
      <c r="O126" s="13" t="inlineStr">
        <is>
          <t>42150</t>
        </is>
      </c>
      <c r="P126" s="13" t="inlineStr">
        <is>
          <t>Y</t>
        </is>
      </c>
      <c r="Q126" s="13" t="inlineStr">
        <is>
          <t>N</t>
        </is>
      </c>
      <c r="R126" s="13" t="inlineStr">
        <is>
          <t>Invoiced</t>
        </is>
      </c>
      <c r="S126" s="13" t="inlineStr">
        <is>
          <t>Video portion of this invoice</t>
        </is>
      </c>
      <c r="T126" s="14">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row>
    <row r="127" ht="15" customHeight="1">
      <c r="A127" s="11" t="n">
        <v>46216</v>
      </c>
      <c r="B127" s="12">
        <f>IF(A127="","",EOMONTH(A127,0))</f>
        <v/>
      </c>
      <c r="C127" s="13" t="inlineStr">
        <is>
          <t>INV-10523</t>
        </is>
      </c>
      <c r="D127" s="13" t="inlineStr">
        <is>
          <t>Jaaz Salanoa</t>
        </is>
      </c>
      <c r="E127" s="13" t="inlineStr">
        <is>
          <t>9100</t>
        </is>
      </c>
      <c r="F127" s="14">
        <f>IF(E127="","",IF(COUNTIF(lst_Jobs,E127&amp;"")&gt;0,"OK","CHECK"))</f>
        <v/>
      </c>
      <c r="G127" s="13" t="inlineStr">
        <is>
          <t>Jaaz - Goget Hire</t>
        </is>
      </c>
      <c r="H127" s="13" t="inlineStr">
        <is>
          <t>Production</t>
        </is>
      </c>
      <c r="I127" s="13" t="inlineStr">
        <is>
          <t>CTS</t>
        </is>
      </c>
      <c r="J127" s="13" t="inlineStr">
        <is>
          <t>Project</t>
        </is>
      </c>
      <c r="K127" s="13" t="inlineStr">
        <is>
          <t>GST 10%</t>
        </is>
      </c>
      <c r="L127" s="15" t="n"/>
      <c r="M127" s="16">
        <f>IF(L127="","",IF(K127="GST 10%",ROUND(L127*0.1,2),0))</f>
        <v/>
      </c>
      <c r="N127" s="16">
        <f>IF(L127="","",L127+M127)</f>
        <v/>
      </c>
      <c r="O127" s="13" t="inlineStr">
        <is>
          <t>42100</t>
        </is>
      </c>
      <c r="P127" s="13" t="inlineStr">
        <is>
          <t>Y</t>
        </is>
      </c>
      <c r="Q127" s="13" t="inlineStr">
        <is>
          <t>N</t>
        </is>
      </c>
      <c r="R127" s="13" t="inlineStr">
        <is>
          <t>Invoiced</t>
        </is>
      </c>
      <c r="S127" s="13" t="n"/>
      <c r="T127" s="14">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row>
    <row r="128" ht="15" customHeight="1">
      <c r="A128" s="11" t="n">
        <v>46265</v>
      </c>
      <c r="B128" s="12">
        <f>IF(A128="","",EOMONTH(A128,0))</f>
        <v/>
      </c>
      <c r="C128" s="13" t="inlineStr">
        <is>
          <t>INV-10621</t>
        </is>
      </c>
      <c r="D128" s="13" t="inlineStr">
        <is>
          <t>Jaaz Salanoa</t>
        </is>
      </c>
      <c r="E128" s="13" t="inlineStr">
        <is>
          <t>9100</t>
        </is>
      </c>
      <c r="F128" s="14">
        <f>IF(E128="","",IF(COUNTIF(lst_Jobs,E128&amp;"")&gt;0,"OK","CHECK"))</f>
        <v/>
      </c>
      <c r="G128" s="13" t="inlineStr">
        <is>
          <t>Jaaz - Goget Hire</t>
        </is>
      </c>
      <c r="H128" s="13" t="inlineStr">
        <is>
          <t>Production</t>
        </is>
      </c>
      <c r="I128" s="13" t="inlineStr">
        <is>
          <t>CTS</t>
        </is>
      </c>
      <c r="J128" s="13" t="inlineStr">
        <is>
          <t>Project</t>
        </is>
      </c>
      <c r="K128" s="13" t="inlineStr">
        <is>
          <t>GST 10%</t>
        </is>
      </c>
      <c r="L128" s="15" t="n"/>
      <c r="M128" s="16">
        <f>IF(L128="","",IF(K128="GST 10%",ROUND(L128*0.1,2),0))</f>
        <v/>
      </c>
      <c r="N128" s="16">
        <f>IF(L128="","",L128+M128)</f>
        <v/>
      </c>
      <c r="O128" s="13" t="inlineStr">
        <is>
          <t>42100</t>
        </is>
      </c>
      <c r="P128" s="13" t="inlineStr">
        <is>
          <t>Y</t>
        </is>
      </c>
      <c r="Q128" s="13" t="inlineStr">
        <is>
          <t>N</t>
        </is>
      </c>
      <c r="R128" s="13" t="inlineStr">
        <is>
          <t>Invoiced</t>
        </is>
      </c>
      <c r="S128" s="13" t="n"/>
      <c r="T128" s="14">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row>
    <row r="129" ht="15" customHeight="1">
      <c r="A129" s="11" t="n"/>
      <c r="B129" s="12">
        <f>IF(A129="","",EOMONTH(A129,0))</f>
        <v/>
      </c>
      <c r="C129" s="13" t="n"/>
      <c r="D129" s="13" t="inlineStr">
        <is>
          <t>ASX</t>
        </is>
      </c>
      <c r="E129" s="13" t="inlineStr">
        <is>
          <t>26061602</t>
        </is>
      </c>
      <c r="F129" s="14">
        <f>IF(E129="","",IF(COUNTIF(lst_Jobs,E129&amp;"")&gt;0,"OK","CHECK"))</f>
        <v/>
      </c>
      <c r="G129" s="13" t="inlineStr">
        <is>
          <t>CEO Connect (Extended Results)</t>
        </is>
      </c>
      <c r="H129" s="13" t="inlineStr">
        <is>
          <t>Production</t>
        </is>
      </c>
      <c r="I129" s="13" t="inlineStr">
        <is>
          <t>PRODUCTION</t>
        </is>
      </c>
      <c r="J129" s="13" t="inlineStr">
        <is>
          <t>Project</t>
        </is>
      </c>
      <c r="K129" s="13" t="inlineStr">
        <is>
          <t>GST 10%</t>
        </is>
      </c>
      <c r="L129" s="15" t="n">
        <v>2674</v>
      </c>
      <c r="M129" s="16">
        <f>IF(L129="","",IF(K129="GST 10%",ROUND(L129*0.1,2),0))</f>
        <v/>
      </c>
      <c r="N129" s="16">
        <f>IF(L129="","",L129+M129)</f>
        <v/>
      </c>
      <c r="O129" s="13" t="inlineStr">
        <is>
          <t>42100</t>
        </is>
      </c>
      <c r="P129" s="13" t="inlineStr">
        <is>
          <t>Y</t>
        </is>
      </c>
      <c r="Q129" s="13" t="inlineStr">
        <is>
          <t>N</t>
        </is>
      </c>
      <c r="R129" s="13" t="inlineStr">
        <is>
          <t>To Invoice</t>
        </is>
      </c>
      <c r="S129" s="13" t="inlineStr">
        <is>
          <t>Production portion of this invoice</t>
        </is>
      </c>
      <c r="T129" s="14">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row>
    <row r="130" ht="15" customHeight="1">
      <c r="A130" s="11" t="n"/>
      <c r="B130" s="12">
        <f>IF(A130="","",EOMONTH(A130,0))</f>
        <v/>
      </c>
      <c r="C130" s="13" t="n"/>
      <c r="D130" s="13" t="inlineStr">
        <is>
          <t>ASX</t>
        </is>
      </c>
      <c r="E130" s="13" t="inlineStr">
        <is>
          <t>26061602</t>
        </is>
      </c>
      <c r="F130" s="14">
        <f>IF(E130="","",IF(COUNTIF(lst_Jobs,E130&amp;"")&gt;0,"OK","CHECK"))</f>
        <v/>
      </c>
      <c r="G130" s="13" t="inlineStr">
        <is>
          <t>CEO Connect (Extended Results)</t>
        </is>
      </c>
      <c r="H130" s="13" t="inlineStr">
        <is>
          <t>Production</t>
        </is>
      </c>
      <c r="I130" s="13" t="inlineStr">
        <is>
          <t>VIDEO</t>
        </is>
      </c>
      <c r="J130" s="13" t="inlineStr">
        <is>
          <t>Project</t>
        </is>
      </c>
      <c r="K130" s="13" t="inlineStr">
        <is>
          <t>GST 10%</t>
        </is>
      </c>
      <c r="L130" s="15" t="n">
        <v>1500</v>
      </c>
      <c r="M130" s="16">
        <f>IF(L130="","",IF(K130="GST 10%",ROUND(L130*0.1,2),0))</f>
        <v/>
      </c>
      <c r="N130" s="16">
        <f>IF(L130="","",L130+M130)</f>
        <v/>
      </c>
      <c r="O130" s="13" t="inlineStr">
        <is>
          <t>42150</t>
        </is>
      </c>
      <c r="P130" s="13" t="inlineStr">
        <is>
          <t>Y</t>
        </is>
      </c>
      <c r="Q130" s="13" t="inlineStr">
        <is>
          <t>N</t>
        </is>
      </c>
      <c r="R130" s="13" t="inlineStr">
        <is>
          <t>To Invoice</t>
        </is>
      </c>
      <c r="S130" s="13" t="inlineStr">
        <is>
          <t>Video portion of this invoice</t>
        </is>
      </c>
      <c r="T130" s="14">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row>
    <row r="131" ht="15" customHeight="1">
      <c r="A131" s="11" t="n"/>
      <c r="B131" s="12">
        <f>IF(A131="","",EOMONTH(A131,0))</f>
        <v/>
      </c>
      <c r="C131" s="13" t="n"/>
      <c r="D131" s="13" t="inlineStr">
        <is>
          <t>ASX</t>
        </is>
      </c>
      <c r="E131" s="13" t="inlineStr">
        <is>
          <t>26071701</t>
        </is>
      </c>
      <c r="F131" s="14">
        <f>IF(E131="","",IF(COUNTIF(lst_Jobs,E131&amp;"")&gt;0,"OK","CHECK"))</f>
        <v/>
      </c>
      <c r="G131" s="13" t="inlineStr">
        <is>
          <t>ASX Live 1.9.26</t>
        </is>
      </c>
      <c r="H131" s="13" t="inlineStr">
        <is>
          <t>Production</t>
        </is>
      </c>
      <c r="I131" s="13" t="inlineStr">
        <is>
          <t>PRODUCTION</t>
        </is>
      </c>
      <c r="J131" s="13" t="inlineStr">
        <is>
          <t>Project</t>
        </is>
      </c>
      <c r="K131" s="13" t="inlineStr">
        <is>
          <t>GST 10%</t>
        </is>
      </c>
      <c r="L131" s="15" t="n">
        <v>6260</v>
      </c>
      <c r="M131" s="16">
        <f>IF(L131="","",IF(K131="GST 10%",ROUND(L131*0.1,2),0))</f>
        <v/>
      </c>
      <c r="N131" s="16">
        <f>IF(L131="","",L131+M131)</f>
        <v/>
      </c>
      <c r="O131" s="13" t="inlineStr">
        <is>
          <t>42100</t>
        </is>
      </c>
      <c r="P131" s="13" t="inlineStr">
        <is>
          <t>Y</t>
        </is>
      </c>
      <c r="Q131" s="13" t="inlineStr">
        <is>
          <t>N</t>
        </is>
      </c>
      <c r="R131" s="13" t="inlineStr">
        <is>
          <t>To Invoice</t>
        </is>
      </c>
      <c r="S131" s="13" t="inlineStr">
        <is>
          <t>Production portion of this invoice</t>
        </is>
      </c>
      <c r="T131" s="14">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row>
    <row r="132" ht="15" customHeight="1">
      <c r="A132" s="11" t="n"/>
      <c r="B132" s="12">
        <f>IF(A132="","",EOMONTH(A132,0))</f>
        <v/>
      </c>
      <c r="C132" s="13" t="n"/>
      <c r="D132" s="13" t="inlineStr">
        <is>
          <t>ASX</t>
        </is>
      </c>
      <c r="E132" s="13" t="inlineStr">
        <is>
          <t>26071701</t>
        </is>
      </c>
      <c r="F132" s="14">
        <f>IF(E132="","",IF(COUNTIF(lst_Jobs,E132&amp;"")&gt;0,"OK","CHECK"))</f>
        <v/>
      </c>
      <c r="G132" s="13" t="inlineStr">
        <is>
          <t>ASX Live 1.9.26</t>
        </is>
      </c>
      <c r="H132" s="13" t="inlineStr">
        <is>
          <t>Production</t>
        </is>
      </c>
      <c r="I132" s="13" t="inlineStr">
        <is>
          <t>VIDEO</t>
        </is>
      </c>
      <c r="J132" s="13" t="inlineStr">
        <is>
          <t>Project</t>
        </is>
      </c>
      <c r="K132" s="13" t="inlineStr">
        <is>
          <t>GST 10%</t>
        </is>
      </c>
      <c r="L132" s="15" t="n">
        <v>1508</v>
      </c>
      <c r="M132" s="16">
        <f>IF(L132="","",IF(K132="GST 10%",ROUND(L132*0.1,2),0))</f>
        <v/>
      </c>
      <c r="N132" s="16">
        <f>IF(L132="","",L132+M132)</f>
        <v/>
      </c>
      <c r="O132" s="13" t="inlineStr">
        <is>
          <t>42150</t>
        </is>
      </c>
      <c r="P132" s="13" t="inlineStr">
        <is>
          <t>Y</t>
        </is>
      </c>
      <c r="Q132" s="13" t="inlineStr">
        <is>
          <t>N</t>
        </is>
      </c>
      <c r="R132" s="13" t="inlineStr">
        <is>
          <t>To Invoice</t>
        </is>
      </c>
      <c r="S132" s="13" t="inlineStr">
        <is>
          <t>Video portion of this invoice</t>
        </is>
      </c>
      <c r="T132" s="14">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row>
    <row r="133" ht="15" customHeight="1">
      <c r="A133" s="11" t="n"/>
      <c r="B133" s="12">
        <f>IF(A133="","",EOMONTH(A133,0))</f>
        <v/>
      </c>
      <c r="C133" s="13" t="n"/>
      <c r="D133" s="13" t="inlineStr">
        <is>
          <t>SVHS</t>
        </is>
      </c>
      <c r="E133" s="13" t="inlineStr">
        <is>
          <t>2608404</t>
        </is>
      </c>
      <c r="F133" s="14">
        <f>IF(E133="","",IF(COUNTIF(lst_Jobs,E133&amp;"")&gt;0,"OK","CHECK"))</f>
        <v/>
      </c>
      <c r="G133" s="13" t="inlineStr">
        <is>
          <t>St Vincent's Hospital - Award Ceremony 2.9.26</t>
        </is>
      </c>
      <c r="H133" s="13" t="inlineStr">
        <is>
          <t>Production</t>
        </is>
      </c>
      <c r="I133" s="13" t="inlineStr">
        <is>
          <t>PRODUCTION</t>
        </is>
      </c>
      <c r="J133" s="13" t="inlineStr">
        <is>
          <t>Project</t>
        </is>
      </c>
      <c r="K133" s="13" t="inlineStr">
        <is>
          <t>GST 10%</t>
        </is>
      </c>
      <c r="L133" s="15" t="n">
        <v>495</v>
      </c>
      <c r="M133" s="16">
        <f>IF(L133="","",IF(K133="GST 10%",ROUND(L133*0.1,2),0))</f>
        <v/>
      </c>
      <c r="N133" s="16">
        <f>IF(L133="","",L133+M133)</f>
        <v/>
      </c>
      <c r="O133" s="13" t="inlineStr">
        <is>
          <t>42100</t>
        </is>
      </c>
      <c r="P133" s="13" t="inlineStr">
        <is>
          <t>Y</t>
        </is>
      </c>
      <c r="Q133" s="13" t="inlineStr">
        <is>
          <t>N</t>
        </is>
      </c>
      <c r="R133" s="13" t="inlineStr">
        <is>
          <t>To Invoice</t>
        </is>
      </c>
      <c r="S133" s="13" t="n"/>
      <c r="T133" s="14">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row>
    <row r="134" ht="15" customHeight="1">
      <c r="A134" s="11" t="n"/>
      <c r="B134" s="12">
        <f>IF(A134="","",EOMONTH(A134,0))</f>
        <v/>
      </c>
      <c r="C134" s="13" t="n"/>
      <c r="D134" s="13" t="inlineStr">
        <is>
          <t>Garvan</t>
        </is>
      </c>
      <c r="E134" s="13" t="inlineStr">
        <is>
          <t>26081904</t>
        </is>
      </c>
      <c r="F134" s="14">
        <f>IF(E134="","",IF(COUNTIF(lst_Jobs,E134&amp;"")&gt;0,"OK","CHECK"))</f>
        <v/>
      </c>
      <c r="G134" s="13" t="inlineStr">
        <is>
          <t>AllClear Program Meeting - 2.9.26</t>
        </is>
      </c>
      <c r="H134" s="13" t="inlineStr">
        <is>
          <t>Production</t>
        </is>
      </c>
      <c r="I134" s="13" t="inlineStr">
        <is>
          <t>PRODUCTION</t>
        </is>
      </c>
      <c r="J134" s="13" t="inlineStr">
        <is>
          <t>Project</t>
        </is>
      </c>
      <c r="K134" s="13" t="inlineStr">
        <is>
          <t>GST 10%</t>
        </is>
      </c>
      <c r="L134" s="15" t="n">
        <v>865</v>
      </c>
      <c r="M134" s="16">
        <f>IF(L134="","",IF(K134="GST 10%",ROUND(L134*0.1,2),0))</f>
        <v/>
      </c>
      <c r="N134" s="16">
        <f>IF(L134="","",L134+M134)</f>
        <v/>
      </c>
      <c r="O134" s="13" t="inlineStr">
        <is>
          <t>42100</t>
        </is>
      </c>
      <c r="P134" s="13" t="inlineStr">
        <is>
          <t>Y</t>
        </is>
      </c>
      <c r="Q134" s="13" t="inlineStr">
        <is>
          <t>N</t>
        </is>
      </c>
      <c r="R134" s="13" t="inlineStr">
        <is>
          <t>To Invoice</t>
        </is>
      </c>
      <c r="S134" s="13" t="n"/>
      <c r="T134" s="14">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row>
    <row r="135" ht="15" customHeight="1">
      <c r="A135" s="11" t="n"/>
      <c r="B135" s="12">
        <f>IF(A135="","",EOMONTH(A135,0))</f>
        <v/>
      </c>
      <c r="C135" s="13" t="n"/>
      <c r="D135" s="13" t="inlineStr">
        <is>
          <t>RSNSW</t>
        </is>
      </c>
      <c r="E135" s="13" t="inlineStr">
        <is>
          <t>26032302</t>
        </is>
      </c>
      <c r="F135" s="14">
        <f>IF(E135="","",IF(COUNTIF(lst_Jobs,E135&amp;"")&gt;0,"OK","CHECK"))</f>
        <v/>
      </c>
      <c r="G135" s="13" t="inlineStr">
        <is>
          <t>Ordinary General Meeting 2.9.26</t>
        </is>
      </c>
      <c r="H135" s="13" t="inlineStr">
        <is>
          <t>Production</t>
        </is>
      </c>
      <c r="I135" s="13" t="inlineStr">
        <is>
          <t>PRODUCTION</t>
        </is>
      </c>
      <c r="J135" s="13" t="inlineStr">
        <is>
          <t>Project</t>
        </is>
      </c>
      <c r="K135" s="13" t="inlineStr">
        <is>
          <t>GST 10%</t>
        </is>
      </c>
      <c r="L135" s="15" t="n">
        <v>2232</v>
      </c>
      <c r="M135" s="16">
        <f>IF(L135="","",IF(K135="GST 10%",ROUND(L135*0.1,2),0))</f>
        <v/>
      </c>
      <c r="N135" s="16">
        <f>IF(L135="","",L135+M135)</f>
        <v/>
      </c>
      <c r="O135" s="13" t="inlineStr">
        <is>
          <t>42100</t>
        </is>
      </c>
      <c r="P135" s="13" t="inlineStr">
        <is>
          <t>Y</t>
        </is>
      </c>
      <c r="Q135" s="13" t="inlineStr">
        <is>
          <t>N</t>
        </is>
      </c>
      <c r="R135" s="13" t="inlineStr">
        <is>
          <t>To Invoice</t>
        </is>
      </c>
      <c r="S135" s="13" t="inlineStr">
        <is>
          <t>Production portion of this invoice</t>
        </is>
      </c>
      <c r="T135" s="14">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row>
    <row r="136" ht="15" customHeight="1">
      <c r="A136" s="11" t="n"/>
      <c r="B136" s="12">
        <f>IF(A136="","",EOMONTH(A136,0))</f>
        <v/>
      </c>
      <c r="C136" s="13" t="n"/>
      <c r="D136" s="13" t="inlineStr">
        <is>
          <t>RSNSW</t>
        </is>
      </c>
      <c r="E136" s="13" t="inlineStr">
        <is>
          <t>26032302</t>
        </is>
      </c>
      <c r="F136" s="14">
        <f>IF(E136="","",IF(COUNTIF(lst_Jobs,E136&amp;"")&gt;0,"OK","CHECK"))</f>
        <v/>
      </c>
      <c r="G136" s="13" t="inlineStr">
        <is>
          <t>Ordinary General Meeting 2.9.26</t>
        </is>
      </c>
      <c r="H136" s="13" t="inlineStr">
        <is>
          <t>Production</t>
        </is>
      </c>
      <c r="I136" s="13" t="inlineStr">
        <is>
          <t>VIDEO</t>
        </is>
      </c>
      <c r="J136" s="13" t="inlineStr">
        <is>
          <t>Project</t>
        </is>
      </c>
      <c r="K136" s="13" t="inlineStr">
        <is>
          <t>GST 10%</t>
        </is>
      </c>
      <c r="L136" s="15" t="n">
        <v>1029</v>
      </c>
      <c r="M136" s="16">
        <f>IF(L136="","",IF(K136="GST 10%",ROUND(L136*0.1,2),0))</f>
        <v/>
      </c>
      <c r="N136" s="16">
        <f>IF(L136="","",L136+M136)</f>
        <v/>
      </c>
      <c r="O136" s="13" t="inlineStr">
        <is>
          <t>42150</t>
        </is>
      </c>
      <c r="P136" s="13" t="inlineStr">
        <is>
          <t>Y</t>
        </is>
      </c>
      <c r="Q136" s="13" t="inlineStr">
        <is>
          <t>N</t>
        </is>
      </c>
      <c r="R136" s="13" t="inlineStr">
        <is>
          <t>To Invoice</t>
        </is>
      </c>
      <c r="S136" s="13" t="inlineStr">
        <is>
          <t>Video portion of this invoice</t>
        </is>
      </c>
      <c r="T136" s="14">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row>
    <row r="137" ht="15" customHeight="1">
      <c r="A137" s="11" t="n"/>
      <c r="B137" s="12">
        <f>IF(A137="","",EOMONTH(A137,0))</f>
        <v/>
      </c>
      <c r="C137" s="13" t="n"/>
      <c r="D137" s="13" t="inlineStr">
        <is>
          <t>Ventia</t>
        </is>
      </c>
      <c r="E137" s="13" t="inlineStr">
        <is>
          <t>26072102</t>
        </is>
      </c>
      <c r="F137" s="14">
        <f>IF(E137="","",IF(COUNTIF(lst_Jobs,E137&amp;"")&gt;0,"OK","CHECK"))</f>
        <v/>
      </c>
      <c r="G137" s="13" t="inlineStr">
        <is>
          <t>RUOK? Day 10.9.26</t>
        </is>
      </c>
      <c r="H137" s="13" t="inlineStr">
        <is>
          <t>Production</t>
        </is>
      </c>
      <c r="I137" s="13" t="inlineStr">
        <is>
          <t>PRODUCTION</t>
        </is>
      </c>
      <c r="J137" s="13" t="inlineStr">
        <is>
          <t>Project</t>
        </is>
      </c>
      <c r="K137" s="13" t="inlineStr">
        <is>
          <t>GST 10%</t>
        </is>
      </c>
      <c r="L137" s="15" t="n">
        <v>8437.790000000001</v>
      </c>
      <c r="M137" s="16">
        <f>IF(L137="","",IF(K137="GST 10%",ROUND(L137*0.1,2),0))</f>
        <v/>
      </c>
      <c r="N137" s="16">
        <f>IF(L137="","",L137+M137)</f>
        <v/>
      </c>
      <c r="O137" s="13" t="inlineStr">
        <is>
          <t>42100</t>
        </is>
      </c>
      <c r="P137" s="13" t="inlineStr">
        <is>
          <t>Y</t>
        </is>
      </c>
      <c r="Q137" s="13" t="inlineStr">
        <is>
          <t>N</t>
        </is>
      </c>
      <c r="R137" s="13" t="inlineStr">
        <is>
          <t>To Invoice</t>
        </is>
      </c>
      <c r="S137" s="13" t="inlineStr">
        <is>
          <t>Production portion of this invoice</t>
        </is>
      </c>
      <c r="T137" s="14">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row>
    <row r="138" ht="15" customHeight="1">
      <c r="A138" s="11" t="n"/>
      <c r="B138" s="12">
        <f>IF(A138="","",EOMONTH(A138,0))</f>
        <v/>
      </c>
      <c r="C138" s="13" t="n"/>
      <c r="D138" s="13" t="inlineStr">
        <is>
          <t>Ventia</t>
        </is>
      </c>
      <c r="E138" s="13" t="inlineStr">
        <is>
          <t>26072102</t>
        </is>
      </c>
      <c r="F138" s="14">
        <f>IF(E138="","",IF(COUNTIF(lst_Jobs,E138&amp;"")&gt;0,"OK","CHECK"))</f>
        <v/>
      </c>
      <c r="G138" s="13" t="inlineStr">
        <is>
          <t>RUOK? Day 10.9.26</t>
        </is>
      </c>
      <c r="H138" s="13" t="inlineStr">
        <is>
          <t>Production</t>
        </is>
      </c>
      <c r="I138" s="13" t="inlineStr">
        <is>
          <t>VIDEO</t>
        </is>
      </c>
      <c r="J138" s="13" t="inlineStr">
        <is>
          <t>Project</t>
        </is>
      </c>
      <c r="K138" s="13" t="inlineStr">
        <is>
          <t>GST 10%</t>
        </is>
      </c>
      <c r="L138" s="15" t="n">
        <v>1578.1</v>
      </c>
      <c r="M138" s="16">
        <f>IF(L138="","",IF(K138="GST 10%",ROUND(L138*0.1,2),0))</f>
        <v/>
      </c>
      <c r="N138" s="16">
        <f>IF(L138="","",L138+M138)</f>
        <v/>
      </c>
      <c r="O138" s="13" t="inlineStr">
        <is>
          <t>42150</t>
        </is>
      </c>
      <c r="P138" s="13" t="inlineStr">
        <is>
          <t>Y</t>
        </is>
      </c>
      <c r="Q138" s="13" t="inlineStr">
        <is>
          <t>N</t>
        </is>
      </c>
      <c r="R138" s="13" t="inlineStr">
        <is>
          <t>To Invoice</t>
        </is>
      </c>
      <c r="S138" s="13" t="inlineStr">
        <is>
          <t>Video portion of this invoice</t>
        </is>
      </c>
      <c r="T138" s="14">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row>
    <row r="139" ht="15" customHeight="1">
      <c r="A139" s="11" t="n"/>
      <c r="B139" s="12">
        <f>IF(A139="","",EOMONTH(A139,0))</f>
        <v/>
      </c>
      <c r="C139" s="13" t="n"/>
      <c r="D139" s="13" t="inlineStr">
        <is>
          <t>APA</t>
        </is>
      </c>
      <c r="E139" s="13" t="inlineStr">
        <is>
          <t>26082703</t>
        </is>
      </c>
      <c r="F139" s="14">
        <f>IF(E139="","",IF(COUNTIF(lst_Jobs,E139&amp;"")&gt;0,"OK","CHECK"))</f>
        <v/>
      </c>
      <c r="G139" s="13" t="inlineStr">
        <is>
          <t>RUOK? Day 10.9.26</t>
        </is>
      </c>
      <c r="H139" s="13" t="inlineStr">
        <is>
          <t>Production</t>
        </is>
      </c>
      <c r="I139" s="13" t="inlineStr">
        <is>
          <t>PRODUCTION</t>
        </is>
      </c>
      <c r="J139" s="13" t="inlineStr">
        <is>
          <t>Project</t>
        </is>
      </c>
      <c r="K139" s="13" t="inlineStr">
        <is>
          <t>GST 10%</t>
        </is>
      </c>
      <c r="L139" s="15" t="n">
        <v>570</v>
      </c>
      <c r="M139" s="16">
        <f>IF(L139="","",IF(K139="GST 10%",ROUND(L139*0.1,2),0))</f>
        <v/>
      </c>
      <c r="N139" s="16">
        <f>IF(L139="","",L139+M139)</f>
        <v/>
      </c>
      <c r="O139" s="13" t="inlineStr">
        <is>
          <t>42100</t>
        </is>
      </c>
      <c r="P139" s="13" t="inlineStr">
        <is>
          <t>Y</t>
        </is>
      </c>
      <c r="Q139" s="13" t="inlineStr">
        <is>
          <t>N</t>
        </is>
      </c>
      <c r="R139" s="13" t="inlineStr">
        <is>
          <t>To Invoice</t>
        </is>
      </c>
      <c r="S139" s="13" t="n"/>
      <c r="T139" s="14">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row>
    <row r="140" ht="15" customHeight="1">
      <c r="A140" s="11" t="n"/>
      <c r="B140" s="12">
        <f>IF(A140="","",EOMONTH(A140,0))</f>
        <v/>
      </c>
      <c r="C140" s="13" t="n"/>
      <c r="D140" s="13" t="inlineStr">
        <is>
          <t>Ventia</t>
        </is>
      </c>
      <c r="E140" s="13" t="inlineStr">
        <is>
          <t>2608701</t>
        </is>
      </c>
      <c r="F140" s="14">
        <f>IF(E140="","",IF(COUNTIF(lst_Jobs,E140&amp;"")&gt;0,"OK","CHECK"))</f>
        <v/>
      </c>
      <c r="G140" s="13" t="inlineStr">
        <is>
          <t>Elkiem Studio Support 10.9.26</t>
        </is>
      </c>
      <c r="H140" s="13" t="inlineStr">
        <is>
          <t>Production</t>
        </is>
      </c>
      <c r="I140" s="13" t="inlineStr">
        <is>
          <t>PRODUCTION</t>
        </is>
      </c>
      <c r="J140" s="13" t="inlineStr">
        <is>
          <t>Project</t>
        </is>
      </c>
      <c r="K140" s="13" t="inlineStr">
        <is>
          <t>GST 10%</t>
        </is>
      </c>
      <c r="L140" s="15" t="n">
        <v>380</v>
      </c>
      <c r="M140" s="16">
        <f>IF(L140="","",IF(K140="GST 10%",ROUND(L140*0.1,2),0))</f>
        <v/>
      </c>
      <c r="N140" s="16">
        <f>IF(L140="","",L140+M140)</f>
        <v/>
      </c>
      <c r="O140" s="13" t="inlineStr">
        <is>
          <t>42100</t>
        </is>
      </c>
      <c r="P140" s="13" t="inlineStr">
        <is>
          <t>Y</t>
        </is>
      </c>
      <c r="Q140" s="13" t="inlineStr">
        <is>
          <t>N</t>
        </is>
      </c>
      <c r="R140" s="13" t="inlineStr">
        <is>
          <t>To Invoice</t>
        </is>
      </c>
      <c r="S140" s="13" t="n"/>
      <c r="T140" s="14">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row>
    <row r="141" ht="15" customHeight="1">
      <c r="A141" s="11" t="n"/>
      <c r="B141" s="12">
        <f>IF(A141="","",EOMONTH(A141,0))</f>
        <v/>
      </c>
      <c r="C141" s="13" t="n"/>
      <c r="D141" s="13" t="inlineStr">
        <is>
          <t>Elkeim</t>
        </is>
      </c>
      <c r="E141" s="13" t="inlineStr">
        <is>
          <t>2609801</t>
        </is>
      </c>
      <c r="F141" s="14">
        <f>IF(E141="","",IF(COUNTIF(lst_Jobs,E141&amp;"")&gt;0,"OK","CHECK"))</f>
        <v/>
      </c>
      <c r="G141" s="13" t="inlineStr">
        <is>
          <t>Elkiem Studio Support 16.9.26</t>
        </is>
      </c>
      <c r="H141" s="13" t="inlineStr">
        <is>
          <t>Production</t>
        </is>
      </c>
      <c r="I141" s="13" t="inlineStr">
        <is>
          <t>PRODUCTION</t>
        </is>
      </c>
      <c r="J141" s="13" t="inlineStr">
        <is>
          <t>Project</t>
        </is>
      </c>
      <c r="K141" s="13" t="inlineStr">
        <is>
          <t>GST 10%</t>
        </is>
      </c>
      <c r="L141" s="15" t="n">
        <v>380</v>
      </c>
      <c r="M141" s="16">
        <f>IF(L141="","",IF(K141="GST 10%",ROUND(L141*0.1,2),0))</f>
        <v/>
      </c>
      <c r="N141" s="16">
        <f>IF(L141="","",L141+M141)</f>
        <v/>
      </c>
      <c r="O141" s="13" t="inlineStr">
        <is>
          <t>42100</t>
        </is>
      </c>
      <c r="P141" s="13" t="inlineStr">
        <is>
          <t>Y</t>
        </is>
      </c>
      <c r="Q141" s="13" t="inlineStr">
        <is>
          <t>N</t>
        </is>
      </c>
      <c r="R141" s="13" t="inlineStr">
        <is>
          <t>To Invoice</t>
        </is>
      </c>
      <c r="S141" s="13" t="n"/>
      <c r="T141" s="14">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row>
    <row r="142" ht="15" customHeight="1">
      <c r="A142" s="11" t="n"/>
      <c r="B142" s="12">
        <f>IF(A142="","",EOMONTH(A142,0))</f>
        <v/>
      </c>
      <c r="C142" s="13" t="n"/>
      <c r="D142" s="13" t="inlineStr">
        <is>
          <t>ICC</t>
        </is>
      </c>
      <c r="E142" s="13" t="inlineStr">
        <is>
          <t>26082502</t>
        </is>
      </c>
      <c r="F142" s="14">
        <f>IF(E142="","",IF(COUNTIF(lst_Jobs,E142&amp;"")&gt;0,"OK","CHECK"))</f>
        <v/>
      </c>
      <c r="G142" s="13" t="inlineStr">
        <is>
          <t>ICC - September Presenter Support Presentations - ISE</t>
        </is>
      </c>
      <c r="H142" s="13" t="inlineStr">
        <is>
          <t>Production</t>
        </is>
      </c>
      <c r="I142" s="13" t="inlineStr">
        <is>
          <t>PRODUCTION</t>
        </is>
      </c>
      <c r="J142" s="13" t="inlineStr">
        <is>
          <t>Project</t>
        </is>
      </c>
      <c r="K142" s="13" t="inlineStr">
        <is>
          <t>GST 10%</t>
        </is>
      </c>
      <c r="L142" s="15" t="n">
        <v>4729</v>
      </c>
      <c r="M142" s="16">
        <f>IF(L142="","",IF(K142="GST 10%",ROUND(L142*0.1,2),0))</f>
        <v/>
      </c>
      <c r="N142" s="16">
        <f>IF(L142="","",L142+M142)</f>
        <v/>
      </c>
      <c r="O142" s="13" t="inlineStr">
        <is>
          <t>42100</t>
        </is>
      </c>
      <c r="P142" s="13" t="inlineStr">
        <is>
          <t>Y</t>
        </is>
      </c>
      <c r="Q142" s="13" t="inlineStr">
        <is>
          <t>N</t>
        </is>
      </c>
      <c r="R142" s="13" t="inlineStr">
        <is>
          <t>To Invoice</t>
        </is>
      </c>
      <c r="S142" s="13" t="n"/>
      <c r="T142" s="14">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row>
    <row r="143" ht="15" customHeight="1">
      <c r="A143" s="11" t="n"/>
      <c r="B143" s="12">
        <f>IF(A143="","",EOMONTH(A143,0))</f>
        <v/>
      </c>
      <c r="C143" s="13" t="n"/>
      <c r="D143" s="13" t="inlineStr">
        <is>
          <t>ICC</t>
        </is>
      </c>
      <c r="E143" s="13" t="inlineStr">
        <is>
          <t>26082503</t>
        </is>
      </c>
      <c r="F143" s="14">
        <f>IF(E143="","",IF(COUNTIF(lst_Jobs,E143&amp;"")&gt;0,"OK","CHECK"))</f>
        <v/>
      </c>
      <c r="G143" s="13" t="inlineStr">
        <is>
          <t>ICC - September Presenter Support Presentations - ICAS</t>
        </is>
      </c>
      <c r="H143" s="13" t="inlineStr">
        <is>
          <t>Production</t>
        </is>
      </c>
      <c r="I143" s="13" t="inlineStr">
        <is>
          <t>PRODUCTION</t>
        </is>
      </c>
      <c r="J143" s="13" t="inlineStr">
        <is>
          <t>Project</t>
        </is>
      </c>
      <c r="K143" s="13" t="inlineStr">
        <is>
          <t>GST 10%</t>
        </is>
      </c>
      <c r="L143" s="15" t="n">
        <v>946</v>
      </c>
      <c r="M143" s="16">
        <f>IF(L143="","",IF(K143="GST 10%",ROUND(L143*0.1,2),0))</f>
        <v/>
      </c>
      <c r="N143" s="16">
        <f>IF(L143="","",L143+M143)</f>
        <v/>
      </c>
      <c r="O143" s="13" t="inlineStr">
        <is>
          <t>42100</t>
        </is>
      </c>
      <c r="P143" s="13" t="inlineStr">
        <is>
          <t>Y</t>
        </is>
      </c>
      <c r="Q143" s="13" t="inlineStr">
        <is>
          <t>N</t>
        </is>
      </c>
      <c r="R143" s="13" t="inlineStr">
        <is>
          <t>To Invoice</t>
        </is>
      </c>
      <c r="S143" s="13" t="n"/>
      <c r="T143" s="14">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row>
    <row r="144" ht="15" customHeight="1">
      <c r="A144" s="11" t="n">
        <v>45805</v>
      </c>
      <c r="B144" s="12">
        <f>IF(A144="","",EOMONTH(A144,0))</f>
        <v/>
      </c>
      <c r="C144" s="13" t="inlineStr">
        <is>
          <t>INV-9860</t>
        </is>
      </c>
      <c r="D144" s="13" t="inlineStr">
        <is>
          <t>DAFF</t>
        </is>
      </c>
      <c r="E144" s="13" t="inlineStr">
        <is>
          <t>25021901</t>
        </is>
      </c>
      <c r="F144" s="14">
        <f>IF(E144="","",IF(COUNTIF(lst_Jobs,E144&amp;"")&gt;0,"OK","CHECK"))</f>
        <v/>
      </c>
      <c r="G144" s="13" t="inlineStr">
        <is>
          <t>Technology Standards Evaluation</t>
        </is>
      </c>
      <c r="H144" s="13" t="inlineStr">
        <is>
          <t>Consulting</t>
        </is>
      </c>
      <c r="I144" s="13" t="inlineStr">
        <is>
          <t>CONSULTING</t>
        </is>
      </c>
      <c r="J144" s="13" t="inlineStr">
        <is>
          <t>Project</t>
        </is>
      </c>
      <c r="K144" s="13" t="inlineStr">
        <is>
          <t>GST 10%</t>
        </is>
      </c>
      <c r="L144" s="15" t="n">
        <v>9875</v>
      </c>
      <c r="M144" s="16">
        <f>IF(L144="","",IF(K144="GST 10%",ROUND(L144*0.1,2),0))</f>
        <v/>
      </c>
      <c r="N144" s="16">
        <f>IF(L144="","",L144+M144)</f>
        <v/>
      </c>
      <c r="O144" s="13" t="inlineStr">
        <is>
          <t>42800</t>
        </is>
      </c>
      <c r="P144" s="13" t="inlineStr">
        <is>
          <t>Y</t>
        </is>
      </c>
      <c r="Q144" s="13" t="inlineStr">
        <is>
          <t>N</t>
        </is>
      </c>
      <c r="R144" s="13" t="inlineStr">
        <is>
          <t>Invoiced</t>
        </is>
      </c>
      <c r="S144" s="13" t="inlineStr">
        <is>
          <t>Revenue still in WIP</t>
        </is>
      </c>
      <c r="T144" s="14">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row>
    <row r="145" ht="15" customHeight="1">
      <c r="A145" s="11" t="n">
        <v>46101</v>
      </c>
      <c r="B145" s="12">
        <f>IF(A145="","",EOMONTH(A145,0))</f>
        <v/>
      </c>
      <c r="C145" s="13" t="inlineStr">
        <is>
          <t>INV-10319</t>
        </is>
      </c>
      <c r="D145" s="13" t="inlineStr">
        <is>
          <t>DEWR</t>
        </is>
      </c>
      <c r="E145" s="13" t="inlineStr">
        <is>
          <t>25102701</t>
        </is>
      </c>
      <c r="F145" s="14">
        <f>IF(E145="","",IF(COUNTIF(lst_Jobs,E145&amp;"")&gt;0,"OK","CHECK"))</f>
        <v/>
      </c>
      <c r="G145" s="13" t="inlineStr">
        <is>
          <t>DEWR Studio Upgrade</t>
        </is>
      </c>
      <c r="H145" s="13" t="inlineStr">
        <is>
          <t>Consulting</t>
        </is>
      </c>
      <c r="I145" s="13" t="inlineStr">
        <is>
          <t>CONSULTING</t>
        </is>
      </c>
      <c r="J145" s="13" t="inlineStr">
        <is>
          <t>Project</t>
        </is>
      </c>
      <c r="K145" s="13" t="inlineStr">
        <is>
          <t>GST 10%</t>
        </is>
      </c>
      <c r="L145" s="15" t="n">
        <v>23050</v>
      </c>
      <c r="M145" s="16">
        <f>IF(L145="","",IF(K145="GST 10%",ROUND(L145*0.1,2),0))</f>
        <v/>
      </c>
      <c r="N145" s="16">
        <f>IF(L145="","",L145+M145)</f>
        <v/>
      </c>
      <c r="O145" s="13" t="inlineStr">
        <is>
          <t>42800</t>
        </is>
      </c>
      <c r="P145" s="13" t="inlineStr">
        <is>
          <t>Y</t>
        </is>
      </c>
      <c r="Q145" s="13" t="inlineStr">
        <is>
          <t>N</t>
        </is>
      </c>
      <c r="R145" s="13" t="inlineStr">
        <is>
          <t>To Invoice</t>
        </is>
      </c>
      <c r="S145" s="13" t="inlineStr">
        <is>
          <t>Progress Claim 01</t>
        </is>
      </c>
      <c r="T145" s="14">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row>
    <row r="146" ht="15" customHeight="1">
      <c r="A146" s="11" t="n">
        <v>46104</v>
      </c>
      <c r="B146" s="12">
        <f>IF(A146="","",EOMONTH(A146,0))</f>
        <v/>
      </c>
      <c r="C146" s="13" t="inlineStr">
        <is>
          <t>INV-10320</t>
        </is>
      </c>
      <c r="D146" s="13" t="inlineStr">
        <is>
          <t>DEWR</t>
        </is>
      </c>
      <c r="E146" s="13" t="inlineStr">
        <is>
          <t>25102701</t>
        </is>
      </c>
      <c r="F146" s="14">
        <f>IF(E146="","",IF(COUNTIF(lst_Jobs,E146&amp;"")&gt;0,"OK","CHECK"))</f>
        <v/>
      </c>
      <c r="G146" s="13" t="inlineStr">
        <is>
          <t>DEWR Studio Upgrade</t>
        </is>
      </c>
      <c r="H146" s="13" t="inlineStr">
        <is>
          <t>Consulting</t>
        </is>
      </c>
      <c r="I146" s="13" t="inlineStr">
        <is>
          <t>CONSULTING</t>
        </is>
      </c>
      <c r="J146" s="13" t="inlineStr">
        <is>
          <t>Project</t>
        </is>
      </c>
      <c r="K146" s="13" t="inlineStr">
        <is>
          <t>GST 10%</t>
        </is>
      </c>
      <c r="L146" s="15" t="n">
        <v>13250</v>
      </c>
      <c r="M146" s="16">
        <f>IF(L146="","",IF(K146="GST 10%",ROUND(L146*0.1,2),0))</f>
        <v/>
      </c>
      <c r="N146" s="16">
        <f>IF(L146="","",L146+M146)</f>
        <v/>
      </c>
      <c r="O146" s="13" t="inlineStr">
        <is>
          <t>42800</t>
        </is>
      </c>
      <c r="P146" s="13" t="inlineStr">
        <is>
          <t>Y</t>
        </is>
      </c>
      <c r="Q146" s="13" t="inlineStr">
        <is>
          <t>N</t>
        </is>
      </c>
      <c r="R146" s="13" t="inlineStr">
        <is>
          <t>To Invoice</t>
        </is>
      </c>
      <c r="S146" s="13" t="inlineStr">
        <is>
          <t>Progress Claim 02</t>
        </is>
      </c>
      <c r="T146" s="14">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row>
    <row r="147" ht="15" customHeight="1">
      <c r="A147" s="11" t="n">
        <v>46128</v>
      </c>
      <c r="B147" s="12">
        <f>IF(A147="","",EOMONTH(A147,0))</f>
        <v/>
      </c>
      <c r="C147" s="13" t="inlineStr">
        <is>
          <t>INV-10353</t>
        </is>
      </c>
      <c r="D147" s="13" t="inlineStr">
        <is>
          <t>DEWR</t>
        </is>
      </c>
      <c r="E147" s="13" t="inlineStr">
        <is>
          <t>25102701</t>
        </is>
      </c>
      <c r="F147" s="14">
        <f>IF(E147="","",IF(COUNTIF(lst_Jobs,E147&amp;"")&gt;0,"OK","CHECK"))</f>
        <v/>
      </c>
      <c r="G147" s="13" t="inlineStr">
        <is>
          <t>DEWR Studio Upgrade</t>
        </is>
      </c>
      <c r="H147" s="13" t="inlineStr">
        <is>
          <t>Consulting</t>
        </is>
      </c>
      <c r="I147" s="13" t="inlineStr">
        <is>
          <t>CONSULTING</t>
        </is>
      </c>
      <c r="J147" s="13" t="inlineStr">
        <is>
          <t>Project</t>
        </is>
      </c>
      <c r="K147" s="13" t="inlineStr">
        <is>
          <t>GST 10%</t>
        </is>
      </c>
      <c r="L147" s="15" t="n">
        <v>24410</v>
      </c>
      <c r="M147" s="16">
        <f>IF(L147="","",IF(K147="GST 10%",ROUND(L147*0.1,2),0))</f>
        <v/>
      </c>
      <c r="N147" s="16">
        <f>IF(L147="","",L147+M147)</f>
        <v/>
      </c>
      <c r="O147" s="13" t="inlineStr">
        <is>
          <t>42800</t>
        </is>
      </c>
      <c r="P147" s="13" t="inlineStr">
        <is>
          <t>Y</t>
        </is>
      </c>
      <c r="Q147" s="13" t="inlineStr">
        <is>
          <t>N</t>
        </is>
      </c>
      <c r="R147" s="13" t="inlineStr">
        <is>
          <t>To Invoice</t>
        </is>
      </c>
      <c r="S147" s="13" t="inlineStr">
        <is>
          <t>Progress Claim 03</t>
        </is>
      </c>
      <c r="T147" s="14">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row>
    <row r="148" ht="15" customHeight="1">
      <c r="A148" s="11" t="n">
        <v>46162</v>
      </c>
      <c r="B148" s="12">
        <f>IF(A148="","",EOMONTH(A148,0))</f>
        <v/>
      </c>
      <c r="C148" s="13" t="inlineStr">
        <is>
          <t>INV-10425</t>
        </is>
      </c>
      <c r="D148" s="13" t="inlineStr">
        <is>
          <t>DTTL</t>
        </is>
      </c>
      <c r="E148" s="13" t="inlineStr">
        <is>
          <t>26052002</t>
        </is>
      </c>
      <c r="F148" s="14">
        <f>IF(E148="","",IF(COUNTIF(lst_Jobs,E148&amp;"")&gt;0,"OK","CHECK"))</f>
        <v/>
      </c>
      <c r="G148" s="13" t="inlineStr">
        <is>
          <t>BNE ​L23 Training Rooms Upgrade</t>
        </is>
      </c>
      <c r="H148" s="13" t="inlineStr">
        <is>
          <t>Consulting</t>
        </is>
      </c>
      <c r="I148" s="13" t="inlineStr">
        <is>
          <t>INTEGRATION</t>
        </is>
      </c>
      <c r="J148" s="13" t="inlineStr">
        <is>
          <t>Project</t>
        </is>
      </c>
      <c r="K148" s="13" t="inlineStr">
        <is>
          <t>GST 10%</t>
        </is>
      </c>
      <c r="L148" s="15" t="n">
        <v>57706</v>
      </c>
      <c r="M148" s="16">
        <f>IF(L148="","",IF(K148="GST 10%",ROUND(L148*0.1,2),0))</f>
        <v/>
      </c>
      <c r="N148" s="16">
        <f>IF(L148="","",L148+M148)</f>
        <v/>
      </c>
      <c r="O148" s="13" t="inlineStr">
        <is>
          <t>42300</t>
        </is>
      </c>
      <c r="P148" s="13" t="inlineStr">
        <is>
          <t>Y</t>
        </is>
      </c>
      <c r="Q148" s="13" t="inlineStr">
        <is>
          <t>N</t>
        </is>
      </c>
      <c r="R148" s="13" t="inlineStr">
        <is>
          <t>To Invoice</t>
        </is>
      </c>
      <c r="S148" s="13" t="n"/>
      <c r="T148" s="14">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row>
    <row r="149" ht="15" customHeight="1">
      <c r="A149" s="11" t="n">
        <v>46163</v>
      </c>
      <c r="B149" s="12">
        <f>IF(A149="","",EOMONTH(A149,0))</f>
        <v/>
      </c>
      <c r="C149" s="13" t="inlineStr">
        <is>
          <t>INV-10426</t>
        </is>
      </c>
      <c r="D149" s="13" t="inlineStr">
        <is>
          <t>DTTL</t>
        </is>
      </c>
      <c r="E149" s="13" t="inlineStr">
        <is>
          <t>26052003</t>
        </is>
      </c>
      <c r="F149" s="14">
        <f>IF(E149="","",IF(COUNTIF(lst_Jobs,E149&amp;"")&gt;0,"OK","CHECK"))</f>
        <v/>
      </c>
      <c r="G149" s="13" t="inlineStr">
        <is>
          <t>SYD Mobile Display Supply</t>
        </is>
      </c>
      <c r="H149" s="13" t="inlineStr">
        <is>
          <t>Consulting</t>
        </is>
      </c>
      <c r="I149" s="13" t="inlineStr">
        <is>
          <t>INTEGRATION</t>
        </is>
      </c>
      <c r="J149" s="13" t="inlineStr">
        <is>
          <t>Project</t>
        </is>
      </c>
      <c r="K149" s="13" t="inlineStr">
        <is>
          <t>GST 10%</t>
        </is>
      </c>
      <c r="L149" s="15" t="n">
        <v>26234</v>
      </c>
      <c r="M149" s="16">
        <f>IF(L149="","",IF(K149="GST 10%",ROUND(L149*0.1,2),0))</f>
        <v/>
      </c>
      <c r="N149" s="16">
        <f>IF(L149="","",L149+M149)</f>
        <v/>
      </c>
      <c r="O149" s="13" t="inlineStr">
        <is>
          <t>42300</t>
        </is>
      </c>
      <c r="P149" s="13" t="inlineStr">
        <is>
          <t>Y</t>
        </is>
      </c>
      <c r="Q149" s="13" t="inlineStr">
        <is>
          <t>N</t>
        </is>
      </c>
      <c r="R149" s="13" t="inlineStr">
        <is>
          <t>Paid</t>
        </is>
      </c>
      <c r="S149" s="13" t="n"/>
      <c r="T149" s="14">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row>
    <row r="150" ht="15" customHeight="1">
      <c r="A150" s="11" t="n">
        <v>46171</v>
      </c>
      <c r="B150" s="12">
        <f>IF(A150="","",EOMONTH(A150,0))</f>
        <v/>
      </c>
      <c r="C150" s="13" t="inlineStr">
        <is>
          <t>INV-10442</t>
        </is>
      </c>
      <c r="D150" s="13" t="inlineStr">
        <is>
          <t>DEWR</t>
        </is>
      </c>
      <c r="E150" s="13" t="inlineStr">
        <is>
          <t>25102701</t>
        </is>
      </c>
      <c r="F150" s="14">
        <f>IF(E150="","",IF(COUNTIF(lst_Jobs,E150&amp;"")&gt;0,"OK","CHECK"))</f>
        <v/>
      </c>
      <c r="G150" s="13" t="inlineStr">
        <is>
          <t>DEWR Studio Upgrade</t>
        </is>
      </c>
      <c r="H150" s="13" t="inlineStr">
        <is>
          <t>Consulting</t>
        </is>
      </c>
      <c r="I150" s="13" t="inlineStr">
        <is>
          <t>CONSULTING</t>
        </is>
      </c>
      <c r="J150" s="13" t="inlineStr">
        <is>
          <t>Project</t>
        </is>
      </c>
      <c r="K150" s="13" t="inlineStr">
        <is>
          <t>GST 10%</t>
        </is>
      </c>
      <c r="L150" s="15" t="n">
        <v>7563</v>
      </c>
      <c r="M150" s="16">
        <f>IF(L150="","",IF(K150="GST 10%",ROUND(L150*0.1,2),0))</f>
        <v/>
      </c>
      <c r="N150" s="16">
        <f>IF(L150="","",L150+M150)</f>
        <v/>
      </c>
      <c r="O150" s="13" t="inlineStr">
        <is>
          <t>42800</t>
        </is>
      </c>
      <c r="P150" s="13" t="inlineStr">
        <is>
          <t>Y</t>
        </is>
      </c>
      <c r="Q150" s="13" t="inlineStr">
        <is>
          <t>N</t>
        </is>
      </c>
      <c r="R150" s="13" t="inlineStr">
        <is>
          <t>To Invoice</t>
        </is>
      </c>
      <c r="S150" s="13" t="inlineStr">
        <is>
          <t>Progress Claim 04</t>
        </is>
      </c>
      <c r="T150" s="14">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row>
    <row r="151" ht="15" customHeight="1">
      <c r="A151" s="11" t="n">
        <v>46190</v>
      </c>
      <c r="B151" s="12">
        <f>IF(A151="","",EOMONTH(A151,0))</f>
        <v/>
      </c>
      <c r="C151" s="13" t="inlineStr">
        <is>
          <t>INV-10462</t>
        </is>
      </c>
      <c r="D151" s="13" t="inlineStr">
        <is>
          <t>PwC</t>
        </is>
      </c>
      <c r="E151" s="13" t="inlineStr">
        <is>
          <t>26051801</t>
        </is>
      </c>
      <c r="F151" s="14">
        <f>IF(E151="","",IF(COUNTIF(lst_Jobs,E151&amp;"")&gt;0,"OK","CHECK"))</f>
        <v/>
      </c>
      <c r="G151" s="13" t="inlineStr">
        <is>
          <t>Mel Studio Equipment</t>
        </is>
      </c>
      <c r="H151" s="13" t="inlineStr">
        <is>
          <t>Consulting</t>
        </is>
      </c>
      <c r="I151" s="13" t="inlineStr">
        <is>
          <t>INTEGRATION</t>
        </is>
      </c>
      <c r="J151" s="13" t="inlineStr">
        <is>
          <t>Project</t>
        </is>
      </c>
      <c r="K151" s="13" t="inlineStr">
        <is>
          <t>GST 10%</t>
        </is>
      </c>
      <c r="L151" s="15" t="n">
        <v>12039</v>
      </c>
      <c r="M151" s="16">
        <f>IF(L151="","",IF(K151="GST 10%",ROUND(L151*0.1,2),0))</f>
        <v/>
      </c>
      <c r="N151" s="16">
        <f>IF(L151="","",L151+M151)</f>
        <v/>
      </c>
      <c r="O151" s="13" t="inlineStr">
        <is>
          <t>42300</t>
        </is>
      </c>
      <c r="P151" s="13" t="inlineStr">
        <is>
          <t>Y</t>
        </is>
      </c>
      <c r="Q151" s="13" t="inlineStr">
        <is>
          <t>N</t>
        </is>
      </c>
      <c r="R151" s="13" t="inlineStr">
        <is>
          <t>Invoiced</t>
        </is>
      </c>
      <c r="S151" s="13" t="n"/>
      <c r="T151" s="14">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row>
    <row r="152" ht="15" customHeight="1">
      <c r="A152" s="11" t="n">
        <v>46190</v>
      </c>
      <c r="B152" s="12">
        <f>IF(A152="","",EOMONTH(A152,0))</f>
        <v/>
      </c>
      <c r="C152" s="13" t="inlineStr">
        <is>
          <t>INV-10461</t>
        </is>
      </c>
      <c r="D152" s="13" t="inlineStr">
        <is>
          <t>PwC</t>
        </is>
      </c>
      <c r="E152" s="13" t="inlineStr">
        <is>
          <t>26043003</t>
        </is>
      </c>
      <c r="F152" s="14">
        <f>IF(E152="","",IF(COUNTIF(lst_Jobs,E152&amp;"")&gt;0,"OK","CHECK"))</f>
        <v/>
      </c>
      <c r="G152" s="13" t="inlineStr">
        <is>
          <t>Screen Replacements (SYD/MEL)</t>
        </is>
      </c>
      <c r="H152" s="13" t="inlineStr">
        <is>
          <t>Consulting</t>
        </is>
      </c>
      <c r="I152" s="13" t="inlineStr">
        <is>
          <t>INTEGRATION</t>
        </is>
      </c>
      <c r="J152" s="13" t="inlineStr">
        <is>
          <t>Project</t>
        </is>
      </c>
      <c r="K152" s="13" t="inlineStr">
        <is>
          <t>GST 10%</t>
        </is>
      </c>
      <c r="L152" s="15" t="n">
        <v>96068</v>
      </c>
      <c r="M152" s="16">
        <f>IF(L152="","",IF(K152="GST 10%",ROUND(L152*0.1,2),0))</f>
        <v/>
      </c>
      <c r="N152" s="16">
        <f>IF(L152="","",L152+M152)</f>
        <v/>
      </c>
      <c r="O152" s="13" t="inlineStr">
        <is>
          <t>42300</t>
        </is>
      </c>
      <c r="P152" s="13" t="inlineStr">
        <is>
          <t>Y</t>
        </is>
      </c>
      <c r="Q152" s="13" t="inlineStr">
        <is>
          <t>N</t>
        </is>
      </c>
      <c r="R152" s="13" t="inlineStr">
        <is>
          <t>Paid</t>
        </is>
      </c>
      <c r="S152" s="13" t="n"/>
      <c r="T152" s="14">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row>
    <row r="153" ht="15" customHeight="1">
      <c r="A153" s="11" t="n">
        <v>46198</v>
      </c>
      <c r="B153" s="12">
        <f>IF(A153="","",EOMONTH(A153,0))</f>
        <v/>
      </c>
      <c r="C153" s="13" t="inlineStr">
        <is>
          <t>INV-10500</t>
        </is>
      </c>
      <c r="D153" s="13" t="inlineStr">
        <is>
          <t>PwC</t>
        </is>
      </c>
      <c r="E153" s="13" t="inlineStr">
        <is>
          <t>2606901</t>
        </is>
      </c>
      <c r="F153" s="14">
        <f>IF(E153="","",IF(COUNTIF(lst_Jobs,E153&amp;"")&gt;0,"OK","CHECK"))</f>
        <v/>
      </c>
      <c r="G153" s="13" t="inlineStr">
        <is>
          <t>Sydney Office box drop</t>
        </is>
      </c>
      <c r="H153" s="13" t="inlineStr">
        <is>
          <t>Consulting</t>
        </is>
      </c>
      <c r="I153" s="13" t="inlineStr">
        <is>
          <t>INTEGRATION</t>
        </is>
      </c>
      <c r="J153" s="13" t="inlineStr">
        <is>
          <t>Project</t>
        </is>
      </c>
      <c r="K153" s="13" t="inlineStr">
        <is>
          <t>GST 10%</t>
        </is>
      </c>
      <c r="L153" s="15" t="n">
        <v>561</v>
      </c>
      <c r="M153" s="16">
        <f>IF(L153="","",IF(K153="GST 10%",ROUND(L153*0.1,2),0))</f>
        <v/>
      </c>
      <c r="N153" s="16">
        <f>IF(L153="","",L153+M153)</f>
        <v/>
      </c>
      <c r="O153" s="13" t="inlineStr">
        <is>
          <t>42300</t>
        </is>
      </c>
      <c r="P153" s="13" t="inlineStr">
        <is>
          <t>Y</t>
        </is>
      </c>
      <c r="Q153" s="13" t="inlineStr">
        <is>
          <t>N</t>
        </is>
      </c>
      <c r="R153" s="13" t="inlineStr">
        <is>
          <t>Paid</t>
        </is>
      </c>
      <c r="S153" s="13" t="n"/>
      <c r="T153" s="14">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row>
    <row r="154" ht="15" customHeight="1">
      <c r="A154" s="11" t="n">
        <v>46198</v>
      </c>
      <c r="B154" s="12">
        <f>IF(A154="","",EOMONTH(A154,0))</f>
        <v/>
      </c>
      <c r="C154" s="13" t="inlineStr">
        <is>
          <t>INV-10499</t>
        </is>
      </c>
      <c r="D154" s="13" t="inlineStr">
        <is>
          <t>YSG Studio</t>
        </is>
      </c>
      <c r="E154" s="13" t="inlineStr">
        <is>
          <t>2602203</t>
        </is>
      </c>
      <c r="F154" s="14">
        <f>IF(E154="","",IF(COUNTIF(lst_Jobs,E154&amp;"")&gt;0,"OK","CHECK"))</f>
        <v/>
      </c>
      <c r="G154" s="13" t="inlineStr">
        <is>
          <t>Orange Room Upgrade CONS</t>
        </is>
      </c>
      <c r="H154" s="13" t="inlineStr">
        <is>
          <t>Consulting</t>
        </is>
      </c>
      <c r="I154" s="13" t="inlineStr">
        <is>
          <t>CONSULTING</t>
        </is>
      </c>
      <c r="J154" s="13" t="inlineStr">
        <is>
          <t>Project</t>
        </is>
      </c>
      <c r="K154" s="13" t="inlineStr">
        <is>
          <t>GST 10%</t>
        </is>
      </c>
      <c r="L154" s="15" t="n">
        <v>2247.5</v>
      </c>
      <c r="M154" s="16">
        <f>IF(L154="","",IF(K154="GST 10%",ROUND(L154*0.1,2),0))</f>
        <v/>
      </c>
      <c r="N154" s="16">
        <f>IF(L154="","",L154+M154)</f>
        <v/>
      </c>
      <c r="O154" s="13" t="inlineStr">
        <is>
          <t>42800</t>
        </is>
      </c>
      <c r="P154" s="13" t="inlineStr">
        <is>
          <t>Y</t>
        </is>
      </c>
      <c r="Q154" s="13" t="inlineStr">
        <is>
          <t>N</t>
        </is>
      </c>
      <c r="R154" s="13" t="inlineStr">
        <is>
          <t>To Invoice</t>
        </is>
      </c>
      <c r="S154" s="13" t="inlineStr">
        <is>
          <t>Progress Claim 03</t>
        </is>
      </c>
      <c r="T154" s="14">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row>
    <row r="155" ht="15" customHeight="1">
      <c r="A155" s="11" t="n">
        <v>46203</v>
      </c>
      <c r="B155" s="12">
        <f>IF(A155="","",EOMONTH(A155,0))</f>
        <v/>
      </c>
      <c r="C155" s="13" t="inlineStr">
        <is>
          <t>INV-10510</t>
        </is>
      </c>
      <c r="D155" s="13" t="inlineStr">
        <is>
          <t>CoS</t>
        </is>
      </c>
      <c r="E155" s="13" t="inlineStr">
        <is>
          <t>25111203</t>
        </is>
      </c>
      <c r="F155" s="14">
        <f>IF(E155="","",IF(COUNTIF(lst_Jobs,E155&amp;"")&gt;0,"OK","CHECK"))</f>
        <v/>
      </c>
      <c r="G155" s="13" t="inlineStr">
        <is>
          <t>Barco E3 Sale</t>
        </is>
      </c>
      <c r="H155" s="13" t="inlineStr">
        <is>
          <t>Consulting</t>
        </is>
      </c>
      <c r="I155" s="13" t="inlineStr">
        <is>
          <t>INTEGRATION</t>
        </is>
      </c>
      <c r="J155" s="13" t="inlineStr">
        <is>
          <t>Project</t>
        </is>
      </c>
      <c r="K155" s="13" t="inlineStr">
        <is>
          <t>GST 10%</t>
        </is>
      </c>
      <c r="L155" s="15" t="n">
        <v>159150</v>
      </c>
      <c r="M155" s="16">
        <f>IF(L155="","",IF(K155="GST 10%",ROUND(L155*0.1,2),0))</f>
        <v/>
      </c>
      <c r="N155" s="16">
        <f>IF(L155="","",L155+M155)</f>
        <v/>
      </c>
      <c r="O155" s="13" t="inlineStr">
        <is>
          <t>42300</t>
        </is>
      </c>
      <c r="P155" s="13" t="inlineStr">
        <is>
          <t>Y</t>
        </is>
      </c>
      <c r="Q155" s="13" t="inlineStr">
        <is>
          <t>N</t>
        </is>
      </c>
      <c r="R155" s="13" t="inlineStr">
        <is>
          <t>Paid</t>
        </is>
      </c>
      <c r="S155" s="13" t="n"/>
      <c r="T155" s="14">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row>
    <row r="156" ht="15" customHeight="1">
      <c r="A156" s="11" t="n">
        <v>46203</v>
      </c>
      <c r="B156" s="12">
        <f>IF(A156="","",EOMONTH(A156,0))</f>
        <v/>
      </c>
      <c r="C156" s="13" t="inlineStr">
        <is>
          <t>INV-10355</t>
        </is>
      </c>
      <c r="D156" s="13" t="inlineStr">
        <is>
          <t>DTTL</t>
        </is>
      </c>
      <c r="E156" s="13" t="inlineStr">
        <is>
          <t>26033003</t>
        </is>
      </c>
      <c r="F156" s="14">
        <f>IF(E156="","",IF(COUNTIF(lst_Jobs,E156&amp;"")&gt;0,"OK","CHECK"))</f>
        <v/>
      </c>
      <c r="G156" s="13" t="inlineStr">
        <is>
          <t>8PSQ-Dream-Big-Microphones</t>
        </is>
      </c>
      <c r="H156" s="13" t="inlineStr">
        <is>
          <t>Consulting</t>
        </is>
      </c>
      <c r="I156" s="13" t="inlineStr">
        <is>
          <t>INTEGRATION</t>
        </is>
      </c>
      <c r="J156" s="13" t="inlineStr">
        <is>
          <t>Project</t>
        </is>
      </c>
      <c r="K156" s="13" t="inlineStr">
        <is>
          <t>GST 10%</t>
        </is>
      </c>
      <c r="L156" s="15" t="n">
        <v>27408</v>
      </c>
      <c r="M156" s="16">
        <f>IF(L156="","",IF(K156="GST 10%",ROUND(L156*0.1,2),0))</f>
        <v/>
      </c>
      <c r="N156" s="16">
        <f>IF(L156="","",L156+M156)</f>
        <v/>
      </c>
      <c r="O156" s="13" t="inlineStr">
        <is>
          <t>42300</t>
        </is>
      </c>
      <c r="P156" s="13" t="inlineStr">
        <is>
          <t>Y</t>
        </is>
      </c>
      <c r="Q156" s="13" t="inlineStr">
        <is>
          <t>N</t>
        </is>
      </c>
      <c r="R156" s="13" t="inlineStr">
        <is>
          <t>Paid</t>
        </is>
      </c>
      <c r="S156" s="13" t="inlineStr">
        <is>
          <t>Invoiced in DTTL Additionals</t>
        </is>
      </c>
      <c r="T156" s="14">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row>
    <row r="157" ht="15" customHeight="1">
      <c r="A157" s="11" t="n">
        <v>46203</v>
      </c>
      <c r="B157" s="12">
        <f>IF(A157="","",EOMONTH(A157,0))</f>
        <v/>
      </c>
      <c r="C157" s="13" t="inlineStr">
        <is>
          <t>INV-10355</t>
        </is>
      </c>
      <c r="D157" s="13" t="inlineStr">
        <is>
          <t>DTTL</t>
        </is>
      </c>
      <c r="E157" s="13" t="inlineStr">
        <is>
          <t>26033005</t>
        </is>
      </c>
      <c r="F157" s="14">
        <f>IF(E157="","",IF(COUNTIF(lst_Jobs,E157&amp;"")&gt;0,"OK","CHECK"))</f>
        <v/>
      </c>
      <c r="G157" s="13" t="inlineStr">
        <is>
          <t>QQT &amp; 8PSQ_Crestron Connect Adaptor</t>
        </is>
      </c>
      <c r="H157" s="13" t="inlineStr">
        <is>
          <t>Consulting</t>
        </is>
      </c>
      <c r="I157" s="13" t="inlineStr">
        <is>
          <t>INTEGRATION</t>
        </is>
      </c>
      <c r="J157" s="13" t="inlineStr">
        <is>
          <t>Project</t>
        </is>
      </c>
      <c r="K157" s="13" t="inlineStr">
        <is>
          <t>GST 10%</t>
        </is>
      </c>
      <c r="L157" s="15" t="n">
        <v>20128</v>
      </c>
      <c r="M157" s="16">
        <f>IF(L157="","",IF(K157="GST 10%",ROUND(L157*0.1,2),0))</f>
        <v/>
      </c>
      <c r="N157" s="16">
        <f>IF(L157="","",L157+M157)</f>
        <v/>
      </c>
      <c r="O157" s="13" t="inlineStr">
        <is>
          <t>42300</t>
        </is>
      </c>
      <c r="P157" s="13" t="inlineStr">
        <is>
          <t>Y</t>
        </is>
      </c>
      <c r="Q157" s="13" t="inlineStr">
        <is>
          <t>N</t>
        </is>
      </c>
      <c r="R157" s="13" t="inlineStr">
        <is>
          <t>To Invoice</t>
        </is>
      </c>
      <c r="S157" s="13" t="n"/>
      <c r="T157" s="14">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row>
    <row r="158" ht="15" customHeight="1">
      <c r="A158" s="11" t="n">
        <v>46203</v>
      </c>
      <c r="B158" s="12">
        <f>IF(A158="","",EOMONTH(A158,0))</f>
        <v/>
      </c>
      <c r="C158" s="13" t="inlineStr">
        <is>
          <t>INV-10355</t>
        </is>
      </c>
      <c r="D158" s="13" t="inlineStr">
        <is>
          <t>DTTL</t>
        </is>
      </c>
      <c r="E158" s="13" t="inlineStr">
        <is>
          <t>26033006</t>
        </is>
      </c>
      <c r="F158" s="14">
        <f>IF(E158="","",IF(COUNTIF(lst_Jobs,E158&amp;"")&gt;0,"OK","CHECK"))</f>
        <v/>
      </c>
      <c r="G158" s="13" t="inlineStr">
        <is>
          <t>8PSQ_Bluetooth Audio</t>
        </is>
      </c>
      <c r="H158" s="13" t="inlineStr">
        <is>
          <t>Consulting</t>
        </is>
      </c>
      <c r="I158" s="13" t="inlineStr">
        <is>
          <t>INTEGRATION</t>
        </is>
      </c>
      <c r="J158" s="13" t="inlineStr">
        <is>
          <t>Project</t>
        </is>
      </c>
      <c r="K158" s="13" t="inlineStr">
        <is>
          <t>GST 10%</t>
        </is>
      </c>
      <c r="L158" s="15" t="n">
        <v>5065</v>
      </c>
      <c r="M158" s="16">
        <f>IF(L158="","",IF(K158="GST 10%",ROUND(L158*0.1,2),0))</f>
        <v/>
      </c>
      <c r="N158" s="16">
        <f>IF(L158="","",L158+M158)</f>
        <v/>
      </c>
      <c r="O158" s="13" t="inlineStr">
        <is>
          <t>42300</t>
        </is>
      </c>
      <c r="P158" s="13" t="inlineStr">
        <is>
          <t>Y</t>
        </is>
      </c>
      <c r="Q158" s="13" t="inlineStr">
        <is>
          <t>N</t>
        </is>
      </c>
      <c r="R158" s="13" t="inlineStr">
        <is>
          <t>To Invoice</t>
        </is>
      </c>
      <c r="S158" s="13" t="n"/>
      <c r="T158" s="14">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row>
    <row r="159" ht="15" customHeight="1">
      <c r="A159" s="11" t="n">
        <v>46203</v>
      </c>
      <c r="B159" s="12">
        <f>IF(A159="","",EOMONTH(A159,0))</f>
        <v/>
      </c>
      <c r="C159" s="13" t="inlineStr">
        <is>
          <t>INV-10355</t>
        </is>
      </c>
      <c r="D159" s="13" t="inlineStr">
        <is>
          <t>DTTL</t>
        </is>
      </c>
      <c r="E159" s="13" t="inlineStr">
        <is>
          <t>26033007</t>
        </is>
      </c>
      <c r="F159" s="14">
        <f>IF(E159="","",IF(COUNTIF(lst_Jobs,E159&amp;"")&gt;0,"OK","CHECK"))</f>
        <v/>
      </c>
      <c r="G159" s="13" t="inlineStr">
        <is>
          <t>QQT_Lv45 Seminar-Wheels repair</t>
        </is>
      </c>
      <c r="H159" s="13" t="inlineStr">
        <is>
          <t>Consulting</t>
        </is>
      </c>
      <c r="I159" s="13" t="inlineStr">
        <is>
          <t>INTEGRATION</t>
        </is>
      </c>
      <c r="J159" s="13" t="inlineStr">
        <is>
          <t>Project</t>
        </is>
      </c>
      <c r="K159" s="13" t="inlineStr">
        <is>
          <t>GST 10%</t>
        </is>
      </c>
      <c r="L159" s="15" t="n">
        <v>354</v>
      </c>
      <c r="M159" s="16">
        <f>IF(L159="","",IF(K159="GST 10%",ROUND(L159*0.1,2),0))</f>
        <v/>
      </c>
      <c r="N159" s="16">
        <f>IF(L159="","",L159+M159)</f>
        <v/>
      </c>
      <c r="O159" s="13" t="inlineStr">
        <is>
          <t>42300</t>
        </is>
      </c>
      <c r="P159" s="13" t="inlineStr">
        <is>
          <t>Y</t>
        </is>
      </c>
      <c r="Q159" s="13" t="inlineStr">
        <is>
          <t>N</t>
        </is>
      </c>
      <c r="R159" s="13" t="inlineStr">
        <is>
          <t>To Invoice</t>
        </is>
      </c>
      <c r="S159" s="13" t="n"/>
      <c r="T159" s="14">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row>
    <row r="160" ht="15" customHeight="1">
      <c r="A160" s="11" t="n">
        <v>46209</v>
      </c>
      <c r="B160" s="12">
        <f>IF(A160="","",EOMONTH(A160,0))</f>
        <v/>
      </c>
      <c r="C160" s="13" t="inlineStr">
        <is>
          <t>INV-10516</t>
        </is>
      </c>
      <c r="D160" s="13" t="inlineStr">
        <is>
          <t>HP Poly - BAE</t>
        </is>
      </c>
      <c r="E160" s="13" t="inlineStr">
        <is>
          <t>26051301</t>
        </is>
      </c>
      <c r="F160" s="14">
        <f>IF(E160="","",IF(COUNTIF(lst_Jobs,E160&amp;"")&gt;0,"OK","CHECK"))</f>
        <v/>
      </c>
      <c r="G160" s="13" t="inlineStr">
        <is>
          <t>Phone Mod</t>
        </is>
      </c>
      <c r="H160" s="13" t="inlineStr">
        <is>
          <t>Consulting</t>
        </is>
      </c>
      <c r="I160" s="13" t="inlineStr">
        <is>
          <t>INTEGRATION</t>
        </is>
      </c>
      <c r="J160" s="13" t="inlineStr">
        <is>
          <t>Project</t>
        </is>
      </c>
      <c r="K160" s="13" t="inlineStr">
        <is>
          <t>GST 10%</t>
        </is>
      </c>
      <c r="L160" s="15" t="n">
        <v>1161</v>
      </c>
      <c r="M160" s="16">
        <f>IF(L160="","",IF(K160="GST 10%",ROUND(L160*0.1,2),0))</f>
        <v/>
      </c>
      <c r="N160" s="16">
        <f>IF(L160="","",L160+M160)</f>
        <v/>
      </c>
      <c r="O160" s="13" t="inlineStr">
        <is>
          <t>42300</t>
        </is>
      </c>
      <c r="P160" s="13" t="inlineStr">
        <is>
          <t>Y</t>
        </is>
      </c>
      <c r="Q160" s="13" t="inlineStr">
        <is>
          <t>N</t>
        </is>
      </c>
      <c r="R160" s="13" t="inlineStr">
        <is>
          <t>Paid</t>
        </is>
      </c>
      <c r="S160" s="13" t="n"/>
      <c r="T160" s="14">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row>
    <row r="161" ht="15" customHeight="1">
      <c r="A161" s="11" t="n">
        <v>46233</v>
      </c>
      <c r="B161" s="12">
        <f>IF(A161="","",EOMONTH(A161,0))</f>
        <v/>
      </c>
      <c r="C161" s="13" t="inlineStr">
        <is>
          <t>INV-10546</t>
        </is>
      </c>
      <c r="D161" s="13" t="inlineStr">
        <is>
          <t>DTTL</t>
        </is>
      </c>
      <c r="E161" s="13" t="inlineStr">
        <is>
          <t>26061501</t>
        </is>
      </c>
      <c r="F161" s="14">
        <f>IF(E161="","",IF(COUNTIF(lst_Jobs,E161&amp;"")&gt;0,"OK","CHECK"))</f>
        <v/>
      </c>
      <c r="G161" s="13" t="inlineStr">
        <is>
          <t>MEL Lv29 Display Supply</t>
        </is>
      </c>
      <c r="H161" s="13" t="inlineStr">
        <is>
          <t>Consulting</t>
        </is>
      </c>
      <c r="I161" s="13" t="inlineStr">
        <is>
          <t>INTEGRATION</t>
        </is>
      </c>
      <c r="J161" s="13" t="inlineStr">
        <is>
          <t>Project</t>
        </is>
      </c>
      <c r="K161" s="13" t="inlineStr">
        <is>
          <t>GST 10%</t>
        </is>
      </c>
      <c r="L161" s="15" t="n">
        <v>3890</v>
      </c>
      <c r="M161" s="16">
        <f>IF(L161="","",IF(K161="GST 10%",ROUND(L161*0.1,2),0))</f>
        <v/>
      </c>
      <c r="N161" s="16">
        <f>IF(L161="","",L161+M161)</f>
        <v/>
      </c>
      <c r="O161" s="13" t="inlineStr">
        <is>
          <t>42300</t>
        </is>
      </c>
      <c r="P161" s="13" t="inlineStr">
        <is>
          <t>Y</t>
        </is>
      </c>
      <c r="Q161" s="13" t="inlineStr">
        <is>
          <t>N</t>
        </is>
      </c>
      <c r="R161" s="13" t="inlineStr">
        <is>
          <t>Paid</t>
        </is>
      </c>
      <c r="S161" s="13" t="n"/>
      <c r="T161" s="14">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row>
    <row r="162" ht="15" customHeight="1">
      <c r="A162" s="11" t="n">
        <v>46233</v>
      </c>
      <c r="B162" s="12">
        <f>IF(A162="","",EOMONTH(A162,0))</f>
        <v/>
      </c>
      <c r="C162" s="13" t="inlineStr">
        <is>
          <t>INV-10546</t>
        </is>
      </c>
      <c r="D162" s="13" t="inlineStr">
        <is>
          <t>DTTL</t>
        </is>
      </c>
      <c r="E162" s="13" t="inlineStr">
        <is>
          <t>2605605</t>
        </is>
      </c>
      <c r="F162" s="14">
        <f>IF(E162="","",IF(COUNTIF(lst_Jobs,E162&amp;"")&gt;0,"OK","CHECK"))</f>
        <v/>
      </c>
      <c r="G162" s="13" t="inlineStr">
        <is>
          <t>HBA AV Fitout</t>
        </is>
      </c>
      <c r="H162" s="13" t="inlineStr">
        <is>
          <t>Consulting</t>
        </is>
      </c>
      <c r="I162" s="13" t="inlineStr">
        <is>
          <t>INTEGRATION</t>
        </is>
      </c>
      <c r="J162" s="13" t="inlineStr">
        <is>
          <t>Project</t>
        </is>
      </c>
      <c r="K162" s="13" t="inlineStr">
        <is>
          <t>GST 10%</t>
        </is>
      </c>
      <c r="L162" s="15" t="n">
        <v>60348</v>
      </c>
      <c r="M162" s="16">
        <f>IF(L162="","",IF(K162="GST 10%",ROUND(L162*0.1,2),0))</f>
        <v/>
      </c>
      <c r="N162" s="16">
        <f>IF(L162="","",L162+M162)</f>
        <v/>
      </c>
      <c r="O162" s="13" t="inlineStr">
        <is>
          <t>42300</t>
        </is>
      </c>
      <c r="P162" s="13" t="inlineStr">
        <is>
          <t>Y</t>
        </is>
      </c>
      <c r="Q162" s="13" t="inlineStr">
        <is>
          <t>N</t>
        </is>
      </c>
      <c r="R162" s="13" t="inlineStr">
        <is>
          <t>To Invoice</t>
        </is>
      </c>
      <c r="S162" s="13" t="n"/>
      <c r="T162" s="14">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row>
    <row r="163" ht="15" customHeight="1">
      <c r="A163" s="11" t="n">
        <v>46233</v>
      </c>
      <c r="B163" s="12">
        <f>IF(A163="","",EOMONTH(A163,0))</f>
        <v/>
      </c>
      <c r="C163" s="13" t="inlineStr">
        <is>
          <t>INV-10546</t>
        </is>
      </c>
      <c r="D163" s="13" t="inlineStr">
        <is>
          <t>DTTL</t>
        </is>
      </c>
      <c r="E163" s="13" t="inlineStr">
        <is>
          <t>26052003</t>
        </is>
      </c>
      <c r="F163" s="14">
        <f>IF(E163="","",IF(COUNTIF(lst_Jobs,E163&amp;"")&gt;0,"OK","CHECK"))</f>
        <v/>
      </c>
      <c r="G163" s="13" t="inlineStr">
        <is>
          <t>SYD Mobile Display Supply</t>
        </is>
      </c>
      <c r="H163" s="13" t="inlineStr">
        <is>
          <t>Consulting</t>
        </is>
      </c>
      <c r="I163" s="13" t="inlineStr">
        <is>
          <t>INTEGRATION</t>
        </is>
      </c>
      <c r="J163" s="13" t="inlineStr">
        <is>
          <t>Project</t>
        </is>
      </c>
      <c r="K163" s="13" t="inlineStr">
        <is>
          <t>GST 10%</t>
        </is>
      </c>
      <c r="L163" s="15" t="n">
        <v>7705</v>
      </c>
      <c r="M163" s="16">
        <f>IF(L163="","",IF(K163="GST 10%",ROUND(L163*0.1,2),0))</f>
        <v/>
      </c>
      <c r="N163" s="16">
        <f>IF(L163="","",L163+M163)</f>
        <v/>
      </c>
      <c r="O163" s="13" t="inlineStr">
        <is>
          <t>42300</t>
        </is>
      </c>
      <c r="P163" s="13" t="inlineStr">
        <is>
          <t>Y</t>
        </is>
      </c>
      <c r="Q163" s="13" t="inlineStr">
        <is>
          <t>N</t>
        </is>
      </c>
      <c r="R163" s="13" t="inlineStr">
        <is>
          <t>Paid</t>
        </is>
      </c>
      <c r="S163" s="13" t="inlineStr">
        <is>
          <t>Variation for slot in PC's</t>
        </is>
      </c>
      <c r="T163" s="14">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row>
    <row r="164" ht="15" customHeight="1">
      <c r="A164" s="11" t="n">
        <v>46234</v>
      </c>
      <c r="B164" s="12">
        <f>IF(A164="","",EOMONTH(A164,0))</f>
        <v/>
      </c>
      <c r="C164" s="13" t="inlineStr">
        <is>
          <t>INV-10549</t>
        </is>
      </c>
      <c r="D164" s="13" t="inlineStr">
        <is>
          <t>Aware Super</t>
        </is>
      </c>
      <c r="E164" s="13" t="inlineStr">
        <is>
          <t>26072101</t>
        </is>
      </c>
      <c r="F164" s="14">
        <f>IF(E164="","",IF(COUNTIF(lst_Jobs,E164&amp;"")&gt;0,"OK","CHECK"))</f>
        <v/>
      </c>
      <c r="G164" s="13" t="inlineStr">
        <is>
          <t>MEL 17.02 Amp Replacement</t>
        </is>
      </c>
      <c r="H164" s="13" t="inlineStr">
        <is>
          <t>Consulting</t>
        </is>
      </c>
      <c r="I164" s="13" t="inlineStr">
        <is>
          <t>INTEGRATION</t>
        </is>
      </c>
      <c r="J164" s="13" t="inlineStr">
        <is>
          <t>Project</t>
        </is>
      </c>
      <c r="K164" s="13" t="inlineStr">
        <is>
          <t>GST 10%</t>
        </is>
      </c>
      <c r="L164" s="15" t="n">
        <v>6137</v>
      </c>
      <c r="M164" s="16">
        <f>IF(L164="","",IF(K164="GST 10%",ROUND(L164*0.1,2),0))</f>
        <v/>
      </c>
      <c r="N164" s="16">
        <f>IF(L164="","",L164+M164)</f>
        <v/>
      </c>
      <c r="O164" s="13" t="inlineStr">
        <is>
          <t>42300</t>
        </is>
      </c>
      <c r="P164" s="13" t="inlineStr">
        <is>
          <t>Y</t>
        </is>
      </c>
      <c r="Q164" s="13" t="inlineStr">
        <is>
          <t>N</t>
        </is>
      </c>
      <c r="R164" s="13" t="inlineStr">
        <is>
          <t>Paid</t>
        </is>
      </c>
      <c r="S164" s="13" t="n"/>
      <c r="T164" s="14">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row>
    <row r="165" ht="15" customHeight="1">
      <c r="A165" s="11" t="n">
        <v>46234</v>
      </c>
      <c r="B165" s="12">
        <f>IF(A165="","",EOMONTH(A165,0))</f>
        <v/>
      </c>
      <c r="C165" s="13" t="inlineStr">
        <is>
          <t>INV-10548</t>
        </is>
      </c>
      <c r="D165" s="13" t="inlineStr">
        <is>
          <t>APA</t>
        </is>
      </c>
      <c r="E165" s="13" t="inlineStr">
        <is>
          <t>2606101</t>
        </is>
      </c>
      <c r="F165" s="14">
        <f>IF(E165="","",IF(COUNTIF(lst_Jobs,E165&amp;"")&gt;0,"OK","CHECK"))</f>
        <v/>
      </c>
      <c r="G165" s="13" t="inlineStr">
        <is>
          <t>Young Eptura Proxyclick Licence Renewal</t>
        </is>
      </c>
      <c r="H165" s="13" t="inlineStr">
        <is>
          <t>Consulting</t>
        </is>
      </c>
      <c r="I165" s="13" t="inlineStr">
        <is>
          <t>INTEGRATION</t>
        </is>
      </c>
      <c r="J165" s="13" t="inlineStr">
        <is>
          <t>Project</t>
        </is>
      </c>
      <c r="K165" s="13" t="inlineStr">
        <is>
          <t>GST 10%</t>
        </is>
      </c>
      <c r="L165" s="15" t="n">
        <v>4205</v>
      </c>
      <c r="M165" s="16">
        <f>IF(L165="","",IF(K165="GST 10%",ROUND(L165*0.1,2),0))</f>
        <v/>
      </c>
      <c r="N165" s="16">
        <f>IF(L165="","",L165+M165)</f>
        <v/>
      </c>
      <c r="O165" s="13" t="inlineStr">
        <is>
          <t>42300</t>
        </is>
      </c>
      <c r="P165" s="13" t="inlineStr">
        <is>
          <t>Y</t>
        </is>
      </c>
      <c r="Q165" s="13" t="inlineStr">
        <is>
          <t>N</t>
        </is>
      </c>
      <c r="R165" s="13" t="inlineStr">
        <is>
          <t>Paid</t>
        </is>
      </c>
      <c r="S165" s="13" t="inlineStr">
        <is>
          <t>01/03/2027 to 29/02/2028</t>
        </is>
      </c>
      <c r="T165" s="14">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row>
    <row r="166" ht="15" customHeight="1">
      <c r="A166" s="11" t="n">
        <v>46234</v>
      </c>
      <c r="B166" s="12">
        <f>IF(A166="","",EOMONTH(A166,0))</f>
        <v/>
      </c>
      <c r="C166" s="13" t="inlineStr">
        <is>
          <t>INV-10547</t>
        </is>
      </c>
      <c r="D166" s="13" t="inlineStr">
        <is>
          <t>YSG Studio</t>
        </is>
      </c>
      <c r="E166" s="13" t="inlineStr">
        <is>
          <t>26071304</t>
        </is>
      </c>
      <c r="F166" s="14">
        <f>IF(E166="","",IF(COUNTIF(lst_Jobs,E166&amp;"")&gt;0,"OK","CHECK"))</f>
        <v/>
      </c>
      <c r="G166" s="13" t="inlineStr">
        <is>
          <t>Orange Room Upgrade INT</t>
        </is>
      </c>
      <c r="H166" s="13" t="inlineStr">
        <is>
          <t>Consulting</t>
        </is>
      </c>
      <c r="I166" s="13" t="inlineStr">
        <is>
          <t>INTEGRATION</t>
        </is>
      </c>
      <c r="J166" s="13" t="inlineStr">
        <is>
          <t>Project</t>
        </is>
      </c>
      <c r="K166" s="13" t="inlineStr">
        <is>
          <t>GST 10%</t>
        </is>
      </c>
      <c r="L166" s="15" t="n">
        <v>4702</v>
      </c>
      <c r="M166" s="16">
        <f>IF(L166="","",IF(K166="GST 10%",ROUND(L166*0.1,2),0))</f>
        <v/>
      </c>
      <c r="N166" s="16">
        <f>IF(L166="","",L166+M166)</f>
        <v/>
      </c>
      <c r="O166" s="13" t="inlineStr">
        <is>
          <t>42300</t>
        </is>
      </c>
      <c r="P166" s="13" t="inlineStr">
        <is>
          <t>Y</t>
        </is>
      </c>
      <c r="Q166" s="13" t="inlineStr">
        <is>
          <t>N</t>
        </is>
      </c>
      <c r="R166" s="13" t="inlineStr">
        <is>
          <t>Paid</t>
        </is>
      </c>
      <c r="S166" s="13" t="inlineStr">
        <is>
          <t>Invoice 1/2 Equipment only</t>
        </is>
      </c>
      <c r="T166" s="14">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row>
    <row r="167" ht="15" customHeight="1">
      <c r="A167" s="11" t="n">
        <v>46274</v>
      </c>
      <c r="B167" s="12">
        <f>IF(A167="","",EOMONTH(A167,0))</f>
        <v/>
      </c>
      <c r="C167" s="13" t="inlineStr">
        <is>
          <t>To be invoiced 9th Sept 26</t>
        </is>
      </c>
      <c r="D167" s="13" t="inlineStr">
        <is>
          <t>Aware Super</t>
        </is>
      </c>
      <c r="E167" s="13" t="inlineStr">
        <is>
          <t>2604704</t>
        </is>
      </c>
      <c r="F167" s="14">
        <f>IF(E167="","",IF(COUNTIF(lst_Jobs,E167&amp;"")&gt;0,"OK","CHECK"))</f>
        <v/>
      </c>
      <c r="G167" s="13" t="inlineStr">
        <is>
          <t>SYD Seminar Room Audio Upgrade</t>
        </is>
      </c>
      <c r="H167" s="13" t="inlineStr">
        <is>
          <t>Consulting</t>
        </is>
      </c>
      <c r="I167" s="13" t="inlineStr">
        <is>
          <t>INTEGRATION</t>
        </is>
      </c>
      <c r="J167" s="13" t="inlineStr">
        <is>
          <t>Project</t>
        </is>
      </c>
      <c r="K167" s="13" t="inlineStr">
        <is>
          <t>GST 10%</t>
        </is>
      </c>
      <c r="L167" s="15" t="n">
        <v>202647</v>
      </c>
      <c r="M167" s="16">
        <f>IF(L167="","",IF(K167="GST 10%",ROUND(L167*0.1,2),0))</f>
        <v/>
      </c>
      <c r="N167" s="16">
        <f>IF(L167="","",L167+M167)</f>
        <v/>
      </c>
      <c r="O167" s="13" t="inlineStr">
        <is>
          <t>42300</t>
        </is>
      </c>
      <c r="P167" s="13" t="inlineStr">
        <is>
          <t>Y</t>
        </is>
      </c>
      <c r="Q167" s="13" t="inlineStr">
        <is>
          <t>N</t>
        </is>
      </c>
      <c r="R167" s="13" t="inlineStr">
        <is>
          <t>Invoiced</t>
        </is>
      </c>
      <c r="S167" s="13" t="n"/>
      <c r="T167" s="14">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row>
    <row r="168" ht="15" customHeight="1">
      <c r="A168" s="11" t="n">
        <v>46254</v>
      </c>
      <c r="B168" s="12">
        <f>IF(A168="","",EOMONTH(A168,0))</f>
        <v/>
      </c>
      <c r="C168" s="13" t="inlineStr">
        <is>
          <t>INV-10575</t>
        </is>
      </c>
      <c r="D168" s="13" t="inlineStr">
        <is>
          <t>HP Poly - Data#3</t>
        </is>
      </c>
      <c r="E168" s="13" t="inlineStr">
        <is>
          <t>26052102</t>
        </is>
      </c>
      <c r="F168" s="14">
        <f>IF(E168="","",IF(COUNTIF(lst_Jobs,E168&amp;"")&gt;0,"OK","CHECK"))</f>
        <v/>
      </c>
      <c r="G168" s="13" t="inlineStr">
        <is>
          <t>AUSTRAC Phone Mods</t>
        </is>
      </c>
      <c r="H168" s="13" t="inlineStr">
        <is>
          <t>Consulting</t>
        </is>
      </c>
      <c r="I168" s="13" t="inlineStr">
        <is>
          <t>INTEGRATION</t>
        </is>
      </c>
      <c r="J168" s="13" t="inlineStr">
        <is>
          <t>Project</t>
        </is>
      </c>
      <c r="K168" s="13" t="inlineStr">
        <is>
          <t>GST 10%</t>
        </is>
      </c>
      <c r="L168" s="15" t="n">
        <v>45909</v>
      </c>
      <c r="M168" s="16">
        <f>IF(L168="","",IF(K168="GST 10%",ROUND(L168*0.1,2),0))</f>
        <v/>
      </c>
      <c r="N168" s="16">
        <f>IF(L168="","",L168+M168)</f>
        <v/>
      </c>
      <c r="O168" s="13" t="inlineStr">
        <is>
          <t>42300</t>
        </is>
      </c>
      <c r="P168" s="13" t="inlineStr">
        <is>
          <t>Y</t>
        </is>
      </c>
      <c r="Q168" s="13" t="inlineStr">
        <is>
          <t>N</t>
        </is>
      </c>
      <c r="R168" s="13" t="inlineStr">
        <is>
          <t>Paid</t>
        </is>
      </c>
      <c r="S168" s="13" t="n"/>
      <c r="T168" s="14">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row>
    <row r="169" ht="15" customHeight="1">
      <c r="A169" s="11" t="n">
        <v>46237</v>
      </c>
      <c r="B169" s="12">
        <f>IF(A169="","",EOMONTH(A169,0))</f>
        <v/>
      </c>
      <c r="C169" s="13" t="inlineStr">
        <is>
          <t>INV-10553</t>
        </is>
      </c>
      <c r="D169" s="13" t="inlineStr">
        <is>
          <t>Aware Super</t>
        </is>
      </c>
      <c r="E169" s="13" t="inlineStr">
        <is>
          <t>26052701</t>
        </is>
      </c>
      <c r="F169" s="14">
        <f>IF(E169="","",IF(COUNTIF(lst_Jobs,E169&amp;"")&gt;0,"OK","CHECK"))</f>
        <v/>
      </c>
      <c r="G169" s="13" t="inlineStr">
        <is>
          <t>SYD 28.06 Equipment</t>
        </is>
      </c>
      <c r="H169" s="13" t="inlineStr">
        <is>
          <t>Consulting</t>
        </is>
      </c>
      <c r="I169" s="13" t="inlineStr">
        <is>
          <t>INTEGRATION</t>
        </is>
      </c>
      <c r="J169" s="13" t="inlineStr">
        <is>
          <t>Project</t>
        </is>
      </c>
      <c r="K169" s="13" t="inlineStr">
        <is>
          <t>GST 10%</t>
        </is>
      </c>
      <c r="L169" s="15" t="n">
        <v>12271</v>
      </c>
      <c r="M169" s="16">
        <f>IF(L169="","",IF(K169="GST 10%",ROUND(L169*0.1,2),0))</f>
        <v/>
      </c>
      <c r="N169" s="16">
        <f>IF(L169="","",L169+M169)</f>
        <v/>
      </c>
      <c r="O169" s="13" t="inlineStr">
        <is>
          <t>42300</t>
        </is>
      </c>
      <c r="P169" s="13" t="inlineStr">
        <is>
          <t>Y</t>
        </is>
      </c>
      <c r="Q169" s="13" t="inlineStr">
        <is>
          <t>N</t>
        </is>
      </c>
      <c r="R169" s="13" t="inlineStr">
        <is>
          <t>Invoiced</t>
        </is>
      </c>
      <c r="S169" s="13" t="n"/>
      <c r="T169" s="14">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row>
    <row r="170" ht="15" customHeight="1">
      <c r="A170" s="11" t="n">
        <v>46261</v>
      </c>
      <c r="B170" s="12">
        <f>IF(A170="","",EOMONTH(A170,0))</f>
        <v/>
      </c>
      <c r="C170" s="13" t="inlineStr">
        <is>
          <t>INV-10601</t>
        </is>
      </c>
      <c r="D170" s="13" t="inlineStr">
        <is>
          <t>YSG Studio</t>
        </is>
      </c>
      <c r="E170" s="13" t="inlineStr">
        <is>
          <t>26071304</t>
        </is>
      </c>
      <c r="F170" s="14">
        <f>IF(E170="","",IF(COUNTIF(lst_Jobs,E170&amp;"")&gt;0,"OK","CHECK"))</f>
        <v/>
      </c>
      <c r="G170" s="13" t="inlineStr">
        <is>
          <t>Orange Room Upgrade INT</t>
        </is>
      </c>
      <c r="H170" s="13" t="inlineStr">
        <is>
          <t>Consulting</t>
        </is>
      </c>
      <c r="I170" s="13" t="inlineStr">
        <is>
          <t>INTEGRATION</t>
        </is>
      </c>
      <c r="J170" s="13" t="inlineStr">
        <is>
          <t>Project</t>
        </is>
      </c>
      <c r="K170" s="13" t="inlineStr">
        <is>
          <t>GST 10%</t>
        </is>
      </c>
      <c r="L170" s="15" t="n">
        <v>4462</v>
      </c>
      <c r="M170" s="16">
        <f>IF(L170="","",IF(K170="GST 10%",ROUND(L170*0.1,2),0))</f>
        <v/>
      </c>
      <c r="N170" s="16">
        <f>IF(L170="","",L170+M170)</f>
        <v/>
      </c>
      <c r="O170" s="13" t="inlineStr">
        <is>
          <t>42300</t>
        </is>
      </c>
      <c r="P170" s="13" t="inlineStr">
        <is>
          <t>Y</t>
        </is>
      </c>
      <c r="Q170" s="13" t="inlineStr">
        <is>
          <t>N</t>
        </is>
      </c>
      <c r="R170" s="13" t="inlineStr">
        <is>
          <t>Paid</t>
        </is>
      </c>
      <c r="S170" s="13" t="inlineStr">
        <is>
          <t>2/2 Labour only</t>
        </is>
      </c>
      <c r="T170" s="14">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row>
    <row r="171" ht="15" customHeight="1">
      <c r="A171" s="11" t="n">
        <v>46253</v>
      </c>
      <c r="B171" s="12">
        <f>IF(A171="","",EOMONTH(A171,0))</f>
        <v/>
      </c>
      <c r="C171" s="13" t="inlineStr">
        <is>
          <t>INV-10564</t>
        </is>
      </c>
      <c r="D171" s="13" t="inlineStr">
        <is>
          <t>Aware Super</t>
        </is>
      </c>
      <c r="E171" s="13" t="inlineStr">
        <is>
          <t>26062902</t>
        </is>
      </c>
      <c r="F171" s="14">
        <f>IF(E171="","",IF(COUNTIF(lst_Jobs,E171&amp;"")&gt;0,"OK","CHECK"))</f>
        <v/>
      </c>
      <c r="G171" s="13" t="inlineStr">
        <is>
          <t>SYD Occupancy Sensors</t>
        </is>
      </c>
      <c r="H171" s="13" t="inlineStr">
        <is>
          <t>Consulting</t>
        </is>
      </c>
      <c r="I171" s="13" t="inlineStr">
        <is>
          <t>INTEGRATION</t>
        </is>
      </c>
      <c r="J171" s="13" t="inlineStr">
        <is>
          <t>Project</t>
        </is>
      </c>
      <c r="K171" s="13" t="inlineStr">
        <is>
          <t>GST 10%</t>
        </is>
      </c>
      <c r="L171" s="15" t="n">
        <v>3489</v>
      </c>
      <c r="M171" s="16">
        <f>IF(L171="","",IF(K171="GST 10%",ROUND(L171*0.1,2),0))</f>
        <v/>
      </c>
      <c r="N171" s="16">
        <f>IF(L171="","",L171+M171)</f>
        <v/>
      </c>
      <c r="O171" s="13" t="inlineStr">
        <is>
          <t>42300</t>
        </is>
      </c>
      <c r="P171" s="13" t="inlineStr">
        <is>
          <t>Y</t>
        </is>
      </c>
      <c r="Q171" s="13" t="inlineStr">
        <is>
          <t>N</t>
        </is>
      </c>
      <c r="R171" s="13" t="inlineStr">
        <is>
          <t>Paid</t>
        </is>
      </c>
      <c r="S171" s="13" t="inlineStr">
        <is>
          <t>Invoice 1/2 Equipment only</t>
        </is>
      </c>
      <c r="T171" s="14">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row>
    <row r="172" ht="15" customHeight="1">
      <c r="A172" s="11" t="n"/>
      <c r="B172" s="12">
        <f>IF(A172="","",EOMONTH(A172,0))</f>
        <v/>
      </c>
      <c r="C172" s="13" t="n"/>
      <c r="D172" s="13" t="inlineStr">
        <is>
          <t>Aware Super</t>
        </is>
      </c>
      <c r="E172" s="13" t="inlineStr">
        <is>
          <t>26062902</t>
        </is>
      </c>
      <c r="F172" s="14">
        <f>IF(E172="","",IF(COUNTIF(lst_Jobs,E172&amp;"")&gt;0,"OK","CHECK"))</f>
        <v/>
      </c>
      <c r="G172" s="13" t="inlineStr">
        <is>
          <t>SYD Occupancy Sensors</t>
        </is>
      </c>
      <c r="H172" s="13" t="inlineStr">
        <is>
          <t>Consulting</t>
        </is>
      </c>
      <c r="I172" s="13" t="inlineStr">
        <is>
          <t>INTEGRATION</t>
        </is>
      </c>
      <c r="J172" s="13" t="inlineStr">
        <is>
          <t>Project</t>
        </is>
      </c>
      <c r="K172" s="13" t="inlineStr">
        <is>
          <t>GST 10%</t>
        </is>
      </c>
      <c r="L172" s="15" t="n">
        <v>2707</v>
      </c>
      <c r="M172" s="16">
        <f>IF(L172="","",IF(K172="GST 10%",ROUND(L172*0.1,2),0))</f>
        <v/>
      </c>
      <c r="N172" s="16">
        <f>IF(L172="","",L172+M172)</f>
        <v/>
      </c>
      <c r="O172" s="13" t="inlineStr">
        <is>
          <t>42300</t>
        </is>
      </c>
      <c r="P172" s="13" t="inlineStr">
        <is>
          <t>N</t>
        </is>
      </c>
      <c r="Q172" s="13" t="inlineStr">
        <is>
          <t>N</t>
        </is>
      </c>
      <c r="R172" s="13" t="inlineStr">
        <is>
          <t>To Invoice</t>
        </is>
      </c>
      <c r="S172" s="13" t="inlineStr">
        <is>
          <t>2/2 Labour only; Not invoiced yet</t>
        </is>
      </c>
      <c r="T172" s="14">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row>
    <row r="173" ht="15" customHeight="1">
      <c r="A173" s="11" t="n"/>
      <c r="B173" s="12">
        <f>IF(A173="","",EOMONTH(A173,0))</f>
        <v/>
      </c>
      <c r="C173" s="13" t="n"/>
      <c r="D173" s="13" t="inlineStr">
        <is>
          <t>Aware Super</t>
        </is>
      </c>
      <c r="E173" s="13" t="inlineStr">
        <is>
          <t>26062901</t>
        </is>
      </c>
      <c r="F173" s="14">
        <f>IF(E173="","",IF(COUNTIF(lst_Jobs,E173&amp;"")&gt;0,"OK","CHECK"))</f>
        <v/>
      </c>
      <c r="G173" s="13" t="inlineStr">
        <is>
          <t>Aware | SYD 28.06 Services</t>
        </is>
      </c>
      <c r="H173" s="13" t="inlineStr">
        <is>
          <t>Consulting</t>
        </is>
      </c>
      <c r="I173" s="13" t="inlineStr">
        <is>
          <t>INTEGRATION</t>
        </is>
      </c>
      <c r="J173" s="13" t="inlineStr">
        <is>
          <t>Project</t>
        </is>
      </c>
      <c r="K173" s="13" t="inlineStr">
        <is>
          <t>GST 10%</t>
        </is>
      </c>
      <c r="L173" s="15" t="n">
        <v>4631</v>
      </c>
      <c r="M173" s="16">
        <f>IF(L173="","",IF(K173="GST 10%",ROUND(L173*0.1,2),0))</f>
        <v/>
      </c>
      <c r="N173" s="16">
        <f>IF(L173="","",L173+M173)</f>
        <v/>
      </c>
      <c r="O173" s="13" t="inlineStr">
        <is>
          <t>42300</t>
        </is>
      </c>
      <c r="P173" s="13" t="inlineStr">
        <is>
          <t>N</t>
        </is>
      </c>
      <c r="Q173" s="13" t="inlineStr">
        <is>
          <t>N</t>
        </is>
      </c>
      <c r="R173" s="13" t="inlineStr">
        <is>
          <t>To Invoice</t>
        </is>
      </c>
      <c r="S173" s="13" t="n"/>
      <c r="T173" s="14">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row>
    <row r="174" ht="15" customHeight="1">
      <c r="A174" s="11" t="n">
        <v>46254</v>
      </c>
      <c r="B174" s="12">
        <f>IF(A174="","",EOMONTH(A174,0))</f>
        <v/>
      </c>
      <c r="C174" s="13" t="inlineStr">
        <is>
          <t>INV-10574</t>
        </is>
      </c>
      <c r="D174" s="13" t="inlineStr">
        <is>
          <t>AusPayNet</t>
        </is>
      </c>
      <c r="E174" s="13" t="inlineStr">
        <is>
          <t>26081901</t>
        </is>
      </c>
      <c r="F174" s="14">
        <f>IF(E174="","",IF(COUNTIF(lst_Jobs,E174&amp;"")&gt;0,"OK","CHECK"))</f>
        <v/>
      </c>
      <c r="G174" s="13" t="inlineStr">
        <is>
          <t>Logi Subscription</t>
        </is>
      </c>
      <c r="H174" s="13" t="inlineStr">
        <is>
          <t>Consulting</t>
        </is>
      </c>
      <c r="I174" s="13" t="inlineStr">
        <is>
          <t>INTEGRATION</t>
        </is>
      </c>
      <c r="J174" s="13" t="inlineStr">
        <is>
          <t>Project</t>
        </is>
      </c>
      <c r="K174" s="13" t="inlineStr">
        <is>
          <t>GST 10%</t>
        </is>
      </c>
      <c r="L174" s="15" t="n">
        <v>993</v>
      </c>
      <c r="M174" s="16">
        <f>IF(L174="","",IF(K174="GST 10%",ROUND(L174*0.1,2),0))</f>
        <v/>
      </c>
      <c r="N174" s="16">
        <f>IF(L174="","",L174+M174)</f>
        <v/>
      </c>
      <c r="O174" s="13" t="inlineStr">
        <is>
          <t>42300</t>
        </is>
      </c>
      <c r="P174" s="13" t="inlineStr">
        <is>
          <t>Y</t>
        </is>
      </c>
      <c r="Q174" s="13" t="inlineStr">
        <is>
          <t>N</t>
        </is>
      </c>
      <c r="R174" s="13" t="inlineStr">
        <is>
          <t>Paid</t>
        </is>
      </c>
      <c r="S174" s="13" t="n"/>
      <c r="T174" s="14">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row>
    <row r="175" ht="15" customHeight="1">
      <c r="A175" s="11" t="n"/>
      <c r="B175" s="12">
        <f>IF(A175="","",EOMONTH(A175,0))</f>
        <v/>
      </c>
      <c r="C175" s="13" t="n"/>
      <c r="D175" s="13" t="inlineStr">
        <is>
          <t>Aware Super</t>
        </is>
      </c>
      <c r="E175" s="13" t="inlineStr">
        <is>
          <t>26071601</t>
        </is>
      </c>
      <c r="F175" s="14">
        <f>IF(E175="","",IF(COUNTIF(lst_Jobs,E175&amp;"")&gt;0,"OK","CHECK"))</f>
        <v/>
      </c>
      <c r="G175" s="13" t="inlineStr">
        <is>
          <t>PER USB-C Cable Replacement</t>
        </is>
      </c>
      <c r="H175" s="13" t="inlineStr">
        <is>
          <t>Consulting</t>
        </is>
      </c>
      <c r="I175" s="13" t="inlineStr">
        <is>
          <t>INTEGRATION</t>
        </is>
      </c>
      <c r="J175" s="13" t="inlineStr">
        <is>
          <t>Project</t>
        </is>
      </c>
      <c r="K175" s="13" t="inlineStr">
        <is>
          <t>GST 10%</t>
        </is>
      </c>
      <c r="L175" s="15" t="n">
        <v>2957</v>
      </c>
      <c r="M175" s="16">
        <f>IF(L175="","",IF(K175="GST 10%",ROUND(L175*0.1,2),0))</f>
        <v/>
      </c>
      <c r="N175" s="16">
        <f>IF(L175="","",L175+M175)</f>
        <v/>
      </c>
      <c r="O175" s="13" t="inlineStr">
        <is>
          <t>42300</t>
        </is>
      </c>
      <c r="P175" s="13" t="inlineStr">
        <is>
          <t>N</t>
        </is>
      </c>
      <c r="Q175" s="13" t="inlineStr">
        <is>
          <t>N</t>
        </is>
      </c>
      <c r="R175" s="13" t="inlineStr">
        <is>
          <t>To Invoice</t>
        </is>
      </c>
      <c r="S175" s="13" t="n"/>
      <c r="T175" s="14">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row>
    <row r="176" ht="15" customHeight="1">
      <c r="A176" s="11" t="n">
        <v>46267</v>
      </c>
      <c r="B176" s="12">
        <f>IF(A176="","",EOMONTH(A176,0))</f>
        <v/>
      </c>
      <c r="C176" s="13" t="inlineStr">
        <is>
          <t>INV-10619</t>
        </is>
      </c>
      <c r="D176" s="13" t="inlineStr">
        <is>
          <t>Aware Super</t>
        </is>
      </c>
      <c r="E176" s="13" t="inlineStr">
        <is>
          <t>26062503</t>
        </is>
      </c>
      <c r="F176" s="14">
        <f>IF(E176="","",IF(COUNTIF(lst_Jobs,E176&amp;"")&gt;0,"OK","CHECK"))</f>
        <v/>
      </c>
      <c r="G176" s="13" t="inlineStr">
        <is>
          <t>24.16 UC Engine Reimaging</t>
        </is>
      </c>
      <c r="H176" s="13" t="inlineStr">
        <is>
          <t>Consulting</t>
        </is>
      </c>
      <c r="I176" s="13" t="inlineStr">
        <is>
          <t>INTEGRATION</t>
        </is>
      </c>
      <c r="J176" s="13" t="inlineStr">
        <is>
          <t>Project</t>
        </is>
      </c>
      <c r="K176" s="13" t="inlineStr">
        <is>
          <t>GST 10%</t>
        </is>
      </c>
      <c r="L176" s="15" t="n">
        <v>671</v>
      </c>
      <c r="M176" s="16">
        <f>IF(L176="","",IF(K176="GST 10%",ROUND(L176*0.1,2),0))</f>
        <v/>
      </c>
      <c r="N176" s="16">
        <f>IF(L176="","",L176+M176)</f>
        <v/>
      </c>
      <c r="O176" s="13" t="inlineStr">
        <is>
          <t>42300</t>
        </is>
      </c>
      <c r="P176" s="13" t="inlineStr">
        <is>
          <t>Y</t>
        </is>
      </c>
      <c r="Q176" s="13" t="inlineStr">
        <is>
          <t>N</t>
        </is>
      </c>
      <c r="R176" s="13" t="inlineStr">
        <is>
          <t>To Invoice</t>
        </is>
      </c>
      <c r="S176" s="13" t="n"/>
      <c r="T176" s="14">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row>
    <row r="177" ht="15" customHeight="1">
      <c r="A177" s="11" t="n">
        <v>46275</v>
      </c>
      <c r="B177" s="12">
        <f>IF(A177="","",EOMONTH(A177,0))</f>
        <v/>
      </c>
      <c r="C177" s="13" t="inlineStr">
        <is>
          <t>INV-10622</t>
        </is>
      </c>
      <c r="D177" s="13" t="inlineStr">
        <is>
          <t>APA</t>
        </is>
      </c>
      <c r="E177" s="13" t="inlineStr">
        <is>
          <t>25070702</t>
        </is>
      </c>
      <c r="F177" s="14">
        <f>IF(E177="","",IF(COUNTIF(lst_Jobs,E177&amp;"")&gt;0,"OK","CHECK"))</f>
        <v/>
      </c>
      <c r="G177" s="13" t="inlineStr">
        <is>
          <t>APA BNE &amp; NT Year 2 license</t>
        </is>
      </c>
      <c r="H177" s="13" t="inlineStr">
        <is>
          <t>Consulting</t>
        </is>
      </c>
      <c r="I177" s="13" t="inlineStr">
        <is>
          <t>INTEGRATION</t>
        </is>
      </c>
      <c r="J177" s="13" t="inlineStr">
        <is>
          <t>Project</t>
        </is>
      </c>
      <c r="K177" s="13" t="inlineStr">
        <is>
          <t>GST 10%</t>
        </is>
      </c>
      <c r="L177" s="15" t="n">
        <v>3956.77</v>
      </c>
      <c r="M177" s="16">
        <f>IF(L177="","",IF(K177="GST 10%",ROUND(L177*0.1,2),0))</f>
        <v/>
      </c>
      <c r="N177" s="16">
        <f>IF(L177="","",L177+M177)</f>
        <v/>
      </c>
      <c r="O177" s="13" t="inlineStr">
        <is>
          <t>42300</t>
        </is>
      </c>
      <c r="P177" s="13" t="inlineStr">
        <is>
          <t>Y</t>
        </is>
      </c>
      <c r="Q177" s="13" t="inlineStr">
        <is>
          <t>N</t>
        </is>
      </c>
      <c r="R177" s="13" t="inlineStr">
        <is>
          <t>Paid</t>
        </is>
      </c>
      <c r="S177" s="13" t="n"/>
      <c r="T177" s="14">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row>
    <row r="178" ht="15" customHeight="1">
      <c r="A178" s="11" t="n"/>
      <c r="B178" s="12">
        <f>IF(A178="","",EOMONTH(A178,0))</f>
        <v/>
      </c>
      <c r="C178" s="13" t="n"/>
      <c r="D178" s="13" t="n"/>
      <c r="E178" s="13" t="n"/>
      <c r="F178" s="14">
        <f>IF(E178="","",IF(COUNTIF(lst_Jobs,E178&amp;"")&gt;0,"OK","CHECK"))</f>
        <v/>
      </c>
      <c r="G178" s="13" t="n"/>
      <c r="H178" s="13" t="n"/>
      <c r="I178" s="13" t="n"/>
      <c r="J178" s="13" t="n"/>
      <c r="K178" s="13" t="n"/>
      <c r="L178" s="15" t="n"/>
      <c r="M178" s="16">
        <f>IF(L178="","",IF(K178="GST 10%",ROUND(L178*0.1,2),0))</f>
        <v/>
      </c>
      <c r="N178" s="16">
        <f>IF(L178="","",L178+M178)</f>
        <v/>
      </c>
      <c r="O178" s="13" t="n"/>
      <c r="P178" s="13" t="n"/>
      <c r="Q178" s="13" t="n"/>
      <c r="R178" s="13" t="n"/>
      <c r="S178" s="13" t="n"/>
      <c r="T178" s="14">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row>
    <row r="179" ht="15" customHeight="1">
      <c r="A179" s="11" t="n"/>
      <c r="B179" s="12">
        <f>IF(A179="","",EOMONTH(A179,0))</f>
        <v/>
      </c>
      <c r="C179" s="13" t="n"/>
      <c r="D179" s="13" t="n"/>
      <c r="E179" s="13" t="n"/>
      <c r="F179" s="14">
        <f>IF(E179="","",IF(COUNTIF(lst_Jobs,E179&amp;"")&gt;0,"OK","CHECK"))</f>
        <v/>
      </c>
      <c r="G179" s="13" t="n"/>
      <c r="H179" s="13" t="n"/>
      <c r="I179" s="13" t="n"/>
      <c r="J179" s="13" t="n"/>
      <c r="K179" s="13" t="n"/>
      <c r="L179" s="15" t="n"/>
      <c r="M179" s="16">
        <f>IF(L179="","",IF(K179="GST 10%",ROUND(L179*0.1,2),0))</f>
        <v/>
      </c>
      <c r="N179" s="16">
        <f>IF(L179="","",L179+M179)</f>
        <v/>
      </c>
      <c r="O179" s="13" t="n"/>
      <c r="P179" s="13" t="n"/>
      <c r="Q179" s="13" t="n"/>
      <c r="R179" s="13" t="n"/>
      <c r="S179" s="13" t="n"/>
      <c r="T179" s="14">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row>
    <row r="180" ht="15" customHeight="1">
      <c r="A180" s="11" t="n"/>
      <c r="B180" s="12">
        <f>IF(A180="","",EOMONTH(A180,0))</f>
        <v/>
      </c>
      <c r="C180" s="13" t="n"/>
      <c r="D180" s="13" t="n"/>
      <c r="E180" s="13" t="n"/>
      <c r="F180" s="14">
        <f>IF(E180="","",IF(COUNTIF(lst_Jobs,E180&amp;"")&gt;0,"OK","CHECK"))</f>
        <v/>
      </c>
      <c r="G180" s="13" t="n"/>
      <c r="H180" s="13" t="n"/>
      <c r="I180" s="13" t="n"/>
      <c r="J180" s="13" t="n"/>
      <c r="K180" s="13" t="n"/>
      <c r="L180" s="15" t="n"/>
      <c r="M180" s="16">
        <f>IF(L180="","",IF(K180="GST 10%",ROUND(L180*0.1,2),0))</f>
        <v/>
      </c>
      <c r="N180" s="16">
        <f>IF(L180="","",L180+M180)</f>
        <v/>
      </c>
      <c r="O180" s="13" t="n"/>
      <c r="P180" s="13" t="n"/>
      <c r="Q180" s="13" t="n"/>
      <c r="R180" s="13" t="n"/>
      <c r="S180" s="13" t="n"/>
      <c r="T180" s="14">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row>
    <row r="181" ht="15" customHeight="1">
      <c r="A181" s="11" t="n"/>
      <c r="B181" s="12">
        <f>IF(A181="","",EOMONTH(A181,0))</f>
        <v/>
      </c>
      <c r="C181" s="13" t="n"/>
      <c r="D181" s="13" t="n"/>
      <c r="E181" s="13" t="n"/>
      <c r="F181" s="14">
        <f>IF(E181="","",IF(COUNTIF(lst_Jobs,E181&amp;"")&gt;0,"OK","CHECK"))</f>
        <v/>
      </c>
      <c r="G181" s="13" t="n"/>
      <c r="H181" s="13" t="n"/>
      <c r="I181" s="13" t="n"/>
      <c r="J181" s="13" t="n"/>
      <c r="K181" s="13" t="n"/>
      <c r="L181" s="15" t="n"/>
      <c r="M181" s="16">
        <f>IF(L181="","",IF(K181="GST 10%",ROUND(L181*0.1,2),0))</f>
        <v/>
      </c>
      <c r="N181" s="16">
        <f>IF(L181="","",L181+M181)</f>
        <v/>
      </c>
      <c r="O181" s="13" t="n"/>
      <c r="P181" s="13" t="n"/>
      <c r="Q181" s="13" t="n"/>
      <c r="R181" s="13" t="n"/>
      <c r="S181" s="13" t="n"/>
      <c r="T181" s="14">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row>
    <row r="182" ht="15" customHeight="1">
      <c r="A182" s="11" t="n"/>
      <c r="B182" s="12">
        <f>IF(A182="","",EOMONTH(A182,0))</f>
        <v/>
      </c>
      <c r="C182" s="13" t="n"/>
      <c r="D182" s="13" t="n"/>
      <c r="E182" s="13" t="n"/>
      <c r="F182" s="14">
        <f>IF(E182="","",IF(COUNTIF(lst_Jobs,E182&amp;"")&gt;0,"OK","CHECK"))</f>
        <v/>
      </c>
      <c r="G182" s="13" t="n"/>
      <c r="H182" s="13" t="n"/>
      <c r="I182" s="13" t="n"/>
      <c r="J182" s="13" t="n"/>
      <c r="K182" s="13" t="n"/>
      <c r="L182" s="15" t="n"/>
      <c r="M182" s="16">
        <f>IF(L182="","",IF(K182="GST 10%",ROUND(L182*0.1,2),0))</f>
        <v/>
      </c>
      <c r="N182" s="16">
        <f>IF(L182="","",L182+M182)</f>
        <v/>
      </c>
      <c r="O182" s="13" t="n"/>
      <c r="P182" s="13" t="n"/>
      <c r="Q182" s="13" t="n"/>
      <c r="R182" s="13" t="n"/>
      <c r="S182" s="13" t="n"/>
      <c r="T182" s="14">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row>
    <row r="183" ht="15" customHeight="1">
      <c r="A183" s="11" t="n"/>
      <c r="B183" s="12">
        <f>IF(A183="","",EOMONTH(A183,0))</f>
        <v/>
      </c>
      <c r="C183" s="13" t="n"/>
      <c r="D183" s="13" t="n"/>
      <c r="E183" s="13" t="n"/>
      <c r="F183" s="14">
        <f>IF(E183="","",IF(COUNTIF(lst_Jobs,E183&amp;"")&gt;0,"OK","CHECK"))</f>
        <v/>
      </c>
      <c r="G183" s="13" t="n"/>
      <c r="H183" s="13" t="n"/>
      <c r="I183" s="13" t="n"/>
      <c r="J183" s="13" t="n"/>
      <c r="K183" s="13" t="n"/>
      <c r="L183" s="15" t="n"/>
      <c r="M183" s="16">
        <f>IF(L183="","",IF(K183="GST 10%",ROUND(L183*0.1,2),0))</f>
        <v/>
      </c>
      <c r="N183" s="16">
        <f>IF(L183="","",L183+M183)</f>
        <v/>
      </c>
      <c r="O183" s="13" t="n"/>
      <c r="P183" s="13" t="n"/>
      <c r="Q183" s="13" t="n"/>
      <c r="R183" s="13" t="n"/>
      <c r="S183" s="13" t="n"/>
      <c r="T183" s="14">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row>
    <row r="184" ht="15" customHeight="1">
      <c r="A184" s="11" t="n"/>
      <c r="B184" s="12">
        <f>IF(A184="","",EOMONTH(A184,0))</f>
        <v/>
      </c>
      <c r="C184" s="13" t="n"/>
      <c r="D184" s="13" t="n"/>
      <c r="E184" s="13" t="n"/>
      <c r="F184" s="14">
        <f>IF(E184="","",IF(COUNTIF(lst_Jobs,E184&amp;"")&gt;0,"OK","CHECK"))</f>
        <v/>
      </c>
      <c r="G184" s="13" t="n"/>
      <c r="H184" s="13" t="n"/>
      <c r="I184" s="13" t="n"/>
      <c r="J184" s="13" t="n"/>
      <c r="K184" s="13" t="n"/>
      <c r="L184" s="15" t="n"/>
      <c r="M184" s="16">
        <f>IF(L184="","",IF(K184="GST 10%",ROUND(L184*0.1,2),0))</f>
        <v/>
      </c>
      <c r="N184" s="16">
        <f>IF(L184="","",L184+M184)</f>
        <v/>
      </c>
      <c r="O184" s="13" t="n"/>
      <c r="P184" s="13" t="n"/>
      <c r="Q184" s="13" t="n"/>
      <c r="R184" s="13" t="n"/>
      <c r="S184" s="13" t="n"/>
      <c r="T184" s="14">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row>
    <row r="185" ht="15" customHeight="1">
      <c r="A185" s="11" t="n"/>
      <c r="B185" s="12">
        <f>IF(A185="","",EOMONTH(A185,0))</f>
        <v/>
      </c>
      <c r="C185" s="13" t="n"/>
      <c r="D185" s="13" t="n"/>
      <c r="E185" s="13" t="n"/>
      <c r="F185" s="14">
        <f>IF(E185="","",IF(COUNTIF(lst_Jobs,E185&amp;"")&gt;0,"OK","CHECK"))</f>
        <v/>
      </c>
      <c r="G185" s="13" t="n"/>
      <c r="H185" s="13" t="n"/>
      <c r="I185" s="13" t="n"/>
      <c r="J185" s="13" t="n"/>
      <c r="K185" s="13" t="n"/>
      <c r="L185" s="15" t="n"/>
      <c r="M185" s="16">
        <f>IF(L185="","",IF(K185="GST 10%",ROUND(L185*0.1,2),0))</f>
        <v/>
      </c>
      <c r="N185" s="16">
        <f>IF(L185="","",L185+M185)</f>
        <v/>
      </c>
      <c r="O185" s="13" t="n"/>
      <c r="P185" s="13" t="n"/>
      <c r="Q185" s="13" t="n"/>
      <c r="R185" s="13" t="n"/>
      <c r="S185" s="13" t="n"/>
      <c r="T185" s="14">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row>
    <row r="186" ht="15" customHeight="1">
      <c r="A186" s="11" t="n"/>
      <c r="B186" s="12">
        <f>IF(A186="","",EOMONTH(A186,0))</f>
        <v/>
      </c>
      <c r="C186" s="13" t="n"/>
      <c r="D186" s="13" t="n"/>
      <c r="E186" s="13" t="n"/>
      <c r="F186" s="14">
        <f>IF(E186="","",IF(COUNTIF(lst_Jobs,E186&amp;"")&gt;0,"OK","CHECK"))</f>
        <v/>
      </c>
      <c r="G186" s="13" t="n"/>
      <c r="H186" s="13" t="n"/>
      <c r="I186" s="13" t="n"/>
      <c r="J186" s="13" t="n"/>
      <c r="K186" s="13" t="n"/>
      <c r="L186" s="15" t="n"/>
      <c r="M186" s="16">
        <f>IF(L186="","",IF(K186="GST 10%",ROUND(L186*0.1,2),0))</f>
        <v/>
      </c>
      <c r="N186" s="16">
        <f>IF(L186="","",L186+M186)</f>
        <v/>
      </c>
      <c r="O186" s="13" t="n"/>
      <c r="P186" s="13" t="n"/>
      <c r="Q186" s="13" t="n"/>
      <c r="R186" s="13" t="n"/>
      <c r="S186" s="13" t="n"/>
      <c r="T186" s="14">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row>
    <row r="187" ht="15" customHeight="1">
      <c r="A187" s="11" t="n"/>
      <c r="B187" s="12">
        <f>IF(A187="","",EOMONTH(A187,0))</f>
        <v/>
      </c>
      <c r="C187" s="13" t="n"/>
      <c r="D187" s="13" t="n"/>
      <c r="E187" s="13" t="n"/>
      <c r="F187" s="14">
        <f>IF(E187="","",IF(COUNTIF(lst_Jobs,E187&amp;"")&gt;0,"OK","CHECK"))</f>
        <v/>
      </c>
      <c r="G187" s="13" t="n"/>
      <c r="H187" s="13" t="n"/>
      <c r="I187" s="13" t="n"/>
      <c r="J187" s="13" t="n"/>
      <c r="K187" s="13" t="n"/>
      <c r="L187" s="15" t="n"/>
      <c r="M187" s="16">
        <f>IF(L187="","",IF(K187="GST 10%",ROUND(L187*0.1,2),0))</f>
        <v/>
      </c>
      <c r="N187" s="16">
        <f>IF(L187="","",L187+M187)</f>
        <v/>
      </c>
      <c r="O187" s="13" t="n"/>
      <c r="P187" s="13" t="n"/>
      <c r="Q187" s="13" t="n"/>
      <c r="R187" s="13" t="n"/>
      <c r="S187" s="13" t="n"/>
      <c r="T187" s="14">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row>
    <row r="188" ht="15" customHeight="1">
      <c r="A188" s="11" t="n"/>
      <c r="B188" s="12">
        <f>IF(A188="","",EOMONTH(A188,0))</f>
        <v/>
      </c>
      <c r="C188" s="13" t="n"/>
      <c r="D188" s="13" t="n"/>
      <c r="E188" s="13" t="n"/>
      <c r="F188" s="14">
        <f>IF(E188="","",IF(COUNTIF(lst_Jobs,E188&amp;"")&gt;0,"OK","CHECK"))</f>
        <v/>
      </c>
      <c r="G188" s="13" t="n"/>
      <c r="H188" s="13" t="n"/>
      <c r="I188" s="13" t="n"/>
      <c r="J188" s="13" t="n"/>
      <c r="K188" s="13" t="n"/>
      <c r="L188" s="15" t="n"/>
      <c r="M188" s="16">
        <f>IF(L188="","",IF(K188="GST 10%",ROUND(L188*0.1,2),0))</f>
        <v/>
      </c>
      <c r="N188" s="16">
        <f>IF(L188="","",L188+M188)</f>
        <v/>
      </c>
      <c r="O188" s="13" t="n"/>
      <c r="P188" s="13" t="n"/>
      <c r="Q188" s="13" t="n"/>
      <c r="R188" s="13" t="n"/>
      <c r="S188" s="13" t="n"/>
      <c r="T188" s="14">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row>
    <row r="189" ht="15" customHeight="1">
      <c r="A189" s="11" t="n"/>
      <c r="B189" s="12">
        <f>IF(A189="","",EOMONTH(A189,0))</f>
        <v/>
      </c>
      <c r="C189" s="13" t="n"/>
      <c r="D189" s="13" t="n"/>
      <c r="E189" s="13" t="n"/>
      <c r="F189" s="14">
        <f>IF(E189="","",IF(COUNTIF(lst_Jobs,E189&amp;"")&gt;0,"OK","CHECK"))</f>
        <v/>
      </c>
      <c r="G189" s="13" t="n"/>
      <c r="H189" s="13" t="n"/>
      <c r="I189" s="13" t="n"/>
      <c r="J189" s="13" t="n"/>
      <c r="K189" s="13" t="n"/>
      <c r="L189" s="15" t="n"/>
      <c r="M189" s="16">
        <f>IF(L189="","",IF(K189="GST 10%",ROUND(L189*0.1,2),0))</f>
        <v/>
      </c>
      <c r="N189" s="16">
        <f>IF(L189="","",L189+M189)</f>
        <v/>
      </c>
      <c r="O189" s="13" t="n"/>
      <c r="P189" s="13" t="n"/>
      <c r="Q189" s="13" t="n"/>
      <c r="R189" s="13" t="n"/>
      <c r="S189" s="13" t="n"/>
      <c r="T189" s="14">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row>
    <row r="190" ht="15" customHeight="1">
      <c r="A190" s="11" t="n"/>
      <c r="B190" s="12">
        <f>IF(A190="","",EOMONTH(A190,0))</f>
        <v/>
      </c>
      <c r="C190" s="13" t="n"/>
      <c r="D190" s="13" t="n"/>
      <c r="E190" s="13" t="n"/>
      <c r="F190" s="14">
        <f>IF(E190="","",IF(COUNTIF(lst_Jobs,E190&amp;"")&gt;0,"OK","CHECK"))</f>
        <v/>
      </c>
      <c r="G190" s="13" t="n"/>
      <c r="H190" s="13" t="n"/>
      <c r="I190" s="13" t="n"/>
      <c r="J190" s="13" t="n"/>
      <c r="K190" s="13" t="n"/>
      <c r="L190" s="15" t="n"/>
      <c r="M190" s="16">
        <f>IF(L190="","",IF(K190="GST 10%",ROUND(L190*0.1,2),0))</f>
        <v/>
      </c>
      <c r="N190" s="16">
        <f>IF(L190="","",L190+M190)</f>
        <v/>
      </c>
      <c r="O190" s="13" t="n"/>
      <c r="P190" s="13" t="n"/>
      <c r="Q190" s="13" t="n"/>
      <c r="R190" s="13" t="n"/>
      <c r="S190" s="13" t="n"/>
      <c r="T190" s="14">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row>
    <row r="191" ht="15" customHeight="1">
      <c r="A191" s="11" t="n"/>
      <c r="B191" s="12">
        <f>IF(A191="","",EOMONTH(A191,0))</f>
        <v/>
      </c>
      <c r="C191" s="13" t="n"/>
      <c r="D191" s="13" t="n"/>
      <c r="E191" s="13" t="n"/>
      <c r="F191" s="14">
        <f>IF(E191="","",IF(COUNTIF(lst_Jobs,E191&amp;"")&gt;0,"OK","CHECK"))</f>
        <v/>
      </c>
      <c r="G191" s="13" t="n"/>
      <c r="H191" s="13" t="n"/>
      <c r="I191" s="13" t="n"/>
      <c r="J191" s="13" t="n"/>
      <c r="K191" s="13" t="n"/>
      <c r="L191" s="15" t="n"/>
      <c r="M191" s="16">
        <f>IF(L191="","",IF(K191="GST 10%",ROUND(L191*0.1,2),0))</f>
        <v/>
      </c>
      <c r="N191" s="16">
        <f>IF(L191="","",L191+M191)</f>
        <v/>
      </c>
      <c r="O191" s="13" t="n"/>
      <c r="P191" s="13" t="n"/>
      <c r="Q191" s="13" t="n"/>
      <c r="R191" s="13" t="n"/>
      <c r="S191" s="13" t="n"/>
      <c r="T191" s="14">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row>
    <row r="192" ht="15" customHeight="1">
      <c r="A192" s="11" t="n"/>
      <c r="B192" s="12">
        <f>IF(A192="","",EOMONTH(A192,0))</f>
        <v/>
      </c>
      <c r="C192" s="13" t="n"/>
      <c r="D192" s="13" t="n"/>
      <c r="E192" s="13" t="n"/>
      <c r="F192" s="14">
        <f>IF(E192="","",IF(COUNTIF(lst_Jobs,E192&amp;"")&gt;0,"OK","CHECK"))</f>
        <v/>
      </c>
      <c r="G192" s="13" t="n"/>
      <c r="H192" s="13" t="n"/>
      <c r="I192" s="13" t="n"/>
      <c r="J192" s="13" t="n"/>
      <c r="K192" s="13" t="n"/>
      <c r="L192" s="15" t="n"/>
      <c r="M192" s="16">
        <f>IF(L192="","",IF(K192="GST 10%",ROUND(L192*0.1,2),0))</f>
        <v/>
      </c>
      <c r="N192" s="16">
        <f>IF(L192="","",L192+M192)</f>
        <v/>
      </c>
      <c r="O192" s="13" t="n"/>
      <c r="P192" s="13" t="n"/>
      <c r="Q192" s="13" t="n"/>
      <c r="R192" s="13" t="n"/>
      <c r="S192" s="13" t="n"/>
      <c r="T192" s="14">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row>
    <row r="193" ht="15" customHeight="1">
      <c r="A193" s="11" t="n"/>
      <c r="B193" s="12">
        <f>IF(A193="","",EOMONTH(A193,0))</f>
        <v/>
      </c>
      <c r="C193" s="13" t="n"/>
      <c r="D193" s="13" t="n"/>
      <c r="E193" s="13" t="n"/>
      <c r="F193" s="14">
        <f>IF(E193="","",IF(COUNTIF(lst_Jobs,E193&amp;"")&gt;0,"OK","CHECK"))</f>
        <v/>
      </c>
      <c r="G193" s="13" t="n"/>
      <c r="H193" s="13" t="n"/>
      <c r="I193" s="13" t="n"/>
      <c r="J193" s="13" t="n"/>
      <c r="K193" s="13" t="n"/>
      <c r="L193" s="15" t="n"/>
      <c r="M193" s="16">
        <f>IF(L193="","",IF(K193="GST 10%",ROUND(L193*0.1,2),0))</f>
        <v/>
      </c>
      <c r="N193" s="16">
        <f>IF(L193="","",L193+M193)</f>
        <v/>
      </c>
      <c r="O193" s="13" t="n"/>
      <c r="P193" s="13" t="n"/>
      <c r="Q193" s="13" t="n"/>
      <c r="R193" s="13" t="n"/>
      <c r="S193" s="13" t="n"/>
      <c r="T193" s="14">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row>
    <row r="194" ht="15" customHeight="1">
      <c r="A194" s="11" t="n"/>
      <c r="B194" s="12">
        <f>IF(A194="","",EOMONTH(A194,0))</f>
        <v/>
      </c>
      <c r="C194" s="13" t="n"/>
      <c r="D194" s="13" t="n"/>
      <c r="E194" s="13" t="n"/>
      <c r="F194" s="14">
        <f>IF(E194="","",IF(COUNTIF(lst_Jobs,E194&amp;"")&gt;0,"OK","CHECK"))</f>
        <v/>
      </c>
      <c r="G194" s="13" t="n"/>
      <c r="H194" s="13" t="n"/>
      <c r="I194" s="13" t="n"/>
      <c r="J194" s="13" t="n"/>
      <c r="K194" s="13" t="n"/>
      <c r="L194" s="15" t="n"/>
      <c r="M194" s="16">
        <f>IF(L194="","",IF(K194="GST 10%",ROUND(L194*0.1,2),0))</f>
        <v/>
      </c>
      <c r="N194" s="16">
        <f>IF(L194="","",L194+M194)</f>
        <v/>
      </c>
      <c r="O194" s="13" t="n"/>
      <c r="P194" s="13" t="n"/>
      <c r="Q194" s="13" t="n"/>
      <c r="R194" s="13" t="n"/>
      <c r="S194" s="13" t="n"/>
      <c r="T194" s="14">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row>
    <row r="195" ht="15" customHeight="1">
      <c r="A195" s="11" t="n"/>
      <c r="B195" s="12">
        <f>IF(A195="","",EOMONTH(A195,0))</f>
        <v/>
      </c>
      <c r="C195" s="13" t="n"/>
      <c r="D195" s="13" t="n"/>
      <c r="E195" s="13" t="n"/>
      <c r="F195" s="14">
        <f>IF(E195="","",IF(COUNTIF(lst_Jobs,E195&amp;"")&gt;0,"OK","CHECK"))</f>
        <v/>
      </c>
      <c r="G195" s="13" t="n"/>
      <c r="H195" s="13" t="n"/>
      <c r="I195" s="13" t="n"/>
      <c r="J195" s="13" t="n"/>
      <c r="K195" s="13" t="n"/>
      <c r="L195" s="15" t="n"/>
      <c r="M195" s="16">
        <f>IF(L195="","",IF(K195="GST 10%",ROUND(L195*0.1,2),0))</f>
        <v/>
      </c>
      <c r="N195" s="16">
        <f>IF(L195="","",L195+M195)</f>
        <v/>
      </c>
      <c r="O195" s="13" t="n"/>
      <c r="P195" s="13" t="n"/>
      <c r="Q195" s="13" t="n"/>
      <c r="R195" s="13" t="n"/>
      <c r="S195" s="13" t="n"/>
      <c r="T195" s="14">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row>
    <row r="196" ht="15" customHeight="1">
      <c r="A196" s="11" t="n"/>
      <c r="B196" s="12">
        <f>IF(A196="","",EOMONTH(A196,0))</f>
        <v/>
      </c>
      <c r="C196" s="13" t="n"/>
      <c r="D196" s="13" t="n"/>
      <c r="E196" s="13" t="n"/>
      <c r="F196" s="14">
        <f>IF(E196="","",IF(COUNTIF(lst_Jobs,E196&amp;"")&gt;0,"OK","CHECK"))</f>
        <v/>
      </c>
      <c r="G196" s="13" t="n"/>
      <c r="H196" s="13" t="n"/>
      <c r="I196" s="13" t="n"/>
      <c r="J196" s="13" t="n"/>
      <c r="K196" s="13" t="n"/>
      <c r="L196" s="15" t="n"/>
      <c r="M196" s="16">
        <f>IF(L196="","",IF(K196="GST 10%",ROUND(L196*0.1,2),0))</f>
        <v/>
      </c>
      <c r="N196" s="16">
        <f>IF(L196="","",L196+M196)</f>
        <v/>
      </c>
      <c r="O196" s="13" t="n"/>
      <c r="P196" s="13" t="n"/>
      <c r="Q196" s="13" t="n"/>
      <c r="R196" s="13" t="n"/>
      <c r="S196" s="13" t="n"/>
      <c r="T196" s="14">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row>
    <row r="197" ht="15" customHeight="1">
      <c r="A197" s="11" t="n"/>
      <c r="B197" s="12">
        <f>IF(A197="","",EOMONTH(A197,0))</f>
        <v/>
      </c>
      <c r="C197" s="13" t="n"/>
      <c r="D197" s="13" t="n"/>
      <c r="E197" s="13" t="n"/>
      <c r="F197" s="14">
        <f>IF(E197="","",IF(COUNTIF(lst_Jobs,E197&amp;"")&gt;0,"OK","CHECK"))</f>
        <v/>
      </c>
      <c r="G197" s="13" t="n"/>
      <c r="H197" s="13" t="n"/>
      <c r="I197" s="13" t="n"/>
      <c r="J197" s="13" t="n"/>
      <c r="K197" s="13" t="n"/>
      <c r="L197" s="15" t="n"/>
      <c r="M197" s="16">
        <f>IF(L197="","",IF(K197="GST 10%",ROUND(L197*0.1,2),0))</f>
        <v/>
      </c>
      <c r="N197" s="16">
        <f>IF(L197="","",L197+M197)</f>
        <v/>
      </c>
      <c r="O197" s="13" t="n"/>
      <c r="P197" s="13" t="n"/>
      <c r="Q197" s="13" t="n"/>
      <c r="R197" s="13" t="n"/>
      <c r="S197" s="13" t="n"/>
      <c r="T197" s="14">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row>
    <row r="198" ht="15" customHeight="1">
      <c r="A198" s="11" t="n"/>
      <c r="B198" s="12">
        <f>IF(A198="","",EOMONTH(A198,0))</f>
        <v/>
      </c>
      <c r="C198" s="13" t="n"/>
      <c r="D198" s="13" t="n"/>
      <c r="E198" s="13" t="n"/>
      <c r="F198" s="14">
        <f>IF(E198="","",IF(COUNTIF(lst_Jobs,E198&amp;"")&gt;0,"OK","CHECK"))</f>
        <v/>
      </c>
      <c r="G198" s="13" t="n"/>
      <c r="H198" s="13" t="n"/>
      <c r="I198" s="13" t="n"/>
      <c r="J198" s="13" t="n"/>
      <c r="K198" s="13" t="n"/>
      <c r="L198" s="15" t="n"/>
      <c r="M198" s="16">
        <f>IF(L198="","",IF(K198="GST 10%",ROUND(L198*0.1,2),0))</f>
        <v/>
      </c>
      <c r="N198" s="16">
        <f>IF(L198="","",L198+M198)</f>
        <v/>
      </c>
      <c r="O198" s="13" t="n"/>
      <c r="P198" s="13" t="n"/>
      <c r="Q198" s="13" t="n"/>
      <c r="R198" s="13" t="n"/>
      <c r="S198" s="13" t="n"/>
      <c r="T198" s="14">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row>
    <row r="199" ht="15" customHeight="1">
      <c r="A199" s="11" t="n"/>
      <c r="B199" s="12">
        <f>IF(A199="","",EOMONTH(A199,0))</f>
        <v/>
      </c>
      <c r="C199" s="13" t="n"/>
      <c r="D199" s="13" t="n"/>
      <c r="E199" s="13" t="n"/>
      <c r="F199" s="14">
        <f>IF(E199="","",IF(COUNTIF(lst_Jobs,E199&amp;"")&gt;0,"OK","CHECK"))</f>
        <v/>
      </c>
      <c r="G199" s="13" t="n"/>
      <c r="H199" s="13" t="n"/>
      <c r="I199" s="13" t="n"/>
      <c r="J199" s="13" t="n"/>
      <c r="K199" s="13" t="n"/>
      <c r="L199" s="15" t="n"/>
      <c r="M199" s="16">
        <f>IF(L199="","",IF(K199="GST 10%",ROUND(L199*0.1,2),0))</f>
        <v/>
      </c>
      <c r="N199" s="16">
        <f>IF(L199="","",L199+M199)</f>
        <v/>
      </c>
      <c r="O199" s="13" t="n"/>
      <c r="P199" s="13" t="n"/>
      <c r="Q199" s="13" t="n"/>
      <c r="R199" s="13" t="n"/>
      <c r="S199" s="13" t="n"/>
      <c r="T199" s="14">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row>
    <row r="200" ht="15" customHeight="1">
      <c r="A200" s="11" t="n"/>
      <c r="B200" s="12">
        <f>IF(A200="","",EOMONTH(A200,0))</f>
        <v/>
      </c>
      <c r="C200" s="13" t="n"/>
      <c r="D200" s="13" t="n"/>
      <c r="E200" s="13" t="n"/>
      <c r="F200" s="14">
        <f>IF(E200="","",IF(COUNTIF(lst_Jobs,E200&amp;"")&gt;0,"OK","CHECK"))</f>
        <v/>
      </c>
      <c r="G200" s="13" t="n"/>
      <c r="H200" s="13" t="n"/>
      <c r="I200" s="13" t="n"/>
      <c r="J200" s="13" t="n"/>
      <c r="K200" s="13" t="n"/>
      <c r="L200" s="15" t="n"/>
      <c r="M200" s="16">
        <f>IF(L200="","",IF(K200="GST 10%",ROUND(L200*0.1,2),0))</f>
        <v/>
      </c>
      <c r="N200" s="16">
        <f>IF(L200="","",L200+M200)</f>
        <v/>
      </c>
      <c r="O200" s="13" t="n"/>
      <c r="P200" s="13" t="n"/>
      <c r="Q200" s="13" t="n"/>
      <c r="R200" s="13" t="n"/>
      <c r="S200" s="13" t="n"/>
      <c r="T200" s="14">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row>
    <row r="201" ht="15" customHeight="1">
      <c r="A201" s="11" t="n"/>
      <c r="B201" s="12">
        <f>IF(A201="","",EOMONTH(A201,0))</f>
        <v/>
      </c>
      <c r="C201" s="13" t="n"/>
      <c r="D201" s="13" t="n"/>
      <c r="E201" s="13" t="n"/>
      <c r="F201" s="14">
        <f>IF(E201="","",IF(COUNTIF(lst_Jobs,E201&amp;"")&gt;0,"OK","CHECK"))</f>
        <v/>
      </c>
      <c r="G201" s="13" t="n"/>
      <c r="H201" s="13" t="n"/>
      <c r="I201" s="13" t="n"/>
      <c r="J201" s="13" t="n"/>
      <c r="K201" s="13" t="n"/>
      <c r="L201" s="15" t="n"/>
      <c r="M201" s="16">
        <f>IF(L201="","",IF(K201="GST 10%",ROUND(L201*0.1,2),0))</f>
        <v/>
      </c>
      <c r="N201" s="16">
        <f>IF(L201="","",L201+M201)</f>
        <v/>
      </c>
      <c r="O201" s="13" t="n"/>
      <c r="P201" s="13" t="n"/>
      <c r="Q201" s="13" t="n"/>
      <c r="R201" s="13" t="n"/>
      <c r="S201" s="13" t="n"/>
      <c r="T201" s="14">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row>
    <row r="202" ht="15" customHeight="1">
      <c r="A202" s="11" t="n"/>
      <c r="B202" s="12">
        <f>IF(A202="","",EOMONTH(A202,0))</f>
        <v/>
      </c>
      <c r="C202" s="13" t="n"/>
      <c r="D202" s="13" t="n"/>
      <c r="E202" s="13" t="n"/>
      <c r="F202" s="14">
        <f>IF(E202="","",IF(COUNTIF(lst_Jobs,E202&amp;"")&gt;0,"OK","CHECK"))</f>
        <v/>
      </c>
      <c r="G202" s="13" t="n"/>
      <c r="H202" s="13" t="n"/>
      <c r="I202" s="13" t="n"/>
      <c r="J202" s="13" t="n"/>
      <c r="K202" s="13" t="n"/>
      <c r="L202" s="15" t="n"/>
      <c r="M202" s="16">
        <f>IF(L202="","",IF(K202="GST 10%",ROUND(L202*0.1,2),0))</f>
        <v/>
      </c>
      <c r="N202" s="16">
        <f>IF(L202="","",L202+M202)</f>
        <v/>
      </c>
      <c r="O202" s="13" t="n"/>
      <c r="P202" s="13" t="n"/>
      <c r="Q202" s="13" t="n"/>
      <c r="R202" s="13" t="n"/>
      <c r="S202" s="13" t="n"/>
      <c r="T202" s="14">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row>
    <row r="203" ht="15" customHeight="1">
      <c r="A203" s="11" t="n"/>
      <c r="B203" s="12">
        <f>IF(A203="","",EOMONTH(A203,0))</f>
        <v/>
      </c>
      <c r="C203" s="13" t="n"/>
      <c r="D203" s="13" t="n"/>
      <c r="E203" s="13" t="n"/>
      <c r="F203" s="14">
        <f>IF(E203="","",IF(COUNTIF(lst_Jobs,E203&amp;"")&gt;0,"OK","CHECK"))</f>
        <v/>
      </c>
      <c r="G203" s="13" t="n"/>
      <c r="H203" s="13" t="n"/>
      <c r="I203" s="13" t="n"/>
      <c r="J203" s="13" t="n"/>
      <c r="K203" s="13" t="n"/>
      <c r="L203" s="15" t="n"/>
      <c r="M203" s="16">
        <f>IF(L203="","",IF(K203="GST 10%",ROUND(L203*0.1,2),0))</f>
        <v/>
      </c>
      <c r="N203" s="16">
        <f>IF(L203="","",L203+M203)</f>
        <v/>
      </c>
      <c r="O203" s="13" t="n"/>
      <c r="P203" s="13" t="n"/>
      <c r="Q203" s="13" t="n"/>
      <c r="R203" s="13" t="n"/>
      <c r="S203" s="13" t="n"/>
      <c r="T203" s="14">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row>
    <row r="204" ht="15" customHeight="1">
      <c r="A204" s="11" t="n"/>
      <c r="B204" s="12">
        <f>IF(A204="","",EOMONTH(A204,0))</f>
        <v/>
      </c>
      <c r="C204" s="13" t="n"/>
      <c r="D204" s="13" t="n"/>
      <c r="E204" s="13" t="n"/>
      <c r="F204" s="14">
        <f>IF(E204="","",IF(COUNTIF(lst_Jobs,E204&amp;"")&gt;0,"OK","CHECK"))</f>
        <v/>
      </c>
      <c r="G204" s="13" t="n"/>
      <c r="H204" s="13" t="n"/>
      <c r="I204" s="13" t="n"/>
      <c r="J204" s="13" t="n"/>
      <c r="K204" s="13" t="n"/>
      <c r="L204" s="15" t="n"/>
      <c r="M204" s="16">
        <f>IF(L204="","",IF(K204="GST 10%",ROUND(L204*0.1,2),0))</f>
        <v/>
      </c>
      <c r="N204" s="16">
        <f>IF(L204="","",L204+M204)</f>
        <v/>
      </c>
      <c r="O204" s="13" t="n"/>
      <c r="P204" s="13" t="n"/>
      <c r="Q204" s="13" t="n"/>
      <c r="R204" s="13" t="n"/>
      <c r="S204" s="13" t="n"/>
      <c r="T204" s="14">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row>
    <row r="205" ht="15" customHeight="1">
      <c r="A205" s="11" t="n"/>
      <c r="B205" s="12">
        <f>IF(A205="","",EOMONTH(A205,0))</f>
        <v/>
      </c>
      <c r="C205" s="13" t="n"/>
      <c r="D205" s="13" t="n"/>
      <c r="E205" s="13" t="n"/>
      <c r="F205" s="14">
        <f>IF(E205="","",IF(COUNTIF(lst_Jobs,E205&amp;"")&gt;0,"OK","CHECK"))</f>
        <v/>
      </c>
      <c r="G205" s="13" t="n"/>
      <c r="H205" s="13" t="n"/>
      <c r="I205" s="13" t="n"/>
      <c r="J205" s="13" t="n"/>
      <c r="K205" s="13" t="n"/>
      <c r="L205" s="15" t="n"/>
      <c r="M205" s="16">
        <f>IF(L205="","",IF(K205="GST 10%",ROUND(L205*0.1,2),0))</f>
        <v/>
      </c>
      <c r="N205" s="16">
        <f>IF(L205="","",L205+M205)</f>
        <v/>
      </c>
      <c r="O205" s="13" t="n"/>
      <c r="P205" s="13" t="n"/>
      <c r="Q205" s="13" t="n"/>
      <c r="R205" s="13" t="n"/>
      <c r="S205" s="13" t="n"/>
      <c r="T205" s="14">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row>
    <row r="206" ht="15" customHeight="1">
      <c r="A206" s="11" t="n"/>
      <c r="B206" s="12">
        <f>IF(A206="","",EOMONTH(A206,0))</f>
        <v/>
      </c>
      <c r="C206" s="13" t="n"/>
      <c r="D206" s="13" t="n"/>
      <c r="E206" s="13" t="n"/>
      <c r="F206" s="14">
        <f>IF(E206="","",IF(COUNTIF(lst_Jobs,E206&amp;"")&gt;0,"OK","CHECK"))</f>
        <v/>
      </c>
      <c r="G206" s="13" t="n"/>
      <c r="H206" s="13" t="n"/>
      <c r="I206" s="13" t="n"/>
      <c r="J206" s="13" t="n"/>
      <c r="K206" s="13" t="n"/>
      <c r="L206" s="15" t="n"/>
      <c r="M206" s="16">
        <f>IF(L206="","",IF(K206="GST 10%",ROUND(L206*0.1,2),0))</f>
        <v/>
      </c>
      <c r="N206" s="16">
        <f>IF(L206="","",L206+M206)</f>
        <v/>
      </c>
      <c r="O206" s="13" t="n"/>
      <c r="P206" s="13" t="n"/>
      <c r="Q206" s="13" t="n"/>
      <c r="R206" s="13" t="n"/>
      <c r="S206" s="13" t="n"/>
      <c r="T206" s="14">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row>
    <row r="207" ht="15" customHeight="1">
      <c r="A207" s="11" t="n"/>
      <c r="B207" s="12">
        <f>IF(A207="","",EOMONTH(A207,0))</f>
        <v/>
      </c>
      <c r="C207" s="13" t="n"/>
      <c r="D207" s="13" t="n"/>
      <c r="E207" s="13" t="n"/>
      <c r="F207" s="14">
        <f>IF(E207="","",IF(COUNTIF(lst_Jobs,E207&amp;"")&gt;0,"OK","CHECK"))</f>
        <v/>
      </c>
      <c r="G207" s="13" t="n"/>
      <c r="H207" s="13" t="n"/>
      <c r="I207" s="13" t="n"/>
      <c r="J207" s="13" t="n"/>
      <c r="K207" s="13" t="n"/>
      <c r="L207" s="15" t="n"/>
      <c r="M207" s="16">
        <f>IF(L207="","",IF(K207="GST 10%",ROUND(L207*0.1,2),0))</f>
        <v/>
      </c>
      <c r="N207" s="16">
        <f>IF(L207="","",L207+M207)</f>
        <v/>
      </c>
      <c r="O207" s="13" t="n"/>
      <c r="P207" s="13" t="n"/>
      <c r="Q207" s="13" t="n"/>
      <c r="R207" s="13" t="n"/>
      <c r="S207" s="13" t="n"/>
      <c r="T207" s="14">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row>
    <row r="208" ht="15" customHeight="1">
      <c r="A208" s="11" t="n"/>
      <c r="B208" s="12">
        <f>IF(A208="","",EOMONTH(A208,0))</f>
        <v/>
      </c>
      <c r="C208" s="13" t="n"/>
      <c r="D208" s="13" t="n"/>
      <c r="E208" s="13" t="n"/>
      <c r="F208" s="14">
        <f>IF(E208="","",IF(COUNTIF(lst_Jobs,E208&amp;"")&gt;0,"OK","CHECK"))</f>
        <v/>
      </c>
      <c r="G208" s="13" t="n"/>
      <c r="H208" s="13" t="n"/>
      <c r="I208" s="13" t="n"/>
      <c r="J208" s="13" t="n"/>
      <c r="K208" s="13" t="n"/>
      <c r="L208" s="15" t="n"/>
      <c r="M208" s="16">
        <f>IF(L208="","",IF(K208="GST 10%",ROUND(L208*0.1,2),0))</f>
        <v/>
      </c>
      <c r="N208" s="16">
        <f>IF(L208="","",L208+M208)</f>
        <v/>
      </c>
      <c r="O208" s="13" t="n"/>
      <c r="P208" s="13" t="n"/>
      <c r="Q208" s="13" t="n"/>
      <c r="R208" s="13" t="n"/>
      <c r="S208" s="13" t="n"/>
      <c r="T208" s="14">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row>
    <row r="209" ht="15" customHeight="1">
      <c r="A209" s="11" t="n"/>
      <c r="B209" s="12">
        <f>IF(A209="","",EOMONTH(A209,0))</f>
        <v/>
      </c>
      <c r="C209" s="13" t="n"/>
      <c r="D209" s="13" t="n"/>
      <c r="E209" s="13" t="n"/>
      <c r="F209" s="14">
        <f>IF(E209="","",IF(COUNTIF(lst_Jobs,E209&amp;"")&gt;0,"OK","CHECK"))</f>
        <v/>
      </c>
      <c r="G209" s="13" t="n"/>
      <c r="H209" s="13" t="n"/>
      <c r="I209" s="13" t="n"/>
      <c r="J209" s="13" t="n"/>
      <c r="K209" s="13" t="n"/>
      <c r="L209" s="15" t="n"/>
      <c r="M209" s="16">
        <f>IF(L209="","",IF(K209="GST 10%",ROUND(L209*0.1,2),0))</f>
        <v/>
      </c>
      <c r="N209" s="16">
        <f>IF(L209="","",L209+M209)</f>
        <v/>
      </c>
      <c r="O209" s="13" t="n"/>
      <c r="P209" s="13" t="n"/>
      <c r="Q209" s="13" t="n"/>
      <c r="R209" s="13" t="n"/>
      <c r="S209" s="13" t="n"/>
      <c r="T209" s="14">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row>
    <row r="210" ht="15" customHeight="1">
      <c r="A210" s="11" t="n"/>
      <c r="B210" s="12">
        <f>IF(A210="","",EOMONTH(A210,0))</f>
        <v/>
      </c>
      <c r="C210" s="13" t="n"/>
      <c r="D210" s="13" t="n"/>
      <c r="E210" s="13" t="n"/>
      <c r="F210" s="14">
        <f>IF(E210="","",IF(COUNTIF(lst_Jobs,E210&amp;"")&gt;0,"OK","CHECK"))</f>
        <v/>
      </c>
      <c r="G210" s="13" t="n"/>
      <c r="H210" s="13" t="n"/>
      <c r="I210" s="13" t="n"/>
      <c r="J210" s="13" t="n"/>
      <c r="K210" s="13" t="n"/>
      <c r="L210" s="15" t="n"/>
      <c r="M210" s="16">
        <f>IF(L210="","",IF(K210="GST 10%",ROUND(L210*0.1,2),0))</f>
        <v/>
      </c>
      <c r="N210" s="16">
        <f>IF(L210="","",L210+M210)</f>
        <v/>
      </c>
      <c r="O210" s="13" t="n"/>
      <c r="P210" s="13" t="n"/>
      <c r="Q210" s="13" t="n"/>
      <c r="R210" s="13" t="n"/>
      <c r="S210" s="13" t="n"/>
      <c r="T210" s="14">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row>
    <row r="211" ht="15" customHeight="1">
      <c r="A211" s="11" t="n"/>
      <c r="B211" s="12">
        <f>IF(A211="","",EOMONTH(A211,0))</f>
        <v/>
      </c>
      <c r="C211" s="13" t="n"/>
      <c r="D211" s="13" t="n"/>
      <c r="E211" s="13" t="n"/>
      <c r="F211" s="14">
        <f>IF(E211="","",IF(COUNTIF(lst_Jobs,E211&amp;"")&gt;0,"OK","CHECK"))</f>
        <v/>
      </c>
      <c r="G211" s="13" t="n"/>
      <c r="H211" s="13" t="n"/>
      <c r="I211" s="13" t="n"/>
      <c r="J211" s="13" t="n"/>
      <c r="K211" s="13" t="n"/>
      <c r="L211" s="15" t="n"/>
      <c r="M211" s="16">
        <f>IF(L211="","",IF(K211="GST 10%",ROUND(L211*0.1,2),0))</f>
        <v/>
      </c>
      <c r="N211" s="16">
        <f>IF(L211="","",L211+M211)</f>
        <v/>
      </c>
      <c r="O211" s="13" t="n"/>
      <c r="P211" s="13" t="n"/>
      <c r="Q211" s="13" t="n"/>
      <c r="R211" s="13" t="n"/>
      <c r="S211" s="13" t="n"/>
      <c r="T211" s="14">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row>
    <row r="212" ht="15" customHeight="1">
      <c r="A212" s="11" t="n"/>
      <c r="B212" s="12">
        <f>IF(A212="","",EOMONTH(A212,0))</f>
        <v/>
      </c>
      <c r="C212" s="13" t="n"/>
      <c r="D212" s="13" t="n"/>
      <c r="E212" s="13" t="n"/>
      <c r="F212" s="14">
        <f>IF(E212="","",IF(COUNTIF(lst_Jobs,E212&amp;"")&gt;0,"OK","CHECK"))</f>
        <v/>
      </c>
      <c r="G212" s="13" t="n"/>
      <c r="H212" s="13" t="n"/>
      <c r="I212" s="13" t="n"/>
      <c r="J212" s="13" t="n"/>
      <c r="K212" s="13" t="n"/>
      <c r="L212" s="15" t="n"/>
      <c r="M212" s="16">
        <f>IF(L212="","",IF(K212="GST 10%",ROUND(L212*0.1,2),0))</f>
        <v/>
      </c>
      <c r="N212" s="16">
        <f>IF(L212="","",L212+M212)</f>
        <v/>
      </c>
      <c r="O212" s="13" t="n"/>
      <c r="P212" s="13" t="n"/>
      <c r="Q212" s="13" t="n"/>
      <c r="R212" s="13" t="n"/>
      <c r="S212" s="13" t="n"/>
      <c r="T212" s="14">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row>
    <row r="213" ht="15" customHeight="1">
      <c r="A213" s="11" t="n"/>
      <c r="B213" s="12">
        <f>IF(A213="","",EOMONTH(A213,0))</f>
        <v/>
      </c>
      <c r="C213" s="13" t="n"/>
      <c r="D213" s="13" t="n"/>
      <c r="E213" s="13" t="n"/>
      <c r="F213" s="14">
        <f>IF(E213="","",IF(COUNTIF(lst_Jobs,E213&amp;"")&gt;0,"OK","CHECK"))</f>
        <v/>
      </c>
      <c r="G213" s="13" t="n"/>
      <c r="H213" s="13" t="n"/>
      <c r="I213" s="13" t="n"/>
      <c r="J213" s="13" t="n"/>
      <c r="K213" s="13" t="n"/>
      <c r="L213" s="15" t="n"/>
      <c r="M213" s="16">
        <f>IF(L213="","",IF(K213="GST 10%",ROUND(L213*0.1,2),0))</f>
        <v/>
      </c>
      <c r="N213" s="16">
        <f>IF(L213="","",L213+M213)</f>
        <v/>
      </c>
      <c r="O213" s="13" t="n"/>
      <c r="P213" s="13" t="n"/>
      <c r="Q213" s="13" t="n"/>
      <c r="R213" s="13" t="n"/>
      <c r="S213" s="13" t="n"/>
      <c r="T213" s="14">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row>
    <row r="214" ht="15" customHeight="1">
      <c r="A214" s="11" t="n"/>
      <c r="B214" s="12">
        <f>IF(A214="","",EOMONTH(A214,0))</f>
        <v/>
      </c>
      <c r="C214" s="13" t="n"/>
      <c r="D214" s="13" t="n"/>
      <c r="E214" s="13" t="n"/>
      <c r="F214" s="14">
        <f>IF(E214="","",IF(COUNTIF(lst_Jobs,E214&amp;"")&gt;0,"OK","CHECK"))</f>
        <v/>
      </c>
      <c r="G214" s="13" t="n"/>
      <c r="H214" s="13" t="n"/>
      <c r="I214" s="13" t="n"/>
      <c r="J214" s="13" t="n"/>
      <c r="K214" s="13" t="n"/>
      <c r="L214" s="15" t="n"/>
      <c r="M214" s="16">
        <f>IF(L214="","",IF(K214="GST 10%",ROUND(L214*0.1,2),0))</f>
        <v/>
      </c>
      <c r="N214" s="16">
        <f>IF(L214="","",L214+M214)</f>
        <v/>
      </c>
      <c r="O214" s="13" t="n"/>
      <c r="P214" s="13" t="n"/>
      <c r="Q214" s="13" t="n"/>
      <c r="R214" s="13" t="n"/>
      <c r="S214" s="13" t="n"/>
      <c r="T214" s="14">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row>
    <row r="215" ht="15" customHeight="1">
      <c r="A215" s="11" t="n"/>
      <c r="B215" s="12">
        <f>IF(A215="","",EOMONTH(A215,0))</f>
        <v/>
      </c>
      <c r="C215" s="13" t="n"/>
      <c r="D215" s="13" t="n"/>
      <c r="E215" s="13" t="n"/>
      <c r="F215" s="14">
        <f>IF(E215="","",IF(COUNTIF(lst_Jobs,E215&amp;"")&gt;0,"OK","CHECK"))</f>
        <v/>
      </c>
      <c r="G215" s="13" t="n"/>
      <c r="H215" s="13" t="n"/>
      <c r="I215" s="13" t="n"/>
      <c r="J215" s="13" t="n"/>
      <c r="K215" s="13" t="n"/>
      <c r="L215" s="15" t="n"/>
      <c r="M215" s="16">
        <f>IF(L215="","",IF(K215="GST 10%",ROUND(L215*0.1,2),0))</f>
        <v/>
      </c>
      <c r="N215" s="16">
        <f>IF(L215="","",L215+M215)</f>
        <v/>
      </c>
      <c r="O215" s="13" t="n"/>
      <c r="P215" s="13" t="n"/>
      <c r="Q215" s="13" t="n"/>
      <c r="R215" s="13" t="n"/>
      <c r="S215" s="13" t="n"/>
      <c r="T215" s="14">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row>
    <row r="216" ht="15" customHeight="1">
      <c r="A216" s="11" t="n"/>
      <c r="B216" s="12">
        <f>IF(A216="","",EOMONTH(A216,0))</f>
        <v/>
      </c>
      <c r="C216" s="13" t="n"/>
      <c r="D216" s="13" t="n"/>
      <c r="E216" s="13" t="n"/>
      <c r="F216" s="14">
        <f>IF(E216="","",IF(COUNTIF(lst_Jobs,E216&amp;"")&gt;0,"OK","CHECK"))</f>
        <v/>
      </c>
      <c r="G216" s="13" t="n"/>
      <c r="H216" s="13" t="n"/>
      <c r="I216" s="13" t="n"/>
      <c r="J216" s="13" t="n"/>
      <c r="K216" s="13" t="n"/>
      <c r="L216" s="15" t="n"/>
      <c r="M216" s="16">
        <f>IF(L216="","",IF(K216="GST 10%",ROUND(L216*0.1,2),0))</f>
        <v/>
      </c>
      <c r="N216" s="16">
        <f>IF(L216="","",L216+M216)</f>
        <v/>
      </c>
      <c r="O216" s="13" t="n"/>
      <c r="P216" s="13" t="n"/>
      <c r="Q216" s="13" t="n"/>
      <c r="R216" s="13" t="n"/>
      <c r="S216" s="13" t="n"/>
      <c r="T216" s="14">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row>
    <row r="217" ht="15" customHeight="1">
      <c r="A217" s="11" t="n"/>
      <c r="B217" s="12">
        <f>IF(A217="","",EOMONTH(A217,0))</f>
        <v/>
      </c>
      <c r="C217" s="13" t="n"/>
      <c r="D217" s="13" t="n"/>
      <c r="E217" s="13" t="n"/>
      <c r="F217" s="14">
        <f>IF(E217="","",IF(COUNTIF(lst_Jobs,E217&amp;"")&gt;0,"OK","CHECK"))</f>
        <v/>
      </c>
      <c r="G217" s="13" t="n"/>
      <c r="H217" s="13" t="n"/>
      <c r="I217" s="13" t="n"/>
      <c r="J217" s="13" t="n"/>
      <c r="K217" s="13" t="n"/>
      <c r="L217" s="15" t="n"/>
      <c r="M217" s="16">
        <f>IF(L217="","",IF(K217="GST 10%",ROUND(L217*0.1,2),0))</f>
        <v/>
      </c>
      <c r="N217" s="16">
        <f>IF(L217="","",L217+M217)</f>
        <v/>
      </c>
      <c r="O217" s="13" t="n"/>
      <c r="P217" s="13" t="n"/>
      <c r="Q217" s="13" t="n"/>
      <c r="R217" s="13" t="n"/>
      <c r="S217" s="13" t="n"/>
      <c r="T217" s="14">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row>
    <row r="218" ht="15" customHeight="1">
      <c r="A218" s="11" t="n"/>
      <c r="B218" s="12">
        <f>IF(A218="","",EOMONTH(A218,0))</f>
        <v/>
      </c>
      <c r="C218" s="13" t="n"/>
      <c r="D218" s="13" t="n"/>
      <c r="E218" s="13" t="n"/>
      <c r="F218" s="14">
        <f>IF(E218="","",IF(COUNTIF(lst_Jobs,E218&amp;"")&gt;0,"OK","CHECK"))</f>
        <v/>
      </c>
      <c r="G218" s="13" t="n"/>
      <c r="H218" s="13" t="n"/>
      <c r="I218" s="13" t="n"/>
      <c r="J218" s="13" t="n"/>
      <c r="K218" s="13" t="n"/>
      <c r="L218" s="15" t="n"/>
      <c r="M218" s="16">
        <f>IF(L218="","",IF(K218="GST 10%",ROUND(L218*0.1,2),0))</f>
        <v/>
      </c>
      <c r="N218" s="16">
        <f>IF(L218="","",L218+M218)</f>
        <v/>
      </c>
      <c r="O218" s="13" t="n"/>
      <c r="P218" s="13" t="n"/>
      <c r="Q218" s="13" t="n"/>
      <c r="R218" s="13" t="n"/>
      <c r="S218" s="13" t="n"/>
      <c r="T218" s="14">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row>
    <row r="219" ht="15" customHeight="1">
      <c r="A219" s="11" t="n"/>
      <c r="B219" s="12">
        <f>IF(A219="","",EOMONTH(A219,0))</f>
        <v/>
      </c>
      <c r="C219" s="13" t="n"/>
      <c r="D219" s="13" t="n"/>
      <c r="E219" s="13" t="n"/>
      <c r="F219" s="14">
        <f>IF(E219="","",IF(COUNTIF(lst_Jobs,E219&amp;"")&gt;0,"OK","CHECK"))</f>
        <v/>
      </c>
      <c r="G219" s="13" t="n"/>
      <c r="H219" s="13" t="n"/>
      <c r="I219" s="13" t="n"/>
      <c r="J219" s="13" t="n"/>
      <c r="K219" s="13" t="n"/>
      <c r="L219" s="15" t="n"/>
      <c r="M219" s="16">
        <f>IF(L219="","",IF(K219="GST 10%",ROUND(L219*0.1,2),0))</f>
        <v/>
      </c>
      <c r="N219" s="16">
        <f>IF(L219="","",L219+M219)</f>
        <v/>
      </c>
      <c r="O219" s="13" t="n"/>
      <c r="P219" s="13" t="n"/>
      <c r="Q219" s="13" t="n"/>
      <c r="R219" s="13" t="n"/>
      <c r="S219" s="13" t="n"/>
      <c r="T219" s="14">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row>
    <row r="220" ht="15" customHeight="1">
      <c r="A220" s="11" t="n"/>
      <c r="B220" s="12">
        <f>IF(A220="","",EOMONTH(A220,0))</f>
        <v/>
      </c>
      <c r="C220" s="13" t="n"/>
      <c r="D220" s="13" t="n"/>
      <c r="E220" s="13" t="n"/>
      <c r="F220" s="14">
        <f>IF(E220="","",IF(COUNTIF(lst_Jobs,E220&amp;"")&gt;0,"OK","CHECK"))</f>
        <v/>
      </c>
      <c r="G220" s="13" t="n"/>
      <c r="H220" s="13" t="n"/>
      <c r="I220" s="13" t="n"/>
      <c r="J220" s="13" t="n"/>
      <c r="K220" s="13" t="n"/>
      <c r="L220" s="15" t="n"/>
      <c r="M220" s="16">
        <f>IF(L220="","",IF(K220="GST 10%",ROUND(L220*0.1,2),0))</f>
        <v/>
      </c>
      <c r="N220" s="16">
        <f>IF(L220="","",L220+M220)</f>
        <v/>
      </c>
      <c r="O220" s="13" t="n"/>
      <c r="P220" s="13" t="n"/>
      <c r="Q220" s="13" t="n"/>
      <c r="R220" s="13" t="n"/>
      <c r="S220" s="13" t="n"/>
      <c r="T220" s="14">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row>
    <row r="221" ht="15" customHeight="1">
      <c r="A221" s="11" t="n"/>
      <c r="B221" s="12">
        <f>IF(A221="","",EOMONTH(A221,0))</f>
        <v/>
      </c>
      <c r="C221" s="13" t="n"/>
      <c r="D221" s="13" t="n"/>
      <c r="E221" s="13" t="n"/>
      <c r="F221" s="14">
        <f>IF(E221="","",IF(COUNTIF(lst_Jobs,E221&amp;"")&gt;0,"OK","CHECK"))</f>
        <v/>
      </c>
      <c r="G221" s="13" t="n"/>
      <c r="H221" s="13" t="n"/>
      <c r="I221" s="13" t="n"/>
      <c r="J221" s="13" t="n"/>
      <c r="K221" s="13" t="n"/>
      <c r="L221" s="15" t="n"/>
      <c r="M221" s="16">
        <f>IF(L221="","",IF(K221="GST 10%",ROUND(L221*0.1,2),0))</f>
        <v/>
      </c>
      <c r="N221" s="16">
        <f>IF(L221="","",L221+M221)</f>
        <v/>
      </c>
      <c r="O221" s="13" t="n"/>
      <c r="P221" s="13" t="n"/>
      <c r="Q221" s="13" t="n"/>
      <c r="R221" s="13" t="n"/>
      <c r="S221" s="13" t="n"/>
      <c r="T221" s="14">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row>
    <row r="222" ht="15" customHeight="1">
      <c r="A222" s="11" t="n"/>
      <c r="B222" s="12">
        <f>IF(A222="","",EOMONTH(A222,0))</f>
        <v/>
      </c>
      <c r="C222" s="13" t="n"/>
      <c r="D222" s="13" t="n"/>
      <c r="E222" s="13" t="n"/>
      <c r="F222" s="14">
        <f>IF(E222="","",IF(COUNTIF(lst_Jobs,E222&amp;"")&gt;0,"OK","CHECK"))</f>
        <v/>
      </c>
      <c r="G222" s="13" t="n"/>
      <c r="H222" s="13" t="n"/>
      <c r="I222" s="13" t="n"/>
      <c r="J222" s="13" t="n"/>
      <c r="K222" s="13" t="n"/>
      <c r="L222" s="15" t="n"/>
      <c r="M222" s="16">
        <f>IF(L222="","",IF(K222="GST 10%",ROUND(L222*0.1,2),0))</f>
        <v/>
      </c>
      <c r="N222" s="16">
        <f>IF(L222="","",L222+M222)</f>
        <v/>
      </c>
      <c r="O222" s="13" t="n"/>
      <c r="P222" s="13" t="n"/>
      <c r="Q222" s="13" t="n"/>
      <c r="R222" s="13" t="n"/>
      <c r="S222" s="13" t="n"/>
      <c r="T222" s="14">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row>
    <row r="223" ht="15" customHeight="1">
      <c r="A223" s="11" t="n"/>
      <c r="B223" s="12">
        <f>IF(A223="","",EOMONTH(A223,0))</f>
        <v/>
      </c>
      <c r="C223" s="13" t="n"/>
      <c r="D223" s="13" t="n"/>
      <c r="E223" s="13" t="n"/>
      <c r="F223" s="14">
        <f>IF(E223="","",IF(COUNTIF(lst_Jobs,E223&amp;"")&gt;0,"OK","CHECK"))</f>
        <v/>
      </c>
      <c r="G223" s="13" t="n"/>
      <c r="H223" s="13" t="n"/>
      <c r="I223" s="13" t="n"/>
      <c r="J223" s="13" t="n"/>
      <c r="K223" s="13" t="n"/>
      <c r="L223" s="15" t="n"/>
      <c r="M223" s="16">
        <f>IF(L223="","",IF(K223="GST 10%",ROUND(L223*0.1,2),0))</f>
        <v/>
      </c>
      <c r="N223" s="16">
        <f>IF(L223="","",L223+M223)</f>
        <v/>
      </c>
      <c r="O223" s="13" t="n"/>
      <c r="P223" s="13" t="n"/>
      <c r="Q223" s="13" t="n"/>
      <c r="R223" s="13" t="n"/>
      <c r="S223" s="13" t="n"/>
      <c r="T223" s="14">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row>
    <row r="224" ht="15" customHeight="1">
      <c r="A224" s="11" t="n"/>
      <c r="B224" s="12">
        <f>IF(A224="","",EOMONTH(A224,0))</f>
        <v/>
      </c>
      <c r="C224" s="13" t="n"/>
      <c r="D224" s="13" t="n"/>
      <c r="E224" s="13" t="n"/>
      <c r="F224" s="14">
        <f>IF(E224="","",IF(COUNTIF(lst_Jobs,E224&amp;"")&gt;0,"OK","CHECK"))</f>
        <v/>
      </c>
      <c r="G224" s="13" t="n"/>
      <c r="H224" s="13" t="n"/>
      <c r="I224" s="13" t="n"/>
      <c r="J224" s="13" t="n"/>
      <c r="K224" s="13" t="n"/>
      <c r="L224" s="15" t="n"/>
      <c r="M224" s="16">
        <f>IF(L224="","",IF(K224="GST 10%",ROUND(L224*0.1,2),0))</f>
        <v/>
      </c>
      <c r="N224" s="16">
        <f>IF(L224="","",L224+M224)</f>
        <v/>
      </c>
      <c r="O224" s="13" t="n"/>
      <c r="P224" s="13" t="n"/>
      <c r="Q224" s="13" t="n"/>
      <c r="R224" s="13" t="n"/>
      <c r="S224" s="13" t="n"/>
      <c r="T224" s="14">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row>
    <row r="225" ht="15" customHeight="1">
      <c r="A225" s="11" t="n"/>
      <c r="B225" s="12">
        <f>IF(A225="","",EOMONTH(A225,0))</f>
        <v/>
      </c>
      <c r="C225" s="13" t="n"/>
      <c r="D225" s="13" t="n"/>
      <c r="E225" s="13" t="n"/>
      <c r="F225" s="14">
        <f>IF(E225="","",IF(COUNTIF(lst_Jobs,E225&amp;"")&gt;0,"OK","CHECK"))</f>
        <v/>
      </c>
      <c r="G225" s="13" t="n"/>
      <c r="H225" s="13" t="n"/>
      <c r="I225" s="13" t="n"/>
      <c r="J225" s="13" t="n"/>
      <c r="K225" s="13" t="n"/>
      <c r="L225" s="15" t="n"/>
      <c r="M225" s="16">
        <f>IF(L225="","",IF(K225="GST 10%",ROUND(L225*0.1,2),0))</f>
        <v/>
      </c>
      <c r="N225" s="16">
        <f>IF(L225="","",L225+M225)</f>
        <v/>
      </c>
      <c r="O225" s="13" t="n"/>
      <c r="P225" s="13" t="n"/>
      <c r="Q225" s="13" t="n"/>
      <c r="R225" s="13" t="n"/>
      <c r="S225" s="13" t="n"/>
      <c r="T225" s="14">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row>
    <row r="226" ht="15" customHeight="1">
      <c r="A226" s="11" t="n"/>
      <c r="B226" s="12">
        <f>IF(A226="","",EOMONTH(A226,0))</f>
        <v/>
      </c>
      <c r="C226" s="13" t="n"/>
      <c r="D226" s="13" t="n"/>
      <c r="E226" s="13" t="n"/>
      <c r="F226" s="14">
        <f>IF(E226="","",IF(COUNTIF(lst_Jobs,E226&amp;"")&gt;0,"OK","CHECK"))</f>
        <v/>
      </c>
      <c r="G226" s="13" t="n"/>
      <c r="H226" s="13" t="n"/>
      <c r="I226" s="13" t="n"/>
      <c r="J226" s="13" t="n"/>
      <c r="K226" s="13" t="n"/>
      <c r="L226" s="15" t="n"/>
      <c r="M226" s="16">
        <f>IF(L226="","",IF(K226="GST 10%",ROUND(L226*0.1,2),0))</f>
        <v/>
      </c>
      <c r="N226" s="16">
        <f>IF(L226="","",L226+M226)</f>
        <v/>
      </c>
      <c r="O226" s="13" t="n"/>
      <c r="P226" s="13" t="n"/>
      <c r="Q226" s="13" t="n"/>
      <c r="R226" s="13" t="n"/>
      <c r="S226" s="13" t="n"/>
      <c r="T226" s="14">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row>
    <row r="227" ht="15" customHeight="1">
      <c r="A227" s="11" t="n"/>
      <c r="B227" s="12">
        <f>IF(A227="","",EOMONTH(A227,0))</f>
        <v/>
      </c>
      <c r="C227" s="13" t="n"/>
      <c r="D227" s="13" t="n"/>
      <c r="E227" s="13" t="n"/>
      <c r="F227" s="14">
        <f>IF(E227="","",IF(COUNTIF(lst_Jobs,E227&amp;"")&gt;0,"OK","CHECK"))</f>
        <v/>
      </c>
      <c r="G227" s="13" t="n"/>
      <c r="H227" s="13" t="n"/>
      <c r="I227" s="13" t="n"/>
      <c r="J227" s="13" t="n"/>
      <c r="K227" s="13" t="n"/>
      <c r="L227" s="15" t="n"/>
      <c r="M227" s="16">
        <f>IF(L227="","",IF(K227="GST 10%",ROUND(L227*0.1,2),0))</f>
        <v/>
      </c>
      <c r="N227" s="16">
        <f>IF(L227="","",L227+M227)</f>
        <v/>
      </c>
      <c r="O227" s="13" t="n"/>
      <c r="P227" s="13" t="n"/>
      <c r="Q227" s="13" t="n"/>
      <c r="R227" s="13" t="n"/>
      <c r="S227" s="13" t="n"/>
      <c r="T227" s="14">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row>
    <row r="228" ht="15" customHeight="1">
      <c r="A228" s="11" t="n"/>
      <c r="B228" s="12">
        <f>IF(A228="","",EOMONTH(A228,0))</f>
        <v/>
      </c>
      <c r="C228" s="13" t="n"/>
      <c r="D228" s="13" t="n"/>
      <c r="E228" s="13" t="n"/>
      <c r="F228" s="14">
        <f>IF(E228="","",IF(COUNTIF(lst_Jobs,E228&amp;"")&gt;0,"OK","CHECK"))</f>
        <v/>
      </c>
      <c r="G228" s="13" t="n"/>
      <c r="H228" s="13" t="n"/>
      <c r="I228" s="13" t="n"/>
      <c r="J228" s="13" t="n"/>
      <c r="K228" s="13" t="n"/>
      <c r="L228" s="15" t="n"/>
      <c r="M228" s="16">
        <f>IF(L228="","",IF(K228="GST 10%",ROUND(L228*0.1,2),0))</f>
        <v/>
      </c>
      <c r="N228" s="16">
        <f>IF(L228="","",L228+M228)</f>
        <v/>
      </c>
      <c r="O228" s="13" t="n"/>
      <c r="P228" s="13" t="n"/>
      <c r="Q228" s="13" t="n"/>
      <c r="R228" s="13" t="n"/>
      <c r="S228" s="13" t="n"/>
      <c r="T228" s="14">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row>
    <row r="229" ht="15" customHeight="1">
      <c r="A229" s="11" t="n"/>
      <c r="B229" s="12">
        <f>IF(A229="","",EOMONTH(A229,0))</f>
        <v/>
      </c>
      <c r="C229" s="13" t="n"/>
      <c r="D229" s="13" t="n"/>
      <c r="E229" s="13" t="n"/>
      <c r="F229" s="14">
        <f>IF(E229="","",IF(COUNTIF(lst_Jobs,E229&amp;"")&gt;0,"OK","CHECK"))</f>
        <v/>
      </c>
      <c r="G229" s="13" t="n"/>
      <c r="H229" s="13" t="n"/>
      <c r="I229" s="13" t="n"/>
      <c r="J229" s="13" t="n"/>
      <c r="K229" s="13" t="n"/>
      <c r="L229" s="15" t="n"/>
      <c r="M229" s="16">
        <f>IF(L229="","",IF(K229="GST 10%",ROUND(L229*0.1,2),0))</f>
        <v/>
      </c>
      <c r="N229" s="16">
        <f>IF(L229="","",L229+M229)</f>
        <v/>
      </c>
      <c r="O229" s="13" t="n"/>
      <c r="P229" s="13" t="n"/>
      <c r="Q229" s="13" t="n"/>
      <c r="R229" s="13" t="n"/>
      <c r="S229" s="13" t="n"/>
      <c r="T229" s="14">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row>
    <row r="230" ht="15" customHeight="1">
      <c r="A230" s="11" t="n"/>
      <c r="B230" s="12">
        <f>IF(A230="","",EOMONTH(A230,0))</f>
        <v/>
      </c>
      <c r="C230" s="13" t="n"/>
      <c r="D230" s="13" t="n"/>
      <c r="E230" s="13" t="n"/>
      <c r="F230" s="14">
        <f>IF(E230="","",IF(COUNTIF(lst_Jobs,E230&amp;"")&gt;0,"OK","CHECK"))</f>
        <v/>
      </c>
      <c r="G230" s="13" t="n"/>
      <c r="H230" s="13" t="n"/>
      <c r="I230" s="13" t="n"/>
      <c r="J230" s="13" t="n"/>
      <c r="K230" s="13" t="n"/>
      <c r="L230" s="15" t="n"/>
      <c r="M230" s="16">
        <f>IF(L230="","",IF(K230="GST 10%",ROUND(L230*0.1,2),0))</f>
        <v/>
      </c>
      <c r="N230" s="16">
        <f>IF(L230="","",L230+M230)</f>
        <v/>
      </c>
      <c r="O230" s="13" t="n"/>
      <c r="P230" s="13" t="n"/>
      <c r="Q230" s="13" t="n"/>
      <c r="R230" s="13" t="n"/>
      <c r="S230" s="13" t="n"/>
      <c r="T230" s="14">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row>
    <row r="231" ht="15" customHeight="1">
      <c r="A231" s="11" t="n"/>
      <c r="B231" s="12">
        <f>IF(A231="","",EOMONTH(A231,0))</f>
        <v/>
      </c>
      <c r="C231" s="13" t="n"/>
      <c r="D231" s="13" t="n"/>
      <c r="E231" s="13" t="n"/>
      <c r="F231" s="14">
        <f>IF(E231="","",IF(COUNTIF(lst_Jobs,E231&amp;"")&gt;0,"OK","CHECK"))</f>
        <v/>
      </c>
      <c r="G231" s="13" t="n"/>
      <c r="H231" s="13" t="n"/>
      <c r="I231" s="13" t="n"/>
      <c r="J231" s="13" t="n"/>
      <c r="K231" s="13" t="n"/>
      <c r="L231" s="15" t="n"/>
      <c r="M231" s="16">
        <f>IF(L231="","",IF(K231="GST 10%",ROUND(L231*0.1,2),0))</f>
        <v/>
      </c>
      <c r="N231" s="16">
        <f>IF(L231="","",L231+M231)</f>
        <v/>
      </c>
      <c r="O231" s="13" t="n"/>
      <c r="P231" s="13" t="n"/>
      <c r="Q231" s="13" t="n"/>
      <c r="R231" s="13" t="n"/>
      <c r="S231" s="13" t="n"/>
      <c r="T231" s="14">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row>
    <row r="232" ht="15" customHeight="1">
      <c r="A232" s="11" t="n"/>
      <c r="B232" s="12">
        <f>IF(A232="","",EOMONTH(A232,0))</f>
        <v/>
      </c>
      <c r="C232" s="13" t="n"/>
      <c r="D232" s="13" t="n"/>
      <c r="E232" s="13" t="n"/>
      <c r="F232" s="14">
        <f>IF(E232="","",IF(COUNTIF(lst_Jobs,E232&amp;"")&gt;0,"OK","CHECK"))</f>
        <v/>
      </c>
      <c r="G232" s="13" t="n"/>
      <c r="H232" s="13" t="n"/>
      <c r="I232" s="13" t="n"/>
      <c r="J232" s="13" t="n"/>
      <c r="K232" s="13" t="n"/>
      <c r="L232" s="15" t="n"/>
      <c r="M232" s="16">
        <f>IF(L232="","",IF(K232="GST 10%",ROUND(L232*0.1,2),0))</f>
        <v/>
      </c>
      <c r="N232" s="16">
        <f>IF(L232="","",L232+M232)</f>
        <v/>
      </c>
      <c r="O232" s="13" t="n"/>
      <c r="P232" s="13" t="n"/>
      <c r="Q232" s="13" t="n"/>
      <c r="R232" s="13" t="n"/>
      <c r="S232" s="13" t="n"/>
      <c r="T232" s="14">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row>
    <row r="233" ht="15" customHeight="1">
      <c r="A233" s="11" t="n"/>
      <c r="B233" s="12">
        <f>IF(A233="","",EOMONTH(A233,0))</f>
        <v/>
      </c>
      <c r="C233" s="13" t="n"/>
      <c r="D233" s="13" t="n"/>
      <c r="E233" s="13" t="n"/>
      <c r="F233" s="14">
        <f>IF(E233="","",IF(COUNTIF(lst_Jobs,E233&amp;"")&gt;0,"OK","CHECK"))</f>
        <v/>
      </c>
      <c r="G233" s="13" t="n"/>
      <c r="H233" s="13" t="n"/>
      <c r="I233" s="13" t="n"/>
      <c r="J233" s="13" t="n"/>
      <c r="K233" s="13" t="n"/>
      <c r="L233" s="15" t="n"/>
      <c r="M233" s="16">
        <f>IF(L233="","",IF(K233="GST 10%",ROUND(L233*0.1,2),0))</f>
        <v/>
      </c>
      <c r="N233" s="16">
        <f>IF(L233="","",L233+M233)</f>
        <v/>
      </c>
      <c r="O233" s="13" t="n"/>
      <c r="P233" s="13" t="n"/>
      <c r="Q233" s="13" t="n"/>
      <c r="R233" s="13" t="n"/>
      <c r="S233" s="13" t="n"/>
      <c r="T233" s="14">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row>
    <row r="234" ht="15" customHeight="1">
      <c r="A234" s="11" t="n"/>
      <c r="B234" s="12">
        <f>IF(A234="","",EOMONTH(A234,0))</f>
        <v/>
      </c>
      <c r="C234" s="13" t="n"/>
      <c r="D234" s="13" t="n"/>
      <c r="E234" s="13" t="n"/>
      <c r="F234" s="14">
        <f>IF(E234="","",IF(COUNTIF(lst_Jobs,E234&amp;"")&gt;0,"OK","CHECK"))</f>
        <v/>
      </c>
      <c r="G234" s="13" t="n"/>
      <c r="H234" s="13" t="n"/>
      <c r="I234" s="13" t="n"/>
      <c r="J234" s="13" t="n"/>
      <c r="K234" s="13" t="n"/>
      <c r="L234" s="15" t="n"/>
      <c r="M234" s="16">
        <f>IF(L234="","",IF(K234="GST 10%",ROUND(L234*0.1,2),0))</f>
        <v/>
      </c>
      <c r="N234" s="16">
        <f>IF(L234="","",L234+M234)</f>
        <v/>
      </c>
      <c r="O234" s="13" t="n"/>
      <c r="P234" s="13" t="n"/>
      <c r="Q234" s="13" t="n"/>
      <c r="R234" s="13" t="n"/>
      <c r="S234" s="13" t="n"/>
      <c r="T234" s="14">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row>
    <row r="235" ht="15" customHeight="1">
      <c r="A235" s="11" t="n"/>
      <c r="B235" s="12">
        <f>IF(A235="","",EOMONTH(A235,0))</f>
        <v/>
      </c>
      <c r="C235" s="13" t="n"/>
      <c r="D235" s="13" t="n"/>
      <c r="E235" s="13" t="n"/>
      <c r="F235" s="14">
        <f>IF(E235="","",IF(COUNTIF(lst_Jobs,E235&amp;"")&gt;0,"OK","CHECK"))</f>
        <v/>
      </c>
      <c r="G235" s="13" t="n"/>
      <c r="H235" s="13" t="n"/>
      <c r="I235" s="13" t="n"/>
      <c r="J235" s="13" t="n"/>
      <c r="K235" s="13" t="n"/>
      <c r="L235" s="15" t="n"/>
      <c r="M235" s="16">
        <f>IF(L235="","",IF(K235="GST 10%",ROUND(L235*0.1,2),0))</f>
        <v/>
      </c>
      <c r="N235" s="16">
        <f>IF(L235="","",L235+M235)</f>
        <v/>
      </c>
      <c r="O235" s="13" t="n"/>
      <c r="P235" s="13" t="n"/>
      <c r="Q235" s="13" t="n"/>
      <c r="R235" s="13" t="n"/>
      <c r="S235" s="13" t="n"/>
      <c r="T235" s="14">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row>
    <row r="236" ht="15" customHeight="1">
      <c r="A236" s="11" t="n"/>
      <c r="B236" s="12">
        <f>IF(A236="","",EOMONTH(A236,0))</f>
        <v/>
      </c>
      <c r="C236" s="13" t="n"/>
      <c r="D236" s="13" t="n"/>
      <c r="E236" s="13" t="n"/>
      <c r="F236" s="14">
        <f>IF(E236="","",IF(COUNTIF(lst_Jobs,E236&amp;"")&gt;0,"OK","CHECK"))</f>
        <v/>
      </c>
      <c r="G236" s="13" t="n"/>
      <c r="H236" s="13" t="n"/>
      <c r="I236" s="13" t="n"/>
      <c r="J236" s="13" t="n"/>
      <c r="K236" s="13" t="n"/>
      <c r="L236" s="15" t="n"/>
      <c r="M236" s="16">
        <f>IF(L236="","",IF(K236="GST 10%",ROUND(L236*0.1,2),0))</f>
        <v/>
      </c>
      <c r="N236" s="16">
        <f>IF(L236="","",L236+M236)</f>
        <v/>
      </c>
      <c r="O236" s="13" t="n"/>
      <c r="P236" s="13" t="n"/>
      <c r="Q236" s="13" t="n"/>
      <c r="R236" s="13" t="n"/>
      <c r="S236" s="13" t="n"/>
      <c r="T236" s="14">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row>
    <row r="237" ht="15" customHeight="1">
      <c r="A237" s="11" t="n"/>
      <c r="B237" s="12">
        <f>IF(A237="","",EOMONTH(A237,0))</f>
        <v/>
      </c>
      <c r="C237" s="13" t="n"/>
      <c r="D237" s="13" t="n"/>
      <c r="E237" s="13" t="n"/>
      <c r="F237" s="14">
        <f>IF(E237="","",IF(COUNTIF(lst_Jobs,E237&amp;"")&gt;0,"OK","CHECK"))</f>
        <v/>
      </c>
      <c r="G237" s="13" t="n"/>
      <c r="H237" s="13" t="n"/>
      <c r="I237" s="13" t="n"/>
      <c r="J237" s="13" t="n"/>
      <c r="K237" s="13" t="n"/>
      <c r="L237" s="15" t="n"/>
      <c r="M237" s="16">
        <f>IF(L237="","",IF(K237="GST 10%",ROUND(L237*0.1,2),0))</f>
        <v/>
      </c>
      <c r="N237" s="16">
        <f>IF(L237="","",L237+M237)</f>
        <v/>
      </c>
      <c r="O237" s="13" t="n"/>
      <c r="P237" s="13" t="n"/>
      <c r="Q237" s="13" t="n"/>
      <c r="R237" s="13" t="n"/>
      <c r="S237" s="13" t="n"/>
      <c r="T237" s="14">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row>
    <row r="238" ht="15" customHeight="1">
      <c r="A238" s="11" t="n"/>
      <c r="B238" s="12">
        <f>IF(A238="","",EOMONTH(A238,0))</f>
        <v/>
      </c>
      <c r="C238" s="13" t="n"/>
      <c r="D238" s="13" t="n"/>
      <c r="E238" s="13" t="n"/>
      <c r="F238" s="14">
        <f>IF(E238="","",IF(COUNTIF(lst_Jobs,E238&amp;"")&gt;0,"OK","CHECK"))</f>
        <v/>
      </c>
      <c r="G238" s="13" t="n"/>
      <c r="H238" s="13" t="n"/>
      <c r="I238" s="13" t="n"/>
      <c r="J238" s="13" t="n"/>
      <c r="K238" s="13" t="n"/>
      <c r="L238" s="15" t="n"/>
      <c r="M238" s="16">
        <f>IF(L238="","",IF(K238="GST 10%",ROUND(L238*0.1,2),0))</f>
        <v/>
      </c>
      <c r="N238" s="16">
        <f>IF(L238="","",L238+M238)</f>
        <v/>
      </c>
      <c r="O238" s="13" t="n"/>
      <c r="P238" s="13" t="n"/>
      <c r="Q238" s="13" t="n"/>
      <c r="R238" s="13" t="n"/>
      <c r="S238" s="13" t="n"/>
      <c r="T238" s="14">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row>
    <row r="239" ht="15" customHeight="1">
      <c r="A239" s="11" t="n"/>
      <c r="B239" s="12">
        <f>IF(A239="","",EOMONTH(A239,0))</f>
        <v/>
      </c>
      <c r="C239" s="13" t="n"/>
      <c r="D239" s="13" t="n"/>
      <c r="E239" s="13" t="n"/>
      <c r="F239" s="14">
        <f>IF(E239="","",IF(COUNTIF(lst_Jobs,E239&amp;"")&gt;0,"OK","CHECK"))</f>
        <v/>
      </c>
      <c r="G239" s="13" t="n"/>
      <c r="H239" s="13" t="n"/>
      <c r="I239" s="13" t="n"/>
      <c r="J239" s="13" t="n"/>
      <c r="K239" s="13" t="n"/>
      <c r="L239" s="15" t="n"/>
      <c r="M239" s="16">
        <f>IF(L239="","",IF(K239="GST 10%",ROUND(L239*0.1,2),0))</f>
        <v/>
      </c>
      <c r="N239" s="16">
        <f>IF(L239="","",L239+M239)</f>
        <v/>
      </c>
      <c r="O239" s="13" t="n"/>
      <c r="P239" s="13" t="n"/>
      <c r="Q239" s="13" t="n"/>
      <c r="R239" s="13" t="n"/>
      <c r="S239" s="13" t="n"/>
      <c r="T239" s="14">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row>
    <row r="240" ht="15" customHeight="1">
      <c r="A240" s="11" t="n"/>
      <c r="B240" s="12">
        <f>IF(A240="","",EOMONTH(A240,0))</f>
        <v/>
      </c>
      <c r="C240" s="13" t="n"/>
      <c r="D240" s="13" t="n"/>
      <c r="E240" s="13" t="n"/>
      <c r="F240" s="14">
        <f>IF(E240="","",IF(COUNTIF(lst_Jobs,E240&amp;"")&gt;0,"OK","CHECK"))</f>
        <v/>
      </c>
      <c r="G240" s="13" t="n"/>
      <c r="H240" s="13" t="n"/>
      <c r="I240" s="13" t="n"/>
      <c r="J240" s="13" t="n"/>
      <c r="K240" s="13" t="n"/>
      <c r="L240" s="15" t="n"/>
      <c r="M240" s="16">
        <f>IF(L240="","",IF(K240="GST 10%",ROUND(L240*0.1,2),0))</f>
        <v/>
      </c>
      <c r="N240" s="16">
        <f>IF(L240="","",L240+M240)</f>
        <v/>
      </c>
      <c r="O240" s="13" t="n"/>
      <c r="P240" s="13" t="n"/>
      <c r="Q240" s="13" t="n"/>
      <c r="R240" s="13" t="n"/>
      <c r="S240" s="13" t="n"/>
      <c r="T240" s="14">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row>
    <row r="241" ht="15" customHeight="1">
      <c r="A241" s="11" t="n"/>
      <c r="B241" s="12">
        <f>IF(A241="","",EOMONTH(A241,0))</f>
        <v/>
      </c>
      <c r="C241" s="13" t="n"/>
      <c r="D241" s="13" t="n"/>
      <c r="E241" s="13" t="n"/>
      <c r="F241" s="14">
        <f>IF(E241="","",IF(COUNTIF(lst_Jobs,E241&amp;"")&gt;0,"OK","CHECK"))</f>
        <v/>
      </c>
      <c r="G241" s="13" t="n"/>
      <c r="H241" s="13" t="n"/>
      <c r="I241" s="13" t="n"/>
      <c r="J241" s="13" t="n"/>
      <c r="K241" s="13" t="n"/>
      <c r="L241" s="15" t="n"/>
      <c r="M241" s="16">
        <f>IF(L241="","",IF(K241="GST 10%",ROUND(L241*0.1,2),0))</f>
        <v/>
      </c>
      <c r="N241" s="16">
        <f>IF(L241="","",L241+M241)</f>
        <v/>
      </c>
      <c r="O241" s="13" t="n"/>
      <c r="P241" s="13" t="n"/>
      <c r="Q241" s="13" t="n"/>
      <c r="R241" s="13" t="n"/>
      <c r="S241" s="13" t="n"/>
      <c r="T241" s="14">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row>
    <row r="242" ht="15" customHeight="1">
      <c r="A242" s="11" t="n"/>
      <c r="B242" s="12">
        <f>IF(A242="","",EOMONTH(A242,0))</f>
        <v/>
      </c>
      <c r="C242" s="13" t="n"/>
      <c r="D242" s="13" t="n"/>
      <c r="E242" s="13" t="n"/>
      <c r="F242" s="14">
        <f>IF(E242="","",IF(COUNTIF(lst_Jobs,E242&amp;"")&gt;0,"OK","CHECK"))</f>
        <v/>
      </c>
      <c r="G242" s="13" t="n"/>
      <c r="H242" s="13" t="n"/>
      <c r="I242" s="13" t="n"/>
      <c r="J242" s="13" t="n"/>
      <c r="K242" s="13" t="n"/>
      <c r="L242" s="15" t="n"/>
      <c r="M242" s="16">
        <f>IF(L242="","",IF(K242="GST 10%",ROUND(L242*0.1,2),0))</f>
        <v/>
      </c>
      <c r="N242" s="16">
        <f>IF(L242="","",L242+M242)</f>
        <v/>
      </c>
      <c r="O242" s="13" t="n"/>
      <c r="P242" s="13" t="n"/>
      <c r="Q242" s="13" t="n"/>
      <c r="R242" s="13" t="n"/>
      <c r="S242" s="13" t="n"/>
      <c r="T242" s="14">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row>
    <row r="243" ht="15" customHeight="1">
      <c r="A243" s="11" t="n"/>
      <c r="B243" s="12">
        <f>IF(A243="","",EOMONTH(A243,0))</f>
        <v/>
      </c>
      <c r="C243" s="13" t="n"/>
      <c r="D243" s="13" t="n"/>
      <c r="E243" s="13" t="n"/>
      <c r="F243" s="14">
        <f>IF(E243="","",IF(COUNTIF(lst_Jobs,E243&amp;"")&gt;0,"OK","CHECK"))</f>
        <v/>
      </c>
      <c r="G243" s="13" t="n"/>
      <c r="H243" s="13" t="n"/>
      <c r="I243" s="13" t="n"/>
      <c r="J243" s="13" t="n"/>
      <c r="K243" s="13" t="n"/>
      <c r="L243" s="15" t="n"/>
      <c r="M243" s="16">
        <f>IF(L243="","",IF(K243="GST 10%",ROUND(L243*0.1,2),0))</f>
        <v/>
      </c>
      <c r="N243" s="16">
        <f>IF(L243="","",L243+M243)</f>
        <v/>
      </c>
      <c r="O243" s="13" t="n"/>
      <c r="P243" s="13" t="n"/>
      <c r="Q243" s="13" t="n"/>
      <c r="R243" s="13" t="n"/>
      <c r="S243" s="13" t="n"/>
      <c r="T243" s="14">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row>
    <row r="244" ht="15" customHeight="1">
      <c r="A244" s="11" t="n"/>
      <c r="B244" s="12">
        <f>IF(A244="","",EOMONTH(A244,0))</f>
        <v/>
      </c>
      <c r="C244" s="13" t="n"/>
      <c r="D244" s="13" t="n"/>
      <c r="E244" s="13" t="n"/>
      <c r="F244" s="14">
        <f>IF(E244="","",IF(COUNTIF(lst_Jobs,E244&amp;"")&gt;0,"OK","CHECK"))</f>
        <v/>
      </c>
      <c r="G244" s="13" t="n"/>
      <c r="H244" s="13" t="n"/>
      <c r="I244" s="13" t="n"/>
      <c r="J244" s="13" t="n"/>
      <c r="K244" s="13" t="n"/>
      <c r="L244" s="15" t="n"/>
      <c r="M244" s="16">
        <f>IF(L244="","",IF(K244="GST 10%",ROUND(L244*0.1,2),0))</f>
        <v/>
      </c>
      <c r="N244" s="16">
        <f>IF(L244="","",L244+M244)</f>
        <v/>
      </c>
      <c r="O244" s="13" t="n"/>
      <c r="P244" s="13" t="n"/>
      <c r="Q244" s="13" t="n"/>
      <c r="R244" s="13" t="n"/>
      <c r="S244" s="13" t="n"/>
      <c r="T244" s="14">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row>
    <row r="245" ht="15" customHeight="1">
      <c r="A245" s="11" t="n"/>
      <c r="B245" s="12">
        <f>IF(A245="","",EOMONTH(A245,0))</f>
        <v/>
      </c>
      <c r="C245" s="13" t="n"/>
      <c r="D245" s="13" t="n"/>
      <c r="E245" s="13" t="n"/>
      <c r="F245" s="14">
        <f>IF(E245="","",IF(COUNTIF(lst_Jobs,E245&amp;"")&gt;0,"OK","CHECK"))</f>
        <v/>
      </c>
      <c r="G245" s="13" t="n"/>
      <c r="H245" s="13" t="n"/>
      <c r="I245" s="13" t="n"/>
      <c r="J245" s="13" t="n"/>
      <c r="K245" s="13" t="n"/>
      <c r="L245" s="15" t="n"/>
      <c r="M245" s="16">
        <f>IF(L245="","",IF(K245="GST 10%",ROUND(L245*0.1,2),0))</f>
        <v/>
      </c>
      <c r="N245" s="16">
        <f>IF(L245="","",L245+M245)</f>
        <v/>
      </c>
      <c r="O245" s="13" t="n"/>
      <c r="P245" s="13" t="n"/>
      <c r="Q245" s="13" t="n"/>
      <c r="R245" s="13" t="n"/>
      <c r="S245" s="13" t="n"/>
      <c r="T245" s="14">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row>
    <row r="246" ht="15" customHeight="1">
      <c r="A246" s="11" t="n"/>
      <c r="B246" s="12">
        <f>IF(A246="","",EOMONTH(A246,0))</f>
        <v/>
      </c>
      <c r="C246" s="13" t="n"/>
      <c r="D246" s="13" t="n"/>
      <c r="E246" s="13" t="n"/>
      <c r="F246" s="14">
        <f>IF(E246="","",IF(COUNTIF(lst_Jobs,E246&amp;"")&gt;0,"OK","CHECK"))</f>
        <v/>
      </c>
      <c r="G246" s="13" t="n"/>
      <c r="H246" s="13" t="n"/>
      <c r="I246" s="13" t="n"/>
      <c r="J246" s="13" t="n"/>
      <c r="K246" s="13" t="n"/>
      <c r="L246" s="15" t="n"/>
      <c r="M246" s="16">
        <f>IF(L246="","",IF(K246="GST 10%",ROUND(L246*0.1,2),0))</f>
        <v/>
      </c>
      <c r="N246" s="16">
        <f>IF(L246="","",L246+M246)</f>
        <v/>
      </c>
      <c r="O246" s="13" t="n"/>
      <c r="P246" s="13" t="n"/>
      <c r="Q246" s="13" t="n"/>
      <c r="R246" s="13" t="n"/>
      <c r="S246" s="13" t="n"/>
      <c r="T246" s="14">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row>
    <row r="247" ht="15" customHeight="1">
      <c r="A247" s="11" t="n"/>
      <c r="B247" s="12">
        <f>IF(A247="","",EOMONTH(A247,0))</f>
        <v/>
      </c>
      <c r="C247" s="13" t="n"/>
      <c r="D247" s="13" t="n"/>
      <c r="E247" s="13" t="n"/>
      <c r="F247" s="14">
        <f>IF(E247="","",IF(COUNTIF(lst_Jobs,E247&amp;"")&gt;0,"OK","CHECK"))</f>
        <v/>
      </c>
      <c r="G247" s="13" t="n"/>
      <c r="H247" s="13" t="n"/>
      <c r="I247" s="13" t="n"/>
      <c r="J247" s="13" t="n"/>
      <c r="K247" s="13" t="n"/>
      <c r="L247" s="15" t="n"/>
      <c r="M247" s="16">
        <f>IF(L247="","",IF(K247="GST 10%",ROUND(L247*0.1,2),0))</f>
        <v/>
      </c>
      <c r="N247" s="16">
        <f>IF(L247="","",L247+M247)</f>
        <v/>
      </c>
      <c r="O247" s="13" t="n"/>
      <c r="P247" s="13" t="n"/>
      <c r="Q247" s="13" t="n"/>
      <c r="R247" s="13" t="n"/>
      <c r="S247" s="13" t="n"/>
      <c r="T247" s="14">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row>
    <row r="248" ht="15" customHeight="1">
      <c r="A248" s="11" t="n"/>
      <c r="B248" s="12">
        <f>IF(A248="","",EOMONTH(A248,0))</f>
        <v/>
      </c>
      <c r="C248" s="13" t="n"/>
      <c r="D248" s="13" t="n"/>
      <c r="E248" s="13" t="n"/>
      <c r="F248" s="14">
        <f>IF(E248="","",IF(COUNTIF(lst_Jobs,E248&amp;"")&gt;0,"OK","CHECK"))</f>
        <v/>
      </c>
      <c r="G248" s="13" t="n"/>
      <c r="H248" s="13" t="n"/>
      <c r="I248" s="13" t="n"/>
      <c r="J248" s="13" t="n"/>
      <c r="K248" s="13" t="n"/>
      <c r="L248" s="15" t="n"/>
      <c r="M248" s="16">
        <f>IF(L248="","",IF(K248="GST 10%",ROUND(L248*0.1,2),0))</f>
        <v/>
      </c>
      <c r="N248" s="16">
        <f>IF(L248="","",L248+M248)</f>
        <v/>
      </c>
      <c r="O248" s="13" t="n"/>
      <c r="P248" s="13" t="n"/>
      <c r="Q248" s="13" t="n"/>
      <c r="R248" s="13" t="n"/>
      <c r="S248" s="13" t="n"/>
      <c r="T248" s="14">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row>
    <row r="249" ht="15" customHeight="1">
      <c r="A249" s="11" t="n"/>
      <c r="B249" s="12">
        <f>IF(A249="","",EOMONTH(A249,0))</f>
        <v/>
      </c>
      <c r="C249" s="13" t="n"/>
      <c r="D249" s="13" t="n"/>
      <c r="E249" s="13" t="n"/>
      <c r="F249" s="14">
        <f>IF(E249="","",IF(COUNTIF(lst_Jobs,E249&amp;"")&gt;0,"OK","CHECK"))</f>
        <v/>
      </c>
      <c r="G249" s="13" t="n"/>
      <c r="H249" s="13" t="n"/>
      <c r="I249" s="13" t="n"/>
      <c r="J249" s="13" t="n"/>
      <c r="K249" s="13" t="n"/>
      <c r="L249" s="15" t="n"/>
      <c r="M249" s="16">
        <f>IF(L249="","",IF(K249="GST 10%",ROUND(L249*0.1,2),0))</f>
        <v/>
      </c>
      <c r="N249" s="16">
        <f>IF(L249="","",L249+M249)</f>
        <v/>
      </c>
      <c r="O249" s="13" t="n"/>
      <c r="P249" s="13" t="n"/>
      <c r="Q249" s="13" t="n"/>
      <c r="R249" s="13" t="n"/>
      <c r="S249" s="13" t="n"/>
      <c r="T249" s="14">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row>
    <row r="250" ht="15" customHeight="1">
      <c r="A250" s="11" t="n"/>
      <c r="B250" s="12">
        <f>IF(A250="","",EOMONTH(A250,0))</f>
        <v/>
      </c>
      <c r="C250" s="13" t="n"/>
      <c r="D250" s="13" t="n"/>
      <c r="E250" s="13" t="n"/>
      <c r="F250" s="14">
        <f>IF(E250="","",IF(COUNTIF(lst_Jobs,E250&amp;"")&gt;0,"OK","CHECK"))</f>
        <v/>
      </c>
      <c r="G250" s="13" t="n"/>
      <c r="H250" s="13" t="n"/>
      <c r="I250" s="13" t="n"/>
      <c r="J250" s="13" t="n"/>
      <c r="K250" s="13" t="n"/>
      <c r="L250" s="15" t="n"/>
      <c r="M250" s="16">
        <f>IF(L250="","",IF(K250="GST 10%",ROUND(L250*0.1,2),0))</f>
        <v/>
      </c>
      <c r="N250" s="16">
        <f>IF(L250="","",L250+M250)</f>
        <v/>
      </c>
      <c r="O250" s="13" t="n"/>
      <c r="P250" s="13" t="n"/>
      <c r="Q250" s="13" t="n"/>
      <c r="R250" s="13" t="n"/>
      <c r="S250" s="13" t="n"/>
      <c r="T250" s="14">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row>
    <row r="251" ht="15" customHeight="1">
      <c r="A251" s="11" t="n"/>
      <c r="B251" s="12">
        <f>IF(A251="","",EOMONTH(A251,0))</f>
        <v/>
      </c>
      <c r="C251" s="13" t="n"/>
      <c r="D251" s="13" t="n"/>
      <c r="E251" s="13" t="n"/>
      <c r="F251" s="14">
        <f>IF(E251="","",IF(COUNTIF(lst_Jobs,E251&amp;"")&gt;0,"OK","CHECK"))</f>
        <v/>
      </c>
      <c r="G251" s="13" t="n"/>
      <c r="H251" s="13" t="n"/>
      <c r="I251" s="13" t="n"/>
      <c r="J251" s="13" t="n"/>
      <c r="K251" s="13" t="n"/>
      <c r="L251" s="15" t="n"/>
      <c r="M251" s="16">
        <f>IF(L251="","",IF(K251="GST 10%",ROUND(L251*0.1,2),0))</f>
        <v/>
      </c>
      <c r="N251" s="16">
        <f>IF(L251="","",L251+M251)</f>
        <v/>
      </c>
      <c r="O251" s="13" t="n"/>
      <c r="P251" s="13" t="n"/>
      <c r="Q251" s="13" t="n"/>
      <c r="R251" s="13" t="n"/>
      <c r="S251" s="13" t="n"/>
      <c r="T251" s="14">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row>
    <row r="252" ht="15" customHeight="1">
      <c r="A252" s="11" t="n"/>
      <c r="B252" s="12">
        <f>IF(A252="","",EOMONTH(A252,0))</f>
        <v/>
      </c>
      <c r="C252" s="13" t="n"/>
      <c r="D252" s="13" t="n"/>
      <c r="E252" s="13" t="n"/>
      <c r="F252" s="14">
        <f>IF(E252="","",IF(COUNTIF(lst_Jobs,E252&amp;"")&gt;0,"OK","CHECK"))</f>
        <v/>
      </c>
      <c r="G252" s="13" t="n"/>
      <c r="H252" s="13" t="n"/>
      <c r="I252" s="13" t="n"/>
      <c r="J252" s="13" t="n"/>
      <c r="K252" s="13" t="n"/>
      <c r="L252" s="15" t="n"/>
      <c r="M252" s="16">
        <f>IF(L252="","",IF(K252="GST 10%",ROUND(L252*0.1,2),0))</f>
        <v/>
      </c>
      <c r="N252" s="16">
        <f>IF(L252="","",L252+M252)</f>
        <v/>
      </c>
      <c r="O252" s="13" t="n"/>
      <c r="P252" s="13" t="n"/>
      <c r="Q252" s="13" t="n"/>
      <c r="R252" s="13" t="n"/>
      <c r="S252" s="13" t="n"/>
      <c r="T252" s="14">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row>
    <row r="253" ht="15" customHeight="1">
      <c r="A253" s="11" t="n"/>
      <c r="B253" s="12">
        <f>IF(A253="","",EOMONTH(A253,0))</f>
        <v/>
      </c>
      <c r="C253" s="13" t="n"/>
      <c r="D253" s="13" t="n"/>
      <c r="E253" s="13" t="n"/>
      <c r="F253" s="14">
        <f>IF(E253="","",IF(COUNTIF(lst_Jobs,E253&amp;"")&gt;0,"OK","CHECK"))</f>
        <v/>
      </c>
      <c r="G253" s="13" t="n"/>
      <c r="H253" s="13" t="n"/>
      <c r="I253" s="13" t="n"/>
      <c r="J253" s="13" t="n"/>
      <c r="K253" s="13" t="n"/>
      <c r="L253" s="15" t="n"/>
      <c r="M253" s="16">
        <f>IF(L253="","",IF(K253="GST 10%",ROUND(L253*0.1,2),0))</f>
        <v/>
      </c>
      <c r="N253" s="16">
        <f>IF(L253="","",L253+M253)</f>
        <v/>
      </c>
      <c r="O253" s="13" t="n"/>
      <c r="P253" s="13" t="n"/>
      <c r="Q253" s="13" t="n"/>
      <c r="R253" s="13" t="n"/>
      <c r="S253" s="13" t="n"/>
      <c r="T253" s="14">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row>
    <row r="254" ht="15" customHeight="1">
      <c r="A254" s="11" t="n"/>
      <c r="B254" s="12">
        <f>IF(A254="","",EOMONTH(A254,0))</f>
        <v/>
      </c>
      <c r="C254" s="13" t="n"/>
      <c r="D254" s="13" t="n"/>
      <c r="E254" s="13" t="n"/>
      <c r="F254" s="14">
        <f>IF(E254="","",IF(COUNTIF(lst_Jobs,E254&amp;"")&gt;0,"OK","CHECK"))</f>
        <v/>
      </c>
      <c r="G254" s="13" t="n"/>
      <c r="H254" s="13" t="n"/>
      <c r="I254" s="13" t="n"/>
      <c r="J254" s="13" t="n"/>
      <c r="K254" s="13" t="n"/>
      <c r="L254" s="15" t="n"/>
      <c r="M254" s="16">
        <f>IF(L254="","",IF(K254="GST 10%",ROUND(L254*0.1,2),0))</f>
        <v/>
      </c>
      <c r="N254" s="16">
        <f>IF(L254="","",L254+M254)</f>
        <v/>
      </c>
      <c r="O254" s="13" t="n"/>
      <c r="P254" s="13" t="n"/>
      <c r="Q254" s="13" t="n"/>
      <c r="R254" s="13" t="n"/>
      <c r="S254" s="13" t="n"/>
      <c r="T254" s="14">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row>
    <row r="255" ht="15" customHeight="1">
      <c r="A255" s="11" t="n"/>
      <c r="B255" s="12">
        <f>IF(A255="","",EOMONTH(A255,0))</f>
        <v/>
      </c>
      <c r="C255" s="13" t="n"/>
      <c r="D255" s="13" t="n"/>
      <c r="E255" s="13" t="n"/>
      <c r="F255" s="14">
        <f>IF(E255="","",IF(COUNTIF(lst_Jobs,E255&amp;"")&gt;0,"OK","CHECK"))</f>
        <v/>
      </c>
      <c r="G255" s="13" t="n"/>
      <c r="H255" s="13" t="n"/>
      <c r="I255" s="13" t="n"/>
      <c r="J255" s="13" t="n"/>
      <c r="K255" s="13" t="n"/>
      <c r="L255" s="15" t="n"/>
      <c r="M255" s="16">
        <f>IF(L255="","",IF(K255="GST 10%",ROUND(L255*0.1,2),0))</f>
        <v/>
      </c>
      <c r="N255" s="16">
        <f>IF(L255="","",L255+M255)</f>
        <v/>
      </c>
      <c r="O255" s="13" t="n"/>
      <c r="P255" s="13" t="n"/>
      <c r="Q255" s="13" t="n"/>
      <c r="R255" s="13" t="n"/>
      <c r="S255" s="13" t="n"/>
      <c r="T255" s="14">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row>
    <row r="256" ht="15" customHeight="1">
      <c r="A256" s="11" t="n"/>
      <c r="B256" s="12">
        <f>IF(A256="","",EOMONTH(A256,0))</f>
        <v/>
      </c>
      <c r="C256" s="13" t="n"/>
      <c r="D256" s="13" t="n"/>
      <c r="E256" s="13" t="n"/>
      <c r="F256" s="14">
        <f>IF(E256="","",IF(COUNTIF(lst_Jobs,E256&amp;"")&gt;0,"OK","CHECK"))</f>
        <v/>
      </c>
      <c r="G256" s="13" t="n"/>
      <c r="H256" s="13" t="n"/>
      <c r="I256" s="13" t="n"/>
      <c r="J256" s="13" t="n"/>
      <c r="K256" s="13" t="n"/>
      <c r="L256" s="15" t="n"/>
      <c r="M256" s="16">
        <f>IF(L256="","",IF(K256="GST 10%",ROUND(L256*0.1,2),0))</f>
        <v/>
      </c>
      <c r="N256" s="16">
        <f>IF(L256="","",L256+M256)</f>
        <v/>
      </c>
      <c r="O256" s="13" t="n"/>
      <c r="P256" s="13" t="n"/>
      <c r="Q256" s="13" t="n"/>
      <c r="R256" s="13" t="n"/>
      <c r="S256" s="13" t="n"/>
      <c r="T256" s="14">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row>
    <row r="257" ht="15" customHeight="1">
      <c r="A257" s="11" t="n"/>
      <c r="B257" s="12">
        <f>IF(A257="","",EOMONTH(A257,0))</f>
        <v/>
      </c>
      <c r="C257" s="13" t="n"/>
      <c r="D257" s="13" t="n"/>
      <c r="E257" s="13" t="n"/>
      <c r="F257" s="14">
        <f>IF(E257="","",IF(COUNTIF(lst_Jobs,E257&amp;"")&gt;0,"OK","CHECK"))</f>
        <v/>
      </c>
      <c r="G257" s="13" t="n"/>
      <c r="H257" s="13" t="n"/>
      <c r="I257" s="13" t="n"/>
      <c r="J257" s="13" t="n"/>
      <c r="K257" s="13" t="n"/>
      <c r="L257" s="15" t="n"/>
      <c r="M257" s="16">
        <f>IF(L257="","",IF(K257="GST 10%",ROUND(L257*0.1,2),0))</f>
        <v/>
      </c>
      <c r="N257" s="16">
        <f>IF(L257="","",L257+M257)</f>
        <v/>
      </c>
      <c r="O257" s="13" t="n"/>
      <c r="P257" s="13" t="n"/>
      <c r="Q257" s="13" t="n"/>
      <c r="R257" s="13" t="n"/>
      <c r="S257" s="13" t="n"/>
      <c r="T257" s="14">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row>
    <row r="258" ht="15" customHeight="1">
      <c r="A258" s="11" t="n"/>
      <c r="B258" s="12">
        <f>IF(A258="","",EOMONTH(A258,0))</f>
        <v/>
      </c>
      <c r="C258" s="13" t="n"/>
      <c r="D258" s="13" t="n"/>
      <c r="E258" s="13" t="n"/>
      <c r="F258" s="14">
        <f>IF(E258="","",IF(COUNTIF(lst_Jobs,E258&amp;"")&gt;0,"OK","CHECK"))</f>
        <v/>
      </c>
      <c r="G258" s="13" t="n"/>
      <c r="H258" s="13" t="n"/>
      <c r="I258" s="13" t="n"/>
      <c r="J258" s="13" t="n"/>
      <c r="K258" s="13" t="n"/>
      <c r="L258" s="15" t="n"/>
      <c r="M258" s="16">
        <f>IF(L258="","",IF(K258="GST 10%",ROUND(L258*0.1,2),0))</f>
        <v/>
      </c>
      <c r="N258" s="16">
        <f>IF(L258="","",L258+M258)</f>
        <v/>
      </c>
      <c r="O258" s="13" t="n"/>
      <c r="P258" s="13" t="n"/>
      <c r="Q258" s="13" t="n"/>
      <c r="R258" s="13" t="n"/>
      <c r="S258" s="13" t="n"/>
      <c r="T258" s="14">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row>
    <row r="259" ht="15" customHeight="1">
      <c r="A259" s="11" t="n"/>
      <c r="B259" s="12">
        <f>IF(A259="","",EOMONTH(A259,0))</f>
        <v/>
      </c>
      <c r="C259" s="13" t="n"/>
      <c r="D259" s="13" t="n"/>
      <c r="E259" s="13" t="n"/>
      <c r="F259" s="14">
        <f>IF(E259="","",IF(COUNTIF(lst_Jobs,E259&amp;"")&gt;0,"OK","CHECK"))</f>
        <v/>
      </c>
      <c r="G259" s="13" t="n"/>
      <c r="H259" s="13" t="n"/>
      <c r="I259" s="13" t="n"/>
      <c r="J259" s="13" t="n"/>
      <c r="K259" s="13" t="n"/>
      <c r="L259" s="15" t="n"/>
      <c r="M259" s="16">
        <f>IF(L259="","",IF(K259="GST 10%",ROUND(L259*0.1,2),0))</f>
        <v/>
      </c>
      <c r="N259" s="16">
        <f>IF(L259="","",L259+M259)</f>
        <v/>
      </c>
      <c r="O259" s="13" t="n"/>
      <c r="P259" s="13" t="n"/>
      <c r="Q259" s="13" t="n"/>
      <c r="R259" s="13" t="n"/>
      <c r="S259" s="13" t="n"/>
      <c r="T259" s="14">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row>
    <row r="260" ht="15" customHeight="1">
      <c r="A260" s="11" t="n"/>
      <c r="B260" s="12">
        <f>IF(A260="","",EOMONTH(A260,0))</f>
        <v/>
      </c>
      <c r="C260" s="13" t="n"/>
      <c r="D260" s="13" t="n"/>
      <c r="E260" s="13" t="n"/>
      <c r="F260" s="14">
        <f>IF(E260="","",IF(COUNTIF(lst_Jobs,E260&amp;"")&gt;0,"OK","CHECK"))</f>
        <v/>
      </c>
      <c r="G260" s="13" t="n"/>
      <c r="H260" s="13" t="n"/>
      <c r="I260" s="13" t="n"/>
      <c r="J260" s="13" t="n"/>
      <c r="K260" s="13" t="n"/>
      <c r="L260" s="15" t="n"/>
      <c r="M260" s="16">
        <f>IF(L260="","",IF(K260="GST 10%",ROUND(L260*0.1,2),0))</f>
        <v/>
      </c>
      <c r="N260" s="16">
        <f>IF(L260="","",L260+M260)</f>
        <v/>
      </c>
      <c r="O260" s="13" t="n"/>
      <c r="P260" s="13" t="n"/>
      <c r="Q260" s="13" t="n"/>
      <c r="R260" s="13" t="n"/>
      <c r="S260" s="13" t="n"/>
      <c r="T260" s="14">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row>
    <row r="261" ht="15" customHeight="1">
      <c r="A261" s="11" t="n"/>
      <c r="B261" s="12">
        <f>IF(A261="","",EOMONTH(A261,0))</f>
        <v/>
      </c>
      <c r="C261" s="13" t="n"/>
      <c r="D261" s="13" t="n"/>
      <c r="E261" s="13" t="n"/>
      <c r="F261" s="14">
        <f>IF(E261="","",IF(COUNTIF(lst_Jobs,E261&amp;"")&gt;0,"OK","CHECK"))</f>
        <v/>
      </c>
      <c r="G261" s="13" t="n"/>
      <c r="H261" s="13" t="n"/>
      <c r="I261" s="13" t="n"/>
      <c r="J261" s="13" t="n"/>
      <c r="K261" s="13" t="n"/>
      <c r="L261" s="15" t="n"/>
      <c r="M261" s="16">
        <f>IF(L261="","",IF(K261="GST 10%",ROUND(L261*0.1,2),0))</f>
        <v/>
      </c>
      <c r="N261" s="16">
        <f>IF(L261="","",L261+M261)</f>
        <v/>
      </c>
      <c r="O261" s="13" t="n"/>
      <c r="P261" s="13" t="n"/>
      <c r="Q261" s="13" t="n"/>
      <c r="R261" s="13" t="n"/>
      <c r="S261" s="13" t="n"/>
      <c r="T261" s="14">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row>
    <row r="262" ht="15" customHeight="1">
      <c r="A262" s="11" t="n"/>
      <c r="B262" s="12">
        <f>IF(A262="","",EOMONTH(A262,0))</f>
        <v/>
      </c>
      <c r="C262" s="13" t="n"/>
      <c r="D262" s="13" t="n"/>
      <c r="E262" s="13" t="n"/>
      <c r="F262" s="14">
        <f>IF(E262="","",IF(COUNTIF(lst_Jobs,E262&amp;"")&gt;0,"OK","CHECK"))</f>
        <v/>
      </c>
      <c r="G262" s="13" t="n"/>
      <c r="H262" s="13" t="n"/>
      <c r="I262" s="13" t="n"/>
      <c r="J262" s="13" t="n"/>
      <c r="K262" s="13" t="n"/>
      <c r="L262" s="15" t="n"/>
      <c r="M262" s="16">
        <f>IF(L262="","",IF(K262="GST 10%",ROUND(L262*0.1,2),0))</f>
        <v/>
      </c>
      <c r="N262" s="16">
        <f>IF(L262="","",L262+M262)</f>
        <v/>
      </c>
      <c r="O262" s="13" t="n"/>
      <c r="P262" s="13" t="n"/>
      <c r="Q262" s="13" t="n"/>
      <c r="R262" s="13" t="n"/>
      <c r="S262" s="13" t="n"/>
      <c r="T262" s="14">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row>
    <row r="263" ht="15" customHeight="1">
      <c r="A263" s="11" t="n"/>
      <c r="B263" s="12">
        <f>IF(A263="","",EOMONTH(A263,0))</f>
        <v/>
      </c>
      <c r="C263" s="13" t="n"/>
      <c r="D263" s="13" t="n"/>
      <c r="E263" s="13" t="n"/>
      <c r="F263" s="14">
        <f>IF(E263="","",IF(COUNTIF(lst_Jobs,E263&amp;"")&gt;0,"OK","CHECK"))</f>
        <v/>
      </c>
      <c r="G263" s="13" t="n"/>
      <c r="H263" s="13" t="n"/>
      <c r="I263" s="13" t="n"/>
      <c r="J263" s="13" t="n"/>
      <c r="K263" s="13" t="n"/>
      <c r="L263" s="15" t="n"/>
      <c r="M263" s="16">
        <f>IF(L263="","",IF(K263="GST 10%",ROUND(L263*0.1,2),0))</f>
        <v/>
      </c>
      <c r="N263" s="16">
        <f>IF(L263="","",L263+M263)</f>
        <v/>
      </c>
      <c r="O263" s="13" t="n"/>
      <c r="P263" s="13" t="n"/>
      <c r="Q263" s="13" t="n"/>
      <c r="R263" s="13" t="n"/>
      <c r="S263" s="13" t="n"/>
      <c r="T263" s="14">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row>
    <row r="264" ht="15" customHeight="1">
      <c r="A264" s="11" t="n"/>
      <c r="B264" s="12">
        <f>IF(A264="","",EOMONTH(A264,0))</f>
        <v/>
      </c>
      <c r="C264" s="13" t="n"/>
      <c r="D264" s="13" t="n"/>
      <c r="E264" s="13" t="n"/>
      <c r="F264" s="14">
        <f>IF(E264="","",IF(COUNTIF(lst_Jobs,E264&amp;"")&gt;0,"OK","CHECK"))</f>
        <v/>
      </c>
      <c r="G264" s="13" t="n"/>
      <c r="H264" s="13" t="n"/>
      <c r="I264" s="13" t="n"/>
      <c r="J264" s="13" t="n"/>
      <c r="K264" s="13" t="n"/>
      <c r="L264" s="15" t="n"/>
      <c r="M264" s="16">
        <f>IF(L264="","",IF(K264="GST 10%",ROUND(L264*0.1,2),0))</f>
        <v/>
      </c>
      <c r="N264" s="16">
        <f>IF(L264="","",L264+M264)</f>
        <v/>
      </c>
      <c r="O264" s="13" t="n"/>
      <c r="P264" s="13" t="n"/>
      <c r="Q264" s="13" t="n"/>
      <c r="R264" s="13" t="n"/>
      <c r="S264" s="13" t="n"/>
      <c r="T264" s="14">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row>
    <row r="265" ht="15" customHeight="1">
      <c r="A265" s="11" t="n"/>
      <c r="B265" s="12">
        <f>IF(A265="","",EOMONTH(A265,0))</f>
        <v/>
      </c>
      <c r="C265" s="13" t="n"/>
      <c r="D265" s="13" t="n"/>
      <c r="E265" s="13" t="n"/>
      <c r="F265" s="14">
        <f>IF(E265="","",IF(COUNTIF(lst_Jobs,E265&amp;"")&gt;0,"OK","CHECK"))</f>
        <v/>
      </c>
      <c r="G265" s="13" t="n"/>
      <c r="H265" s="13" t="n"/>
      <c r="I265" s="13" t="n"/>
      <c r="J265" s="13" t="n"/>
      <c r="K265" s="13" t="n"/>
      <c r="L265" s="15" t="n"/>
      <c r="M265" s="16">
        <f>IF(L265="","",IF(K265="GST 10%",ROUND(L265*0.1,2),0))</f>
        <v/>
      </c>
      <c r="N265" s="16">
        <f>IF(L265="","",L265+M265)</f>
        <v/>
      </c>
      <c r="O265" s="13" t="n"/>
      <c r="P265" s="13" t="n"/>
      <c r="Q265" s="13" t="n"/>
      <c r="R265" s="13" t="n"/>
      <c r="S265" s="13" t="n"/>
      <c r="T265" s="14">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row>
    <row r="266" ht="15" customHeight="1">
      <c r="A266" s="11" t="n"/>
      <c r="B266" s="12">
        <f>IF(A266="","",EOMONTH(A266,0))</f>
        <v/>
      </c>
      <c r="C266" s="13" t="n"/>
      <c r="D266" s="13" t="n"/>
      <c r="E266" s="13" t="n"/>
      <c r="F266" s="14">
        <f>IF(E266="","",IF(COUNTIF(lst_Jobs,E266&amp;"")&gt;0,"OK","CHECK"))</f>
        <v/>
      </c>
      <c r="G266" s="13" t="n"/>
      <c r="H266" s="13" t="n"/>
      <c r="I266" s="13" t="n"/>
      <c r="J266" s="13" t="n"/>
      <c r="K266" s="13" t="n"/>
      <c r="L266" s="15" t="n"/>
      <c r="M266" s="16">
        <f>IF(L266="","",IF(K266="GST 10%",ROUND(L266*0.1,2),0))</f>
        <v/>
      </c>
      <c r="N266" s="16">
        <f>IF(L266="","",L266+M266)</f>
        <v/>
      </c>
      <c r="O266" s="13" t="n"/>
      <c r="P266" s="13" t="n"/>
      <c r="Q266" s="13" t="n"/>
      <c r="R266" s="13" t="n"/>
      <c r="S266" s="13" t="n"/>
      <c r="T266" s="14">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row>
    <row r="267" ht="15" customHeight="1">
      <c r="A267" s="11" t="n"/>
      <c r="B267" s="12">
        <f>IF(A267="","",EOMONTH(A267,0))</f>
        <v/>
      </c>
      <c r="C267" s="13" t="n"/>
      <c r="D267" s="13" t="n"/>
      <c r="E267" s="13" t="n"/>
      <c r="F267" s="14">
        <f>IF(E267="","",IF(COUNTIF(lst_Jobs,E267&amp;"")&gt;0,"OK","CHECK"))</f>
        <v/>
      </c>
      <c r="G267" s="13" t="n"/>
      <c r="H267" s="13" t="n"/>
      <c r="I267" s="13" t="n"/>
      <c r="J267" s="13" t="n"/>
      <c r="K267" s="13" t="n"/>
      <c r="L267" s="15" t="n"/>
      <c r="M267" s="16">
        <f>IF(L267="","",IF(K267="GST 10%",ROUND(L267*0.1,2),0))</f>
        <v/>
      </c>
      <c r="N267" s="16">
        <f>IF(L267="","",L267+M267)</f>
        <v/>
      </c>
      <c r="O267" s="13" t="n"/>
      <c r="P267" s="13" t="n"/>
      <c r="Q267" s="13" t="n"/>
      <c r="R267" s="13" t="n"/>
      <c r="S267" s="13" t="n"/>
      <c r="T267" s="14">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row>
    <row r="268" ht="15" customHeight="1">
      <c r="A268" s="11" t="n"/>
      <c r="B268" s="12">
        <f>IF(A268="","",EOMONTH(A268,0))</f>
        <v/>
      </c>
      <c r="C268" s="13" t="n"/>
      <c r="D268" s="13" t="n"/>
      <c r="E268" s="13" t="n"/>
      <c r="F268" s="14">
        <f>IF(E268="","",IF(COUNTIF(lst_Jobs,E268&amp;"")&gt;0,"OK","CHECK"))</f>
        <v/>
      </c>
      <c r="G268" s="13" t="n"/>
      <c r="H268" s="13" t="n"/>
      <c r="I268" s="13" t="n"/>
      <c r="J268" s="13" t="n"/>
      <c r="K268" s="13" t="n"/>
      <c r="L268" s="15" t="n"/>
      <c r="M268" s="16">
        <f>IF(L268="","",IF(K268="GST 10%",ROUND(L268*0.1,2),0))</f>
        <v/>
      </c>
      <c r="N268" s="16">
        <f>IF(L268="","",L268+M268)</f>
        <v/>
      </c>
      <c r="O268" s="13" t="n"/>
      <c r="P268" s="13" t="n"/>
      <c r="Q268" s="13" t="n"/>
      <c r="R268" s="13" t="n"/>
      <c r="S268" s="13" t="n"/>
      <c r="T268" s="14">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row>
    <row r="269" ht="15" customHeight="1">
      <c r="A269" s="11" t="n"/>
      <c r="B269" s="12">
        <f>IF(A269="","",EOMONTH(A269,0))</f>
        <v/>
      </c>
      <c r="C269" s="13" t="n"/>
      <c r="D269" s="13" t="n"/>
      <c r="E269" s="13" t="n"/>
      <c r="F269" s="14">
        <f>IF(E269="","",IF(COUNTIF(lst_Jobs,E269&amp;"")&gt;0,"OK","CHECK"))</f>
        <v/>
      </c>
      <c r="G269" s="13" t="n"/>
      <c r="H269" s="13" t="n"/>
      <c r="I269" s="13" t="n"/>
      <c r="J269" s="13" t="n"/>
      <c r="K269" s="13" t="n"/>
      <c r="L269" s="15" t="n"/>
      <c r="M269" s="16">
        <f>IF(L269="","",IF(K269="GST 10%",ROUND(L269*0.1,2),0))</f>
        <v/>
      </c>
      <c r="N269" s="16">
        <f>IF(L269="","",L269+M269)</f>
        <v/>
      </c>
      <c r="O269" s="13" t="n"/>
      <c r="P269" s="13" t="n"/>
      <c r="Q269" s="13" t="n"/>
      <c r="R269" s="13" t="n"/>
      <c r="S269" s="13" t="n"/>
      <c r="T269" s="14">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row>
    <row r="270" ht="15" customHeight="1">
      <c r="A270" s="11" t="n"/>
      <c r="B270" s="12">
        <f>IF(A270="","",EOMONTH(A270,0))</f>
        <v/>
      </c>
      <c r="C270" s="13" t="n"/>
      <c r="D270" s="13" t="n"/>
      <c r="E270" s="13" t="n"/>
      <c r="F270" s="14">
        <f>IF(E270="","",IF(COUNTIF(lst_Jobs,E270&amp;"")&gt;0,"OK","CHECK"))</f>
        <v/>
      </c>
      <c r="G270" s="13" t="n"/>
      <c r="H270" s="13" t="n"/>
      <c r="I270" s="13" t="n"/>
      <c r="J270" s="13" t="n"/>
      <c r="K270" s="13" t="n"/>
      <c r="L270" s="15" t="n"/>
      <c r="M270" s="16">
        <f>IF(L270="","",IF(K270="GST 10%",ROUND(L270*0.1,2),0))</f>
        <v/>
      </c>
      <c r="N270" s="16">
        <f>IF(L270="","",L270+M270)</f>
        <v/>
      </c>
      <c r="O270" s="13" t="n"/>
      <c r="P270" s="13" t="n"/>
      <c r="Q270" s="13" t="n"/>
      <c r="R270" s="13" t="n"/>
      <c r="S270" s="13" t="n"/>
      <c r="T270" s="14">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row>
    <row r="271" ht="15" customHeight="1">
      <c r="A271" s="11" t="n"/>
      <c r="B271" s="12">
        <f>IF(A271="","",EOMONTH(A271,0))</f>
        <v/>
      </c>
      <c r="C271" s="13" t="n"/>
      <c r="D271" s="13" t="n"/>
      <c r="E271" s="13" t="n"/>
      <c r="F271" s="14">
        <f>IF(E271="","",IF(COUNTIF(lst_Jobs,E271&amp;"")&gt;0,"OK","CHECK"))</f>
        <v/>
      </c>
      <c r="G271" s="13" t="n"/>
      <c r="H271" s="13" t="n"/>
      <c r="I271" s="13" t="n"/>
      <c r="J271" s="13" t="n"/>
      <c r="K271" s="13" t="n"/>
      <c r="L271" s="15" t="n"/>
      <c r="M271" s="16">
        <f>IF(L271="","",IF(K271="GST 10%",ROUND(L271*0.1,2),0))</f>
        <v/>
      </c>
      <c r="N271" s="16">
        <f>IF(L271="","",L271+M271)</f>
        <v/>
      </c>
      <c r="O271" s="13" t="n"/>
      <c r="P271" s="13" t="n"/>
      <c r="Q271" s="13" t="n"/>
      <c r="R271" s="13" t="n"/>
      <c r="S271" s="13" t="n"/>
      <c r="T271" s="14">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row>
    <row r="272" ht="15" customHeight="1">
      <c r="A272" s="11" t="n"/>
      <c r="B272" s="12">
        <f>IF(A272="","",EOMONTH(A272,0))</f>
        <v/>
      </c>
      <c r="C272" s="13" t="n"/>
      <c r="D272" s="13" t="n"/>
      <c r="E272" s="13" t="n"/>
      <c r="F272" s="14">
        <f>IF(E272="","",IF(COUNTIF(lst_Jobs,E272&amp;"")&gt;0,"OK","CHECK"))</f>
        <v/>
      </c>
      <c r="G272" s="13" t="n"/>
      <c r="H272" s="13" t="n"/>
      <c r="I272" s="13" t="n"/>
      <c r="J272" s="13" t="n"/>
      <c r="K272" s="13" t="n"/>
      <c r="L272" s="15" t="n"/>
      <c r="M272" s="16">
        <f>IF(L272="","",IF(K272="GST 10%",ROUND(L272*0.1,2),0))</f>
        <v/>
      </c>
      <c r="N272" s="16">
        <f>IF(L272="","",L272+M272)</f>
        <v/>
      </c>
      <c r="O272" s="13" t="n"/>
      <c r="P272" s="13" t="n"/>
      <c r="Q272" s="13" t="n"/>
      <c r="R272" s="13" t="n"/>
      <c r="S272" s="13" t="n"/>
      <c r="T272" s="14">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row>
    <row r="273" ht="15" customHeight="1">
      <c r="A273" s="11" t="n"/>
      <c r="B273" s="12">
        <f>IF(A273="","",EOMONTH(A273,0))</f>
        <v/>
      </c>
      <c r="C273" s="13" t="n"/>
      <c r="D273" s="13" t="n"/>
      <c r="E273" s="13" t="n"/>
      <c r="F273" s="14">
        <f>IF(E273="","",IF(COUNTIF(lst_Jobs,E273&amp;"")&gt;0,"OK","CHECK"))</f>
        <v/>
      </c>
      <c r="G273" s="13" t="n"/>
      <c r="H273" s="13" t="n"/>
      <c r="I273" s="13" t="n"/>
      <c r="J273" s="13" t="n"/>
      <c r="K273" s="13" t="n"/>
      <c r="L273" s="15" t="n"/>
      <c r="M273" s="16">
        <f>IF(L273="","",IF(K273="GST 10%",ROUND(L273*0.1,2),0))</f>
        <v/>
      </c>
      <c r="N273" s="16">
        <f>IF(L273="","",L273+M273)</f>
        <v/>
      </c>
      <c r="O273" s="13" t="n"/>
      <c r="P273" s="13" t="n"/>
      <c r="Q273" s="13" t="n"/>
      <c r="R273" s="13" t="n"/>
      <c r="S273" s="13" t="n"/>
      <c r="T273" s="14">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row>
    <row r="274" ht="15" customHeight="1">
      <c r="A274" s="11" t="n"/>
      <c r="B274" s="12">
        <f>IF(A274="","",EOMONTH(A274,0))</f>
        <v/>
      </c>
      <c r="C274" s="13" t="n"/>
      <c r="D274" s="13" t="n"/>
      <c r="E274" s="13" t="n"/>
      <c r="F274" s="14">
        <f>IF(E274="","",IF(COUNTIF(lst_Jobs,E274&amp;"")&gt;0,"OK","CHECK"))</f>
        <v/>
      </c>
      <c r="G274" s="13" t="n"/>
      <c r="H274" s="13" t="n"/>
      <c r="I274" s="13" t="n"/>
      <c r="J274" s="13" t="n"/>
      <c r="K274" s="13" t="n"/>
      <c r="L274" s="15" t="n"/>
      <c r="M274" s="16">
        <f>IF(L274="","",IF(K274="GST 10%",ROUND(L274*0.1,2),0))</f>
        <v/>
      </c>
      <c r="N274" s="16">
        <f>IF(L274="","",L274+M274)</f>
        <v/>
      </c>
      <c r="O274" s="13" t="n"/>
      <c r="P274" s="13" t="n"/>
      <c r="Q274" s="13" t="n"/>
      <c r="R274" s="13" t="n"/>
      <c r="S274" s="13" t="n"/>
      <c r="T274" s="14">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row>
    <row r="275" ht="15" customHeight="1">
      <c r="A275" s="11" t="n"/>
      <c r="B275" s="12">
        <f>IF(A275="","",EOMONTH(A275,0))</f>
        <v/>
      </c>
      <c r="C275" s="13" t="n"/>
      <c r="D275" s="13" t="n"/>
      <c r="E275" s="13" t="n"/>
      <c r="F275" s="14">
        <f>IF(E275="","",IF(COUNTIF(lst_Jobs,E275&amp;"")&gt;0,"OK","CHECK"))</f>
        <v/>
      </c>
      <c r="G275" s="13" t="n"/>
      <c r="H275" s="13" t="n"/>
      <c r="I275" s="13" t="n"/>
      <c r="J275" s="13" t="n"/>
      <c r="K275" s="13" t="n"/>
      <c r="L275" s="15" t="n"/>
      <c r="M275" s="16">
        <f>IF(L275="","",IF(K275="GST 10%",ROUND(L275*0.1,2),0))</f>
        <v/>
      </c>
      <c r="N275" s="16">
        <f>IF(L275="","",L275+M275)</f>
        <v/>
      </c>
      <c r="O275" s="13" t="n"/>
      <c r="P275" s="13" t="n"/>
      <c r="Q275" s="13" t="n"/>
      <c r="R275" s="13" t="n"/>
      <c r="S275" s="13" t="n"/>
      <c r="T275" s="14">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row>
    <row r="276" ht="15" customHeight="1">
      <c r="A276" s="11" t="n"/>
      <c r="B276" s="12">
        <f>IF(A276="","",EOMONTH(A276,0))</f>
        <v/>
      </c>
      <c r="C276" s="13" t="n"/>
      <c r="D276" s="13" t="n"/>
      <c r="E276" s="13" t="n"/>
      <c r="F276" s="14">
        <f>IF(E276="","",IF(COUNTIF(lst_Jobs,E276&amp;"")&gt;0,"OK","CHECK"))</f>
        <v/>
      </c>
      <c r="G276" s="13" t="n"/>
      <c r="H276" s="13" t="n"/>
      <c r="I276" s="13" t="n"/>
      <c r="J276" s="13" t="n"/>
      <c r="K276" s="13" t="n"/>
      <c r="L276" s="15" t="n"/>
      <c r="M276" s="16">
        <f>IF(L276="","",IF(K276="GST 10%",ROUND(L276*0.1,2),0))</f>
        <v/>
      </c>
      <c r="N276" s="16">
        <f>IF(L276="","",L276+M276)</f>
        <v/>
      </c>
      <c r="O276" s="13" t="n"/>
      <c r="P276" s="13" t="n"/>
      <c r="Q276" s="13" t="n"/>
      <c r="R276" s="13" t="n"/>
      <c r="S276" s="13" t="n"/>
      <c r="T276" s="14">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row>
    <row r="277" ht="15" customHeight="1">
      <c r="A277" s="11" t="n"/>
      <c r="B277" s="12">
        <f>IF(A277="","",EOMONTH(A277,0))</f>
        <v/>
      </c>
      <c r="C277" s="13" t="n"/>
      <c r="D277" s="13" t="n"/>
      <c r="E277" s="13" t="n"/>
      <c r="F277" s="14">
        <f>IF(E277="","",IF(COUNTIF(lst_Jobs,E277&amp;"")&gt;0,"OK","CHECK"))</f>
        <v/>
      </c>
      <c r="G277" s="13" t="n"/>
      <c r="H277" s="13" t="n"/>
      <c r="I277" s="13" t="n"/>
      <c r="J277" s="13" t="n"/>
      <c r="K277" s="13" t="n"/>
      <c r="L277" s="15" t="n"/>
      <c r="M277" s="16">
        <f>IF(L277="","",IF(K277="GST 10%",ROUND(L277*0.1,2),0))</f>
        <v/>
      </c>
      <c r="N277" s="16">
        <f>IF(L277="","",L277+M277)</f>
        <v/>
      </c>
      <c r="O277" s="13" t="n"/>
      <c r="P277" s="13" t="n"/>
      <c r="Q277" s="13" t="n"/>
      <c r="R277" s="13" t="n"/>
      <c r="S277" s="13" t="n"/>
      <c r="T277" s="14">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row>
    <row r="278" ht="15" customHeight="1">
      <c r="A278" s="11" t="n"/>
      <c r="B278" s="12">
        <f>IF(A278="","",EOMONTH(A278,0))</f>
        <v/>
      </c>
      <c r="C278" s="13" t="n"/>
      <c r="D278" s="13" t="n"/>
      <c r="E278" s="13" t="n"/>
      <c r="F278" s="14">
        <f>IF(E278="","",IF(COUNTIF(lst_Jobs,E278&amp;"")&gt;0,"OK","CHECK"))</f>
        <v/>
      </c>
      <c r="G278" s="13" t="n"/>
      <c r="H278" s="13" t="n"/>
      <c r="I278" s="13" t="n"/>
      <c r="J278" s="13" t="n"/>
      <c r="K278" s="13" t="n"/>
      <c r="L278" s="15" t="n"/>
      <c r="M278" s="16">
        <f>IF(L278="","",IF(K278="GST 10%",ROUND(L278*0.1,2),0))</f>
        <v/>
      </c>
      <c r="N278" s="16">
        <f>IF(L278="","",L278+M278)</f>
        <v/>
      </c>
      <c r="O278" s="13" t="n"/>
      <c r="P278" s="13" t="n"/>
      <c r="Q278" s="13" t="n"/>
      <c r="R278" s="13" t="n"/>
      <c r="S278" s="13" t="n"/>
      <c r="T278" s="14">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row>
    <row r="279" ht="15" customHeight="1">
      <c r="A279" s="11" t="n"/>
      <c r="B279" s="12">
        <f>IF(A279="","",EOMONTH(A279,0))</f>
        <v/>
      </c>
      <c r="C279" s="13" t="n"/>
      <c r="D279" s="13" t="n"/>
      <c r="E279" s="13" t="n"/>
      <c r="F279" s="14">
        <f>IF(E279="","",IF(COUNTIF(lst_Jobs,E279&amp;"")&gt;0,"OK","CHECK"))</f>
        <v/>
      </c>
      <c r="G279" s="13" t="n"/>
      <c r="H279" s="13" t="n"/>
      <c r="I279" s="13" t="n"/>
      <c r="J279" s="13" t="n"/>
      <c r="K279" s="13" t="n"/>
      <c r="L279" s="15" t="n"/>
      <c r="M279" s="16">
        <f>IF(L279="","",IF(K279="GST 10%",ROUND(L279*0.1,2),0))</f>
        <v/>
      </c>
      <c r="N279" s="16">
        <f>IF(L279="","",L279+M279)</f>
        <v/>
      </c>
      <c r="O279" s="13" t="n"/>
      <c r="P279" s="13" t="n"/>
      <c r="Q279" s="13" t="n"/>
      <c r="R279" s="13" t="n"/>
      <c r="S279" s="13" t="n"/>
      <c r="T279" s="14">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row>
    <row r="280" ht="15" customHeight="1">
      <c r="A280" s="11" t="n"/>
      <c r="B280" s="12">
        <f>IF(A280="","",EOMONTH(A280,0))</f>
        <v/>
      </c>
      <c r="C280" s="13" t="n"/>
      <c r="D280" s="13" t="n"/>
      <c r="E280" s="13" t="n"/>
      <c r="F280" s="14">
        <f>IF(E280="","",IF(COUNTIF(lst_Jobs,E280&amp;"")&gt;0,"OK","CHECK"))</f>
        <v/>
      </c>
      <c r="G280" s="13" t="n"/>
      <c r="H280" s="13" t="n"/>
      <c r="I280" s="13" t="n"/>
      <c r="J280" s="13" t="n"/>
      <c r="K280" s="13" t="n"/>
      <c r="L280" s="15" t="n"/>
      <c r="M280" s="16">
        <f>IF(L280="","",IF(K280="GST 10%",ROUND(L280*0.1,2),0))</f>
        <v/>
      </c>
      <c r="N280" s="16">
        <f>IF(L280="","",L280+M280)</f>
        <v/>
      </c>
      <c r="O280" s="13" t="n"/>
      <c r="P280" s="13" t="n"/>
      <c r="Q280" s="13" t="n"/>
      <c r="R280" s="13" t="n"/>
      <c r="S280" s="13" t="n"/>
      <c r="T280" s="14">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row>
    <row r="281" ht="15" customHeight="1">
      <c r="A281" s="11" t="n"/>
      <c r="B281" s="12">
        <f>IF(A281="","",EOMONTH(A281,0))</f>
        <v/>
      </c>
      <c r="C281" s="13" t="n"/>
      <c r="D281" s="13" t="n"/>
      <c r="E281" s="13" t="n"/>
      <c r="F281" s="14">
        <f>IF(E281="","",IF(COUNTIF(lst_Jobs,E281&amp;"")&gt;0,"OK","CHECK"))</f>
        <v/>
      </c>
      <c r="G281" s="13" t="n"/>
      <c r="H281" s="13" t="n"/>
      <c r="I281" s="13" t="n"/>
      <c r="J281" s="13" t="n"/>
      <c r="K281" s="13" t="n"/>
      <c r="L281" s="15" t="n"/>
      <c r="M281" s="16">
        <f>IF(L281="","",IF(K281="GST 10%",ROUND(L281*0.1,2),0))</f>
        <v/>
      </c>
      <c r="N281" s="16">
        <f>IF(L281="","",L281+M281)</f>
        <v/>
      </c>
      <c r="O281" s="13" t="n"/>
      <c r="P281" s="13" t="n"/>
      <c r="Q281" s="13" t="n"/>
      <c r="R281" s="13" t="n"/>
      <c r="S281" s="13" t="n"/>
      <c r="T281" s="14">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row>
    <row r="282" ht="15" customHeight="1">
      <c r="A282" s="11" t="n"/>
      <c r="B282" s="12">
        <f>IF(A282="","",EOMONTH(A282,0))</f>
        <v/>
      </c>
      <c r="C282" s="13" t="n"/>
      <c r="D282" s="13" t="n"/>
      <c r="E282" s="13" t="n"/>
      <c r="F282" s="14">
        <f>IF(E282="","",IF(COUNTIF(lst_Jobs,E282&amp;"")&gt;0,"OK","CHECK"))</f>
        <v/>
      </c>
      <c r="G282" s="13" t="n"/>
      <c r="H282" s="13" t="n"/>
      <c r="I282" s="13" t="n"/>
      <c r="J282" s="13" t="n"/>
      <c r="K282" s="13" t="n"/>
      <c r="L282" s="15" t="n"/>
      <c r="M282" s="16">
        <f>IF(L282="","",IF(K282="GST 10%",ROUND(L282*0.1,2),0))</f>
        <v/>
      </c>
      <c r="N282" s="16">
        <f>IF(L282="","",L282+M282)</f>
        <v/>
      </c>
      <c r="O282" s="13" t="n"/>
      <c r="P282" s="13" t="n"/>
      <c r="Q282" s="13" t="n"/>
      <c r="R282" s="13" t="n"/>
      <c r="S282" s="13" t="n"/>
      <c r="T282" s="14">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row>
    <row r="283" ht="15" customHeight="1">
      <c r="A283" s="11" t="n"/>
      <c r="B283" s="12">
        <f>IF(A283="","",EOMONTH(A283,0))</f>
        <v/>
      </c>
      <c r="C283" s="13" t="n"/>
      <c r="D283" s="13" t="n"/>
      <c r="E283" s="13" t="n"/>
      <c r="F283" s="14">
        <f>IF(E283="","",IF(COUNTIF(lst_Jobs,E283&amp;"")&gt;0,"OK","CHECK"))</f>
        <v/>
      </c>
      <c r="G283" s="13" t="n"/>
      <c r="H283" s="13" t="n"/>
      <c r="I283" s="13" t="n"/>
      <c r="J283" s="13" t="n"/>
      <c r="K283" s="13" t="n"/>
      <c r="L283" s="15" t="n"/>
      <c r="M283" s="16">
        <f>IF(L283="","",IF(K283="GST 10%",ROUND(L283*0.1,2),0))</f>
        <v/>
      </c>
      <c r="N283" s="16">
        <f>IF(L283="","",L283+M283)</f>
        <v/>
      </c>
      <c r="O283" s="13" t="n"/>
      <c r="P283" s="13" t="n"/>
      <c r="Q283" s="13" t="n"/>
      <c r="R283" s="13" t="n"/>
      <c r="S283" s="13" t="n"/>
      <c r="T283" s="14">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row>
    <row r="284" ht="15" customHeight="1">
      <c r="A284" s="11" t="n"/>
      <c r="B284" s="12">
        <f>IF(A284="","",EOMONTH(A284,0))</f>
        <v/>
      </c>
      <c r="C284" s="13" t="n"/>
      <c r="D284" s="13" t="n"/>
      <c r="E284" s="13" t="n"/>
      <c r="F284" s="14">
        <f>IF(E284="","",IF(COUNTIF(lst_Jobs,E284&amp;"")&gt;0,"OK","CHECK"))</f>
        <v/>
      </c>
      <c r="G284" s="13" t="n"/>
      <c r="H284" s="13" t="n"/>
      <c r="I284" s="13" t="n"/>
      <c r="J284" s="13" t="n"/>
      <c r="K284" s="13" t="n"/>
      <c r="L284" s="15" t="n"/>
      <c r="M284" s="16">
        <f>IF(L284="","",IF(K284="GST 10%",ROUND(L284*0.1,2),0))</f>
        <v/>
      </c>
      <c r="N284" s="16">
        <f>IF(L284="","",L284+M284)</f>
        <v/>
      </c>
      <c r="O284" s="13" t="n"/>
      <c r="P284" s="13" t="n"/>
      <c r="Q284" s="13" t="n"/>
      <c r="R284" s="13" t="n"/>
      <c r="S284" s="13" t="n"/>
      <c r="T284" s="14">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row>
    <row r="285" ht="15" customHeight="1">
      <c r="A285" s="11" t="n"/>
      <c r="B285" s="12">
        <f>IF(A285="","",EOMONTH(A285,0))</f>
        <v/>
      </c>
      <c r="C285" s="13" t="n"/>
      <c r="D285" s="13" t="n"/>
      <c r="E285" s="13" t="n"/>
      <c r="F285" s="14">
        <f>IF(E285="","",IF(COUNTIF(lst_Jobs,E285&amp;"")&gt;0,"OK","CHECK"))</f>
        <v/>
      </c>
      <c r="G285" s="13" t="n"/>
      <c r="H285" s="13" t="n"/>
      <c r="I285" s="13" t="n"/>
      <c r="J285" s="13" t="n"/>
      <c r="K285" s="13" t="n"/>
      <c r="L285" s="15" t="n"/>
      <c r="M285" s="16">
        <f>IF(L285="","",IF(K285="GST 10%",ROUND(L285*0.1,2),0))</f>
        <v/>
      </c>
      <c r="N285" s="16">
        <f>IF(L285="","",L285+M285)</f>
        <v/>
      </c>
      <c r="O285" s="13" t="n"/>
      <c r="P285" s="13" t="n"/>
      <c r="Q285" s="13" t="n"/>
      <c r="R285" s="13" t="n"/>
      <c r="S285" s="13" t="n"/>
      <c r="T285" s="14">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row>
    <row r="286" ht="15" customHeight="1">
      <c r="A286" s="11" t="n"/>
      <c r="B286" s="12">
        <f>IF(A286="","",EOMONTH(A286,0))</f>
        <v/>
      </c>
      <c r="C286" s="13" t="n"/>
      <c r="D286" s="13" t="n"/>
      <c r="E286" s="13" t="n"/>
      <c r="F286" s="14">
        <f>IF(E286="","",IF(COUNTIF(lst_Jobs,E286&amp;"")&gt;0,"OK","CHECK"))</f>
        <v/>
      </c>
      <c r="G286" s="13" t="n"/>
      <c r="H286" s="13" t="n"/>
      <c r="I286" s="13" t="n"/>
      <c r="J286" s="13" t="n"/>
      <c r="K286" s="13" t="n"/>
      <c r="L286" s="15" t="n"/>
      <c r="M286" s="16">
        <f>IF(L286="","",IF(K286="GST 10%",ROUND(L286*0.1,2),0))</f>
        <v/>
      </c>
      <c r="N286" s="16">
        <f>IF(L286="","",L286+M286)</f>
        <v/>
      </c>
      <c r="O286" s="13" t="n"/>
      <c r="P286" s="13" t="n"/>
      <c r="Q286" s="13" t="n"/>
      <c r="R286" s="13" t="n"/>
      <c r="S286" s="13" t="n"/>
      <c r="T286" s="14">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row>
    <row r="287" ht="15" customHeight="1">
      <c r="A287" s="11" t="n"/>
      <c r="B287" s="12">
        <f>IF(A287="","",EOMONTH(A287,0))</f>
        <v/>
      </c>
      <c r="C287" s="13" t="n"/>
      <c r="D287" s="13" t="n"/>
      <c r="E287" s="13" t="n"/>
      <c r="F287" s="14">
        <f>IF(E287="","",IF(COUNTIF(lst_Jobs,E287&amp;"")&gt;0,"OK","CHECK"))</f>
        <v/>
      </c>
      <c r="G287" s="13" t="n"/>
      <c r="H287" s="13" t="n"/>
      <c r="I287" s="13" t="n"/>
      <c r="J287" s="13" t="n"/>
      <c r="K287" s="13" t="n"/>
      <c r="L287" s="15" t="n"/>
      <c r="M287" s="16">
        <f>IF(L287="","",IF(K287="GST 10%",ROUND(L287*0.1,2),0))</f>
        <v/>
      </c>
      <c r="N287" s="16">
        <f>IF(L287="","",L287+M287)</f>
        <v/>
      </c>
      <c r="O287" s="13" t="n"/>
      <c r="P287" s="13" t="n"/>
      <c r="Q287" s="13" t="n"/>
      <c r="R287" s="13" t="n"/>
      <c r="S287" s="13" t="n"/>
      <c r="T287" s="14">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row>
    <row r="288" ht="15" customHeight="1">
      <c r="A288" s="11" t="n"/>
      <c r="B288" s="12">
        <f>IF(A288="","",EOMONTH(A288,0))</f>
        <v/>
      </c>
      <c r="C288" s="13" t="n"/>
      <c r="D288" s="13" t="n"/>
      <c r="E288" s="13" t="n"/>
      <c r="F288" s="14">
        <f>IF(E288="","",IF(COUNTIF(lst_Jobs,E288&amp;"")&gt;0,"OK","CHECK"))</f>
        <v/>
      </c>
      <c r="G288" s="13" t="n"/>
      <c r="H288" s="13" t="n"/>
      <c r="I288" s="13" t="n"/>
      <c r="J288" s="13" t="n"/>
      <c r="K288" s="13" t="n"/>
      <c r="L288" s="15" t="n"/>
      <c r="M288" s="16">
        <f>IF(L288="","",IF(K288="GST 10%",ROUND(L288*0.1,2),0))</f>
        <v/>
      </c>
      <c r="N288" s="16">
        <f>IF(L288="","",L288+M288)</f>
        <v/>
      </c>
      <c r="O288" s="13" t="n"/>
      <c r="P288" s="13" t="n"/>
      <c r="Q288" s="13" t="n"/>
      <c r="R288" s="13" t="n"/>
      <c r="S288" s="13" t="n"/>
      <c r="T288" s="14">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row>
    <row r="289" ht="15" customHeight="1">
      <c r="A289" s="11" t="n"/>
      <c r="B289" s="12">
        <f>IF(A289="","",EOMONTH(A289,0))</f>
        <v/>
      </c>
      <c r="C289" s="13" t="n"/>
      <c r="D289" s="13" t="n"/>
      <c r="E289" s="13" t="n"/>
      <c r="F289" s="14">
        <f>IF(E289="","",IF(COUNTIF(lst_Jobs,E289&amp;"")&gt;0,"OK","CHECK"))</f>
        <v/>
      </c>
      <c r="G289" s="13" t="n"/>
      <c r="H289" s="13" t="n"/>
      <c r="I289" s="13" t="n"/>
      <c r="J289" s="13" t="n"/>
      <c r="K289" s="13" t="n"/>
      <c r="L289" s="15" t="n"/>
      <c r="M289" s="16">
        <f>IF(L289="","",IF(K289="GST 10%",ROUND(L289*0.1,2),0))</f>
        <v/>
      </c>
      <c r="N289" s="16">
        <f>IF(L289="","",L289+M289)</f>
        <v/>
      </c>
      <c r="O289" s="13" t="n"/>
      <c r="P289" s="13" t="n"/>
      <c r="Q289" s="13" t="n"/>
      <c r="R289" s="13" t="n"/>
      <c r="S289" s="13" t="n"/>
      <c r="T289" s="14">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row>
    <row r="290" ht="15" customHeight="1">
      <c r="A290" s="11" t="n"/>
      <c r="B290" s="12">
        <f>IF(A290="","",EOMONTH(A290,0))</f>
        <v/>
      </c>
      <c r="C290" s="13" t="n"/>
      <c r="D290" s="13" t="n"/>
      <c r="E290" s="13" t="n"/>
      <c r="F290" s="14">
        <f>IF(E290="","",IF(COUNTIF(lst_Jobs,E290&amp;"")&gt;0,"OK","CHECK"))</f>
        <v/>
      </c>
      <c r="G290" s="13" t="n"/>
      <c r="H290" s="13" t="n"/>
      <c r="I290" s="13" t="n"/>
      <c r="J290" s="13" t="n"/>
      <c r="K290" s="13" t="n"/>
      <c r="L290" s="15" t="n"/>
      <c r="M290" s="16">
        <f>IF(L290="","",IF(K290="GST 10%",ROUND(L290*0.1,2),0))</f>
        <v/>
      </c>
      <c r="N290" s="16">
        <f>IF(L290="","",L290+M290)</f>
        <v/>
      </c>
      <c r="O290" s="13" t="n"/>
      <c r="P290" s="13" t="n"/>
      <c r="Q290" s="13" t="n"/>
      <c r="R290" s="13" t="n"/>
      <c r="S290" s="13" t="n"/>
      <c r="T290" s="14">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row>
    <row r="291" ht="15" customHeight="1">
      <c r="A291" s="11" t="n"/>
      <c r="B291" s="12">
        <f>IF(A291="","",EOMONTH(A291,0))</f>
        <v/>
      </c>
      <c r="C291" s="13" t="n"/>
      <c r="D291" s="13" t="n"/>
      <c r="E291" s="13" t="n"/>
      <c r="F291" s="14">
        <f>IF(E291="","",IF(COUNTIF(lst_Jobs,E291&amp;"")&gt;0,"OK","CHECK"))</f>
        <v/>
      </c>
      <c r="G291" s="13" t="n"/>
      <c r="H291" s="13" t="n"/>
      <c r="I291" s="13" t="n"/>
      <c r="J291" s="13" t="n"/>
      <c r="K291" s="13" t="n"/>
      <c r="L291" s="15" t="n"/>
      <c r="M291" s="16">
        <f>IF(L291="","",IF(K291="GST 10%",ROUND(L291*0.1,2),0))</f>
        <v/>
      </c>
      <c r="N291" s="16">
        <f>IF(L291="","",L291+M291)</f>
        <v/>
      </c>
      <c r="O291" s="13" t="n"/>
      <c r="P291" s="13" t="n"/>
      <c r="Q291" s="13" t="n"/>
      <c r="R291" s="13" t="n"/>
      <c r="S291" s="13" t="n"/>
      <c r="T291" s="14">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row>
    <row r="292" ht="15" customHeight="1">
      <c r="A292" s="11" t="n"/>
      <c r="B292" s="12">
        <f>IF(A292="","",EOMONTH(A292,0))</f>
        <v/>
      </c>
      <c r="C292" s="13" t="n"/>
      <c r="D292" s="13" t="n"/>
      <c r="E292" s="13" t="n"/>
      <c r="F292" s="14">
        <f>IF(E292="","",IF(COUNTIF(lst_Jobs,E292&amp;"")&gt;0,"OK","CHECK"))</f>
        <v/>
      </c>
      <c r="G292" s="13" t="n"/>
      <c r="H292" s="13" t="n"/>
      <c r="I292" s="13" t="n"/>
      <c r="J292" s="13" t="n"/>
      <c r="K292" s="13" t="n"/>
      <c r="L292" s="15" t="n"/>
      <c r="M292" s="16">
        <f>IF(L292="","",IF(K292="GST 10%",ROUND(L292*0.1,2),0))</f>
        <v/>
      </c>
      <c r="N292" s="16">
        <f>IF(L292="","",L292+M292)</f>
        <v/>
      </c>
      <c r="O292" s="13" t="n"/>
      <c r="P292" s="13" t="n"/>
      <c r="Q292" s="13" t="n"/>
      <c r="R292" s="13" t="n"/>
      <c r="S292" s="13" t="n"/>
      <c r="T292" s="14">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row>
    <row r="293" ht="15" customHeight="1">
      <c r="A293" s="11" t="n"/>
      <c r="B293" s="12">
        <f>IF(A293="","",EOMONTH(A293,0))</f>
        <v/>
      </c>
      <c r="C293" s="13" t="n"/>
      <c r="D293" s="13" t="n"/>
      <c r="E293" s="13" t="n"/>
      <c r="F293" s="14">
        <f>IF(E293="","",IF(COUNTIF(lst_Jobs,E293&amp;"")&gt;0,"OK","CHECK"))</f>
        <v/>
      </c>
      <c r="G293" s="13" t="n"/>
      <c r="H293" s="13" t="n"/>
      <c r="I293" s="13" t="n"/>
      <c r="J293" s="13" t="n"/>
      <c r="K293" s="13" t="n"/>
      <c r="L293" s="15" t="n"/>
      <c r="M293" s="16">
        <f>IF(L293="","",IF(K293="GST 10%",ROUND(L293*0.1,2),0))</f>
        <v/>
      </c>
      <c r="N293" s="16">
        <f>IF(L293="","",L293+M293)</f>
        <v/>
      </c>
      <c r="O293" s="13" t="n"/>
      <c r="P293" s="13" t="n"/>
      <c r="Q293" s="13" t="n"/>
      <c r="R293" s="13" t="n"/>
      <c r="S293" s="13" t="n"/>
      <c r="T293" s="14">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row>
    <row r="294" ht="15" customHeight="1">
      <c r="A294" s="11" t="n"/>
      <c r="B294" s="12">
        <f>IF(A294="","",EOMONTH(A294,0))</f>
        <v/>
      </c>
      <c r="C294" s="13" t="n"/>
      <c r="D294" s="13" t="n"/>
      <c r="E294" s="13" t="n"/>
      <c r="F294" s="14">
        <f>IF(E294="","",IF(COUNTIF(lst_Jobs,E294&amp;"")&gt;0,"OK","CHECK"))</f>
        <v/>
      </c>
      <c r="G294" s="13" t="n"/>
      <c r="H294" s="13" t="n"/>
      <c r="I294" s="13" t="n"/>
      <c r="J294" s="13" t="n"/>
      <c r="K294" s="13" t="n"/>
      <c r="L294" s="15" t="n"/>
      <c r="M294" s="16">
        <f>IF(L294="","",IF(K294="GST 10%",ROUND(L294*0.1,2),0))</f>
        <v/>
      </c>
      <c r="N294" s="16">
        <f>IF(L294="","",L294+M294)</f>
        <v/>
      </c>
      <c r="O294" s="13" t="n"/>
      <c r="P294" s="13" t="n"/>
      <c r="Q294" s="13" t="n"/>
      <c r="R294" s="13" t="n"/>
      <c r="S294" s="13" t="n"/>
      <c r="T294" s="14">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row>
    <row r="295" ht="15" customHeight="1">
      <c r="A295" s="11" t="n"/>
      <c r="B295" s="12">
        <f>IF(A295="","",EOMONTH(A295,0))</f>
        <v/>
      </c>
      <c r="C295" s="13" t="n"/>
      <c r="D295" s="13" t="n"/>
      <c r="E295" s="13" t="n"/>
      <c r="F295" s="14">
        <f>IF(E295="","",IF(COUNTIF(lst_Jobs,E295&amp;"")&gt;0,"OK","CHECK"))</f>
        <v/>
      </c>
      <c r="G295" s="13" t="n"/>
      <c r="H295" s="13" t="n"/>
      <c r="I295" s="13" t="n"/>
      <c r="J295" s="13" t="n"/>
      <c r="K295" s="13" t="n"/>
      <c r="L295" s="15" t="n"/>
      <c r="M295" s="16">
        <f>IF(L295="","",IF(K295="GST 10%",ROUND(L295*0.1,2),0))</f>
        <v/>
      </c>
      <c r="N295" s="16">
        <f>IF(L295="","",L295+M295)</f>
        <v/>
      </c>
      <c r="O295" s="13" t="n"/>
      <c r="P295" s="13" t="n"/>
      <c r="Q295" s="13" t="n"/>
      <c r="R295" s="13" t="n"/>
      <c r="S295" s="13" t="n"/>
      <c r="T295" s="14">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row>
    <row r="296" ht="15" customHeight="1">
      <c r="A296" s="11" t="n"/>
      <c r="B296" s="12">
        <f>IF(A296="","",EOMONTH(A296,0))</f>
        <v/>
      </c>
      <c r="C296" s="13" t="n"/>
      <c r="D296" s="13" t="n"/>
      <c r="E296" s="13" t="n"/>
      <c r="F296" s="14">
        <f>IF(E296="","",IF(COUNTIF(lst_Jobs,E296&amp;"")&gt;0,"OK","CHECK"))</f>
        <v/>
      </c>
      <c r="G296" s="13" t="n"/>
      <c r="H296" s="13" t="n"/>
      <c r="I296" s="13" t="n"/>
      <c r="J296" s="13" t="n"/>
      <c r="K296" s="13" t="n"/>
      <c r="L296" s="15" t="n"/>
      <c r="M296" s="16">
        <f>IF(L296="","",IF(K296="GST 10%",ROUND(L296*0.1,2),0))</f>
        <v/>
      </c>
      <c r="N296" s="16">
        <f>IF(L296="","",L296+M296)</f>
        <v/>
      </c>
      <c r="O296" s="13" t="n"/>
      <c r="P296" s="13" t="n"/>
      <c r="Q296" s="13" t="n"/>
      <c r="R296" s="13" t="n"/>
      <c r="S296" s="13" t="n"/>
      <c r="T296" s="14">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row>
    <row r="297" ht="15" customHeight="1">
      <c r="A297" s="11" t="n"/>
      <c r="B297" s="12">
        <f>IF(A297="","",EOMONTH(A297,0))</f>
        <v/>
      </c>
      <c r="C297" s="13" t="n"/>
      <c r="D297" s="13" t="n"/>
      <c r="E297" s="13" t="n"/>
      <c r="F297" s="14">
        <f>IF(E297="","",IF(COUNTIF(lst_Jobs,E297&amp;"")&gt;0,"OK","CHECK"))</f>
        <v/>
      </c>
      <c r="G297" s="13" t="n"/>
      <c r="H297" s="13" t="n"/>
      <c r="I297" s="13" t="n"/>
      <c r="J297" s="13" t="n"/>
      <c r="K297" s="13" t="n"/>
      <c r="L297" s="15" t="n"/>
      <c r="M297" s="16">
        <f>IF(L297="","",IF(K297="GST 10%",ROUND(L297*0.1,2),0))</f>
        <v/>
      </c>
      <c r="N297" s="16">
        <f>IF(L297="","",L297+M297)</f>
        <v/>
      </c>
      <c r="O297" s="13" t="n"/>
      <c r="P297" s="13" t="n"/>
      <c r="Q297" s="13" t="n"/>
      <c r="R297" s="13" t="n"/>
      <c r="S297" s="13" t="n"/>
      <c r="T297" s="14">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row>
    <row r="298" ht="15" customHeight="1">
      <c r="A298" s="11" t="n"/>
      <c r="B298" s="12">
        <f>IF(A298="","",EOMONTH(A298,0))</f>
        <v/>
      </c>
      <c r="C298" s="13" t="n"/>
      <c r="D298" s="13" t="n"/>
      <c r="E298" s="13" t="n"/>
      <c r="F298" s="14">
        <f>IF(E298="","",IF(COUNTIF(lst_Jobs,E298&amp;"")&gt;0,"OK","CHECK"))</f>
        <v/>
      </c>
      <c r="G298" s="13" t="n"/>
      <c r="H298" s="13" t="n"/>
      <c r="I298" s="13" t="n"/>
      <c r="J298" s="13" t="n"/>
      <c r="K298" s="13" t="n"/>
      <c r="L298" s="15" t="n"/>
      <c r="M298" s="16">
        <f>IF(L298="","",IF(K298="GST 10%",ROUND(L298*0.1,2),0))</f>
        <v/>
      </c>
      <c r="N298" s="16">
        <f>IF(L298="","",L298+M298)</f>
        <v/>
      </c>
      <c r="O298" s="13" t="n"/>
      <c r="P298" s="13" t="n"/>
      <c r="Q298" s="13" t="n"/>
      <c r="R298" s="13" t="n"/>
      <c r="S298" s="13" t="n"/>
      <c r="T298" s="14">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row>
    <row r="299" ht="15" customHeight="1">
      <c r="A299" s="11" t="n"/>
      <c r="B299" s="12">
        <f>IF(A299="","",EOMONTH(A299,0))</f>
        <v/>
      </c>
      <c r="C299" s="13" t="n"/>
      <c r="D299" s="13" t="n"/>
      <c r="E299" s="13" t="n"/>
      <c r="F299" s="14">
        <f>IF(E299="","",IF(COUNTIF(lst_Jobs,E299&amp;"")&gt;0,"OK","CHECK"))</f>
        <v/>
      </c>
      <c r="G299" s="13" t="n"/>
      <c r="H299" s="13" t="n"/>
      <c r="I299" s="13" t="n"/>
      <c r="J299" s="13" t="n"/>
      <c r="K299" s="13" t="n"/>
      <c r="L299" s="15" t="n"/>
      <c r="M299" s="16">
        <f>IF(L299="","",IF(K299="GST 10%",ROUND(L299*0.1,2),0))</f>
        <v/>
      </c>
      <c r="N299" s="16">
        <f>IF(L299="","",L299+M299)</f>
        <v/>
      </c>
      <c r="O299" s="13" t="n"/>
      <c r="P299" s="13" t="n"/>
      <c r="Q299" s="13" t="n"/>
      <c r="R299" s="13" t="n"/>
      <c r="S299" s="13" t="n"/>
      <c r="T299" s="14">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row>
    <row r="300" ht="15" customHeight="1">
      <c r="A300" s="11" t="n"/>
      <c r="B300" s="12">
        <f>IF(A300="","",EOMONTH(A300,0))</f>
        <v/>
      </c>
      <c r="C300" s="13" t="n"/>
      <c r="D300" s="13" t="n"/>
      <c r="E300" s="13" t="n"/>
      <c r="F300" s="14">
        <f>IF(E300="","",IF(COUNTIF(lst_Jobs,E300&amp;"")&gt;0,"OK","CHECK"))</f>
        <v/>
      </c>
      <c r="G300" s="13" t="n"/>
      <c r="H300" s="13" t="n"/>
      <c r="I300" s="13" t="n"/>
      <c r="J300" s="13" t="n"/>
      <c r="K300" s="13" t="n"/>
      <c r="L300" s="15" t="n"/>
      <c r="M300" s="16">
        <f>IF(L300="","",IF(K300="GST 10%",ROUND(L300*0.1,2),0))</f>
        <v/>
      </c>
      <c r="N300" s="16">
        <f>IF(L300="","",L300+M300)</f>
        <v/>
      </c>
      <c r="O300" s="13" t="n"/>
      <c r="P300" s="13" t="n"/>
      <c r="Q300" s="13" t="n"/>
      <c r="R300" s="13" t="n"/>
      <c r="S300" s="13" t="n"/>
      <c r="T300" s="14">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row>
    <row r="301" ht="15" customHeight="1">
      <c r="A301" s="11" t="n"/>
      <c r="B301" s="12">
        <f>IF(A301="","",EOMONTH(A301,0))</f>
        <v/>
      </c>
      <c r="C301" s="13" t="n"/>
      <c r="D301" s="13" t="n"/>
      <c r="E301" s="13" t="n"/>
      <c r="F301" s="14">
        <f>IF(E301="","",IF(COUNTIF(lst_Jobs,E301&amp;"")&gt;0,"OK","CHECK"))</f>
        <v/>
      </c>
      <c r="G301" s="13" t="n"/>
      <c r="H301" s="13" t="n"/>
      <c r="I301" s="13" t="n"/>
      <c r="J301" s="13" t="n"/>
      <c r="K301" s="13" t="n"/>
      <c r="L301" s="15" t="n"/>
      <c r="M301" s="16">
        <f>IF(L301="","",IF(K301="GST 10%",ROUND(L301*0.1,2),0))</f>
        <v/>
      </c>
      <c r="N301" s="16">
        <f>IF(L301="","",L301+M301)</f>
        <v/>
      </c>
      <c r="O301" s="13" t="n"/>
      <c r="P301" s="13" t="n"/>
      <c r="Q301" s="13" t="n"/>
      <c r="R301" s="13" t="n"/>
      <c r="S301" s="13" t="n"/>
      <c r="T301" s="14">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row>
    <row r="302" ht="15" customHeight="1">
      <c r="A302" s="11" t="n"/>
      <c r="B302" s="12">
        <f>IF(A302="","",EOMONTH(A302,0))</f>
        <v/>
      </c>
      <c r="C302" s="13" t="n"/>
      <c r="D302" s="13" t="n"/>
      <c r="E302" s="13" t="n"/>
      <c r="F302" s="14">
        <f>IF(E302="","",IF(COUNTIF(lst_Jobs,E302&amp;"")&gt;0,"OK","CHECK"))</f>
        <v/>
      </c>
      <c r="G302" s="13" t="n"/>
      <c r="H302" s="13" t="n"/>
      <c r="I302" s="13" t="n"/>
      <c r="J302" s="13" t="n"/>
      <c r="K302" s="13" t="n"/>
      <c r="L302" s="15" t="n"/>
      <c r="M302" s="16">
        <f>IF(L302="","",IF(K302="GST 10%",ROUND(L302*0.1,2),0))</f>
        <v/>
      </c>
      <c r="N302" s="16">
        <f>IF(L302="","",L302+M302)</f>
        <v/>
      </c>
      <c r="O302" s="13" t="n"/>
      <c r="P302" s="13" t="n"/>
      <c r="Q302" s="13" t="n"/>
      <c r="R302" s="13" t="n"/>
      <c r="S302" s="13" t="n"/>
      <c r="T302" s="14">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row>
    <row r="303" ht="15" customHeight="1">
      <c r="A303" s="11" t="n"/>
      <c r="B303" s="12">
        <f>IF(A303="","",EOMONTH(A303,0))</f>
        <v/>
      </c>
      <c r="C303" s="13" t="n"/>
      <c r="D303" s="13" t="n"/>
      <c r="E303" s="13" t="n"/>
      <c r="F303" s="14">
        <f>IF(E303="","",IF(COUNTIF(lst_Jobs,E303&amp;"")&gt;0,"OK","CHECK"))</f>
        <v/>
      </c>
      <c r="G303" s="13" t="n"/>
      <c r="H303" s="13" t="n"/>
      <c r="I303" s="13" t="n"/>
      <c r="J303" s="13" t="n"/>
      <c r="K303" s="13" t="n"/>
      <c r="L303" s="15" t="n"/>
      <c r="M303" s="16">
        <f>IF(L303="","",IF(K303="GST 10%",ROUND(L303*0.1,2),0))</f>
        <v/>
      </c>
      <c r="N303" s="16">
        <f>IF(L303="","",L303+M303)</f>
        <v/>
      </c>
      <c r="O303" s="13" t="n"/>
      <c r="P303" s="13" t="n"/>
      <c r="Q303" s="13" t="n"/>
      <c r="R303" s="13" t="n"/>
      <c r="S303" s="13" t="n"/>
      <c r="T303" s="14">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row>
    <row r="304" ht="15" customHeight="1">
      <c r="A304" s="11" t="n"/>
      <c r="B304" s="12">
        <f>IF(A304="","",EOMONTH(A304,0))</f>
        <v/>
      </c>
      <c r="C304" s="13" t="n"/>
      <c r="D304" s="13" t="n"/>
      <c r="E304" s="13" t="n"/>
      <c r="F304" s="14">
        <f>IF(E304="","",IF(COUNTIF(lst_Jobs,E304&amp;"")&gt;0,"OK","CHECK"))</f>
        <v/>
      </c>
      <c r="G304" s="13" t="n"/>
      <c r="H304" s="13" t="n"/>
      <c r="I304" s="13" t="n"/>
      <c r="J304" s="13" t="n"/>
      <c r="K304" s="13" t="n"/>
      <c r="L304" s="15" t="n"/>
      <c r="M304" s="16">
        <f>IF(L304="","",IF(K304="GST 10%",ROUND(L304*0.1,2),0))</f>
        <v/>
      </c>
      <c r="N304" s="16">
        <f>IF(L304="","",L304+M304)</f>
        <v/>
      </c>
      <c r="O304" s="13" t="n"/>
      <c r="P304" s="13" t="n"/>
      <c r="Q304" s="13" t="n"/>
      <c r="R304" s="13" t="n"/>
      <c r="S304" s="13" t="n"/>
      <c r="T304" s="14">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row>
    <row r="305" ht="15" customHeight="1">
      <c r="A305" s="11" t="n"/>
      <c r="B305" s="12">
        <f>IF(A305="","",EOMONTH(A305,0))</f>
        <v/>
      </c>
      <c r="C305" s="13" t="n"/>
      <c r="D305" s="13" t="n"/>
      <c r="E305" s="13" t="n"/>
      <c r="F305" s="14">
        <f>IF(E305="","",IF(COUNTIF(lst_Jobs,E305&amp;"")&gt;0,"OK","CHECK"))</f>
        <v/>
      </c>
      <c r="G305" s="13" t="n"/>
      <c r="H305" s="13" t="n"/>
      <c r="I305" s="13" t="n"/>
      <c r="J305" s="13" t="n"/>
      <c r="K305" s="13" t="n"/>
      <c r="L305" s="15" t="n"/>
      <c r="M305" s="16">
        <f>IF(L305="","",IF(K305="GST 10%",ROUND(L305*0.1,2),0))</f>
        <v/>
      </c>
      <c r="N305" s="16">
        <f>IF(L305="","",L305+M305)</f>
        <v/>
      </c>
      <c r="O305" s="13" t="n"/>
      <c r="P305" s="13" t="n"/>
      <c r="Q305" s="13" t="n"/>
      <c r="R305" s="13" t="n"/>
      <c r="S305" s="13" t="n"/>
      <c r="T305" s="14">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row>
    <row r="306" ht="15" customHeight="1">
      <c r="A306" s="11" t="n"/>
      <c r="B306" s="12">
        <f>IF(A306="","",EOMONTH(A306,0))</f>
        <v/>
      </c>
      <c r="C306" s="13" t="n"/>
      <c r="D306" s="13" t="n"/>
      <c r="E306" s="13" t="n"/>
      <c r="F306" s="14">
        <f>IF(E306="","",IF(COUNTIF(lst_Jobs,E306&amp;"")&gt;0,"OK","CHECK"))</f>
        <v/>
      </c>
      <c r="G306" s="13" t="n"/>
      <c r="H306" s="13" t="n"/>
      <c r="I306" s="13" t="n"/>
      <c r="J306" s="13" t="n"/>
      <c r="K306" s="13" t="n"/>
      <c r="L306" s="15" t="n"/>
      <c r="M306" s="16">
        <f>IF(L306="","",IF(K306="GST 10%",ROUND(L306*0.1,2),0))</f>
        <v/>
      </c>
      <c r="N306" s="16">
        <f>IF(L306="","",L306+M306)</f>
        <v/>
      </c>
      <c r="O306" s="13" t="n"/>
      <c r="P306" s="13" t="n"/>
      <c r="Q306" s="13" t="n"/>
      <c r="R306" s="13" t="n"/>
      <c r="S306" s="13" t="n"/>
      <c r="T306" s="14">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row>
    <row r="307" ht="15" customHeight="1">
      <c r="A307" s="11" t="n"/>
      <c r="B307" s="12">
        <f>IF(A307="","",EOMONTH(A307,0))</f>
        <v/>
      </c>
      <c r="C307" s="13" t="n"/>
      <c r="D307" s="13" t="n"/>
      <c r="E307" s="13" t="n"/>
      <c r="F307" s="14">
        <f>IF(E307="","",IF(COUNTIF(lst_Jobs,E307&amp;"")&gt;0,"OK","CHECK"))</f>
        <v/>
      </c>
      <c r="G307" s="13" t="n"/>
      <c r="H307" s="13" t="n"/>
      <c r="I307" s="13" t="n"/>
      <c r="J307" s="13" t="n"/>
      <c r="K307" s="13" t="n"/>
      <c r="L307" s="15" t="n"/>
      <c r="M307" s="16">
        <f>IF(L307="","",IF(K307="GST 10%",ROUND(L307*0.1,2),0))</f>
        <v/>
      </c>
      <c r="N307" s="16">
        <f>IF(L307="","",L307+M307)</f>
        <v/>
      </c>
      <c r="O307" s="13" t="n"/>
      <c r="P307" s="13" t="n"/>
      <c r="Q307" s="13" t="n"/>
      <c r="R307" s="13" t="n"/>
      <c r="S307" s="13" t="n"/>
      <c r="T307" s="14">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row>
    <row r="308" ht="15" customHeight="1">
      <c r="A308" s="11" t="n"/>
      <c r="B308" s="12">
        <f>IF(A308="","",EOMONTH(A308,0))</f>
        <v/>
      </c>
      <c r="C308" s="13" t="n"/>
      <c r="D308" s="13" t="n"/>
      <c r="E308" s="13" t="n"/>
      <c r="F308" s="14">
        <f>IF(E308="","",IF(COUNTIF(lst_Jobs,E308&amp;"")&gt;0,"OK","CHECK"))</f>
        <v/>
      </c>
      <c r="G308" s="13" t="n"/>
      <c r="H308" s="13" t="n"/>
      <c r="I308" s="13" t="n"/>
      <c r="J308" s="13" t="n"/>
      <c r="K308" s="13" t="n"/>
      <c r="L308" s="15" t="n"/>
      <c r="M308" s="16">
        <f>IF(L308="","",IF(K308="GST 10%",ROUND(L308*0.1,2),0))</f>
        <v/>
      </c>
      <c r="N308" s="16">
        <f>IF(L308="","",L308+M308)</f>
        <v/>
      </c>
      <c r="O308" s="13" t="n"/>
      <c r="P308" s="13" t="n"/>
      <c r="Q308" s="13" t="n"/>
      <c r="R308" s="13" t="n"/>
      <c r="S308" s="13" t="n"/>
      <c r="T308" s="14">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row>
    <row r="309" ht="15" customHeight="1">
      <c r="A309" s="11" t="n"/>
      <c r="B309" s="12">
        <f>IF(A309="","",EOMONTH(A309,0))</f>
        <v/>
      </c>
      <c r="C309" s="13" t="n"/>
      <c r="D309" s="13" t="n"/>
      <c r="E309" s="13" t="n"/>
      <c r="F309" s="14">
        <f>IF(E309="","",IF(COUNTIF(lst_Jobs,E309&amp;"")&gt;0,"OK","CHECK"))</f>
        <v/>
      </c>
      <c r="G309" s="13" t="n"/>
      <c r="H309" s="13" t="n"/>
      <c r="I309" s="13" t="n"/>
      <c r="J309" s="13" t="n"/>
      <c r="K309" s="13" t="n"/>
      <c r="L309" s="15" t="n"/>
      <c r="M309" s="16">
        <f>IF(L309="","",IF(K309="GST 10%",ROUND(L309*0.1,2),0))</f>
        <v/>
      </c>
      <c r="N309" s="16">
        <f>IF(L309="","",L309+M309)</f>
        <v/>
      </c>
      <c r="O309" s="13" t="n"/>
      <c r="P309" s="13" t="n"/>
      <c r="Q309" s="13" t="n"/>
      <c r="R309" s="13" t="n"/>
      <c r="S309" s="13" t="n"/>
      <c r="T309" s="14">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row>
    <row r="310" ht="15" customHeight="1">
      <c r="A310" s="11" t="n"/>
      <c r="B310" s="12">
        <f>IF(A310="","",EOMONTH(A310,0))</f>
        <v/>
      </c>
      <c r="C310" s="13" t="n"/>
      <c r="D310" s="13" t="n"/>
      <c r="E310" s="13" t="n"/>
      <c r="F310" s="14">
        <f>IF(E310="","",IF(COUNTIF(lst_Jobs,E310&amp;"")&gt;0,"OK","CHECK"))</f>
        <v/>
      </c>
      <c r="G310" s="13" t="n"/>
      <c r="H310" s="13" t="n"/>
      <c r="I310" s="13" t="n"/>
      <c r="J310" s="13" t="n"/>
      <c r="K310" s="13" t="n"/>
      <c r="L310" s="15" t="n"/>
      <c r="M310" s="16">
        <f>IF(L310="","",IF(K310="GST 10%",ROUND(L310*0.1,2),0))</f>
        <v/>
      </c>
      <c r="N310" s="16">
        <f>IF(L310="","",L310+M310)</f>
        <v/>
      </c>
      <c r="O310" s="13" t="n"/>
      <c r="P310" s="13" t="n"/>
      <c r="Q310" s="13" t="n"/>
      <c r="R310" s="13" t="n"/>
      <c r="S310" s="13" t="n"/>
      <c r="T310" s="14">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row>
    <row r="311" ht="15" customHeight="1">
      <c r="A311" s="11" t="n"/>
      <c r="B311" s="12">
        <f>IF(A311="","",EOMONTH(A311,0))</f>
        <v/>
      </c>
      <c r="C311" s="13" t="n"/>
      <c r="D311" s="13" t="n"/>
      <c r="E311" s="13" t="n"/>
      <c r="F311" s="14">
        <f>IF(E311="","",IF(COUNTIF(lst_Jobs,E311&amp;"")&gt;0,"OK","CHECK"))</f>
        <v/>
      </c>
      <c r="G311" s="13" t="n"/>
      <c r="H311" s="13" t="n"/>
      <c r="I311" s="13" t="n"/>
      <c r="J311" s="13" t="n"/>
      <c r="K311" s="13" t="n"/>
      <c r="L311" s="15" t="n"/>
      <c r="M311" s="16">
        <f>IF(L311="","",IF(K311="GST 10%",ROUND(L311*0.1,2),0))</f>
        <v/>
      </c>
      <c r="N311" s="16">
        <f>IF(L311="","",L311+M311)</f>
        <v/>
      </c>
      <c r="O311" s="13" t="n"/>
      <c r="P311" s="13" t="n"/>
      <c r="Q311" s="13" t="n"/>
      <c r="R311" s="13" t="n"/>
      <c r="S311" s="13" t="n"/>
      <c r="T311" s="14">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row>
    <row r="312" ht="15" customHeight="1">
      <c r="A312" s="11" t="n"/>
      <c r="B312" s="12">
        <f>IF(A312="","",EOMONTH(A312,0))</f>
        <v/>
      </c>
      <c r="C312" s="13" t="n"/>
      <c r="D312" s="13" t="n"/>
      <c r="E312" s="13" t="n"/>
      <c r="F312" s="14">
        <f>IF(E312="","",IF(COUNTIF(lst_Jobs,E312&amp;"")&gt;0,"OK","CHECK"))</f>
        <v/>
      </c>
      <c r="G312" s="13" t="n"/>
      <c r="H312" s="13" t="n"/>
      <c r="I312" s="13" t="n"/>
      <c r="J312" s="13" t="n"/>
      <c r="K312" s="13" t="n"/>
      <c r="L312" s="15" t="n"/>
      <c r="M312" s="16">
        <f>IF(L312="","",IF(K312="GST 10%",ROUND(L312*0.1,2),0))</f>
        <v/>
      </c>
      <c r="N312" s="16">
        <f>IF(L312="","",L312+M312)</f>
        <v/>
      </c>
      <c r="O312" s="13" t="n"/>
      <c r="P312" s="13" t="n"/>
      <c r="Q312" s="13" t="n"/>
      <c r="R312" s="13" t="n"/>
      <c r="S312" s="13" t="n"/>
      <c r="T312" s="14">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row>
    <row r="313" ht="15" customHeight="1">
      <c r="A313" s="11" t="n"/>
      <c r="B313" s="12">
        <f>IF(A313="","",EOMONTH(A313,0))</f>
        <v/>
      </c>
      <c r="C313" s="13" t="n"/>
      <c r="D313" s="13" t="n"/>
      <c r="E313" s="13" t="n"/>
      <c r="F313" s="14">
        <f>IF(E313="","",IF(COUNTIF(lst_Jobs,E313&amp;"")&gt;0,"OK","CHECK"))</f>
        <v/>
      </c>
      <c r="G313" s="13" t="n"/>
      <c r="H313" s="13" t="n"/>
      <c r="I313" s="13" t="n"/>
      <c r="J313" s="13" t="n"/>
      <c r="K313" s="13" t="n"/>
      <c r="L313" s="15" t="n"/>
      <c r="M313" s="16">
        <f>IF(L313="","",IF(K313="GST 10%",ROUND(L313*0.1,2),0))</f>
        <v/>
      </c>
      <c r="N313" s="16">
        <f>IF(L313="","",L313+M313)</f>
        <v/>
      </c>
      <c r="O313" s="13" t="n"/>
      <c r="P313" s="13" t="n"/>
      <c r="Q313" s="13" t="n"/>
      <c r="R313" s="13" t="n"/>
      <c r="S313" s="13" t="n"/>
      <c r="T313" s="14">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row>
    <row r="314" ht="15" customHeight="1">
      <c r="A314" s="11" t="n"/>
      <c r="B314" s="12">
        <f>IF(A314="","",EOMONTH(A314,0))</f>
        <v/>
      </c>
      <c r="C314" s="13" t="n"/>
      <c r="D314" s="13" t="n"/>
      <c r="E314" s="13" t="n"/>
      <c r="F314" s="14">
        <f>IF(E314="","",IF(COUNTIF(lst_Jobs,E314&amp;"")&gt;0,"OK","CHECK"))</f>
        <v/>
      </c>
      <c r="G314" s="13" t="n"/>
      <c r="H314" s="13" t="n"/>
      <c r="I314" s="13" t="n"/>
      <c r="J314" s="13" t="n"/>
      <c r="K314" s="13" t="n"/>
      <c r="L314" s="15" t="n"/>
      <c r="M314" s="16">
        <f>IF(L314="","",IF(K314="GST 10%",ROUND(L314*0.1,2),0))</f>
        <v/>
      </c>
      <c r="N314" s="16">
        <f>IF(L314="","",L314+M314)</f>
        <v/>
      </c>
      <c r="O314" s="13" t="n"/>
      <c r="P314" s="13" t="n"/>
      <c r="Q314" s="13" t="n"/>
      <c r="R314" s="13" t="n"/>
      <c r="S314" s="13" t="n"/>
      <c r="T314" s="14">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row>
    <row r="315" ht="15" customHeight="1">
      <c r="A315" s="11" t="n"/>
      <c r="B315" s="12">
        <f>IF(A315="","",EOMONTH(A315,0))</f>
        <v/>
      </c>
      <c r="C315" s="13" t="n"/>
      <c r="D315" s="13" t="n"/>
      <c r="E315" s="13" t="n"/>
      <c r="F315" s="14">
        <f>IF(E315="","",IF(COUNTIF(lst_Jobs,E315&amp;"")&gt;0,"OK","CHECK"))</f>
        <v/>
      </c>
      <c r="G315" s="13" t="n"/>
      <c r="H315" s="13" t="n"/>
      <c r="I315" s="13" t="n"/>
      <c r="J315" s="13" t="n"/>
      <c r="K315" s="13" t="n"/>
      <c r="L315" s="15" t="n"/>
      <c r="M315" s="16">
        <f>IF(L315="","",IF(K315="GST 10%",ROUND(L315*0.1,2),0))</f>
        <v/>
      </c>
      <c r="N315" s="16">
        <f>IF(L315="","",L315+M315)</f>
        <v/>
      </c>
      <c r="O315" s="13" t="n"/>
      <c r="P315" s="13" t="n"/>
      <c r="Q315" s="13" t="n"/>
      <c r="R315" s="13" t="n"/>
      <c r="S315" s="13" t="n"/>
      <c r="T315" s="14">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row>
    <row r="316" ht="15" customHeight="1">
      <c r="A316" s="11" t="n"/>
      <c r="B316" s="12">
        <f>IF(A316="","",EOMONTH(A316,0))</f>
        <v/>
      </c>
      <c r="C316" s="13" t="n"/>
      <c r="D316" s="13" t="n"/>
      <c r="E316" s="13" t="n"/>
      <c r="F316" s="14">
        <f>IF(E316="","",IF(COUNTIF(lst_Jobs,E316&amp;"")&gt;0,"OK","CHECK"))</f>
        <v/>
      </c>
      <c r="G316" s="13" t="n"/>
      <c r="H316" s="13" t="n"/>
      <c r="I316" s="13" t="n"/>
      <c r="J316" s="13" t="n"/>
      <c r="K316" s="13" t="n"/>
      <c r="L316" s="15" t="n"/>
      <c r="M316" s="16">
        <f>IF(L316="","",IF(K316="GST 10%",ROUND(L316*0.1,2),0))</f>
        <v/>
      </c>
      <c r="N316" s="16">
        <f>IF(L316="","",L316+M316)</f>
        <v/>
      </c>
      <c r="O316" s="13" t="n"/>
      <c r="P316" s="13" t="n"/>
      <c r="Q316" s="13" t="n"/>
      <c r="R316" s="13" t="n"/>
      <c r="S316" s="13" t="n"/>
      <c r="T316" s="14">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row>
    <row r="317" ht="15" customHeight="1">
      <c r="A317" s="11" t="n"/>
      <c r="B317" s="12">
        <f>IF(A317="","",EOMONTH(A317,0))</f>
        <v/>
      </c>
      <c r="C317" s="13" t="n"/>
      <c r="D317" s="13" t="n"/>
      <c r="E317" s="13" t="n"/>
      <c r="F317" s="14">
        <f>IF(E317="","",IF(COUNTIF(lst_Jobs,E317&amp;"")&gt;0,"OK","CHECK"))</f>
        <v/>
      </c>
      <c r="G317" s="13" t="n"/>
      <c r="H317" s="13" t="n"/>
      <c r="I317" s="13" t="n"/>
      <c r="J317" s="13" t="n"/>
      <c r="K317" s="13" t="n"/>
      <c r="L317" s="15" t="n"/>
      <c r="M317" s="16">
        <f>IF(L317="","",IF(K317="GST 10%",ROUND(L317*0.1,2),0))</f>
        <v/>
      </c>
      <c r="N317" s="16">
        <f>IF(L317="","",L317+M317)</f>
        <v/>
      </c>
      <c r="O317" s="13" t="n"/>
      <c r="P317" s="13" t="n"/>
      <c r="Q317" s="13" t="n"/>
      <c r="R317" s="13" t="n"/>
      <c r="S317" s="13" t="n"/>
      <c r="T317" s="14">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row>
    <row r="318" ht="15" customHeight="1">
      <c r="A318" s="11" t="n"/>
      <c r="B318" s="12">
        <f>IF(A318="","",EOMONTH(A318,0))</f>
        <v/>
      </c>
      <c r="C318" s="13" t="n"/>
      <c r="D318" s="13" t="n"/>
      <c r="E318" s="13" t="n"/>
      <c r="F318" s="14">
        <f>IF(E318="","",IF(COUNTIF(lst_Jobs,E318&amp;"")&gt;0,"OK","CHECK"))</f>
        <v/>
      </c>
      <c r="G318" s="13" t="n"/>
      <c r="H318" s="13" t="n"/>
      <c r="I318" s="13" t="n"/>
      <c r="J318" s="13" t="n"/>
      <c r="K318" s="13" t="n"/>
      <c r="L318" s="15" t="n"/>
      <c r="M318" s="16">
        <f>IF(L318="","",IF(K318="GST 10%",ROUND(L318*0.1,2),0))</f>
        <v/>
      </c>
      <c r="N318" s="16">
        <f>IF(L318="","",L318+M318)</f>
        <v/>
      </c>
      <c r="O318" s="13" t="n"/>
      <c r="P318" s="13" t="n"/>
      <c r="Q318" s="13" t="n"/>
      <c r="R318" s="13" t="n"/>
      <c r="S318" s="13" t="n"/>
      <c r="T318" s="14">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row>
    <row r="319" ht="15" customHeight="1">
      <c r="A319" s="11" t="n"/>
      <c r="B319" s="12">
        <f>IF(A319="","",EOMONTH(A319,0))</f>
        <v/>
      </c>
      <c r="C319" s="13" t="n"/>
      <c r="D319" s="13" t="n"/>
      <c r="E319" s="13" t="n"/>
      <c r="F319" s="14">
        <f>IF(E319="","",IF(COUNTIF(lst_Jobs,E319&amp;"")&gt;0,"OK","CHECK"))</f>
        <v/>
      </c>
      <c r="G319" s="13" t="n"/>
      <c r="H319" s="13" t="n"/>
      <c r="I319" s="13" t="n"/>
      <c r="J319" s="13" t="n"/>
      <c r="K319" s="13" t="n"/>
      <c r="L319" s="15" t="n"/>
      <c r="M319" s="16">
        <f>IF(L319="","",IF(K319="GST 10%",ROUND(L319*0.1,2),0))</f>
        <v/>
      </c>
      <c r="N319" s="16">
        <f>IF(L319="","",L319+M319)</f>
        <v/>
      </c>
      <c r="O319" s="13" t="n"/>
      <c r="P319" s="13" t="n"/>
      <c r="Q319" s="13" t="n"/>
      <c r="R319" s="13" t="n"/>
      <c r="S319" s="13" t="n"/>
      <c r="T319" s="14">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row>
    <row r="320" ht="15" customHeight="1">
      <c r="A320" s="11" t="n"/>
      <c r="B320" s="12">
        <f>IF(A320="","",EOMONTH(A320,0))</f>
        <v/>
      </c>
      <c r="C320" s="13" t="n"/>
      <c r="D320" s="13" t="n"/>
      <c r="E320" s="13" t="n"/>
      <c r="F320" s="14">
        <f>IF(E320="","",IF(COUNTIF(lst_Jobs,E320&amp;"")&gt;0,"OK","CHECK"))</f>
        <v/>
      </c>
      <c r="G320" s="13" t="n"/>
      <c r="H320" s="13" t="n"/>
      <c r="I320" s="13" t="n"/>
      <c r="J320" s="13" t="n"/>
      <c r="K320" s="13" t="n"/>
      <c r="L320" s="15" t="n"/>
      <c r="M320" s="16">
        <f>IF(L320="","",IF(K320="GST 10%",ROUND(L320*0.1,2),0))</f>
        <v/>
      </c>
      <c r="N320" s="16">
        <f>IF(L320="","",L320+M320)</f>
        <v/>
      </c>
      <c r="O320" s="13" t="n"/>
      <c r="P320" s="13" t="n"/>
      <c r="Q320" s="13" t="n"/>
      <c r="R320" s="13" t="n"/>
      <c r="S320" s="13" t="n"/>
      <c r="T320" s="14">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row>
    <row r="321" ht="15" customHeight="1">
      <c r="A321" s="11" t="n"/>
      <c r="B321" s="12">
        <f>IF(A321="","",EOMONTH(A321,0))</f>
        <v/>
      </c>
      <c r="C321" s="13" t="n"/>
      <c r="D321" s="13" t="n"/>
      <c r="E321" s="13" t="n"/>
      <c r="F321" s="14">
        <f>IF(E321="","",IF(COUNTIF(lst_Jobs,E321&amp;"")&gt;0,"OK","CHECK"))</f>
        <v/>
      </c>
      <c r="G321" s="13" t="n"/>
      <c r="H321" s="13" t="n"/>
      <c r="I321" s="13" t="n"/>
      <c r="J321" s="13" t="n"/>
      <c r="K321" s="13" t="n"/>
      <c r="L321" s="15" t="n"/>
      <c r="M321" s="16">
        <f>IF(L321="","",IF(K321="GST 10%",ROUND(L321*0.1,2),0))</f>
        <v/>
      </c>
      <c r="N321" s="16">
        <f>IF(L321="","",L321+M321)</f>
        <v/>
      </c>
      <c r="O321" s="13" t="n"/>
      <c r="P321" s="13" t="n"/>
      <c r="Q321" s="13" t="n"/>
      <c r="R321" s="13" t="n"/>
      <c r="S321" s="13" t="n"/>
      <c r="T321" s="14">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row>
    <row r="322" ht="15" customHeight="1">
      <c r="A322" s="11" t="n"/>
      <c r="B322" s="12">
        <f>IF(A322="","",EOMONTH(A322,0))</f>
        <v/>
      </c>
      <c r="C322" s="13" t="n"/>
      <c r="D322" s="13" t="n"/>
      <c r="E322" s="13" t="n"/>
      <c r="F322" s="14">
        <f>IF(E322="","",IF(COUNTIF(lst_Jobs,E322&amp;"")&gt;0,"OK","CHECK"))</f>
        <v/>
      </c>
      <c r="G322" s="13" t="n"/>
      <c r="H322" s="13" t="n"/>
      <c r="I322" s="13" t="n"/>
      <c r="J322" s="13" t="n"/>
      <c r="K322" s="13" t="n"/>
      <c r="L322" s="15" t="n"/>
      <c r="M322" s="16">
        <f>IF(L322="","",IF(K322="GST 10%",ROUND(L322*0.1,2),0))</f>
        <v/>
      </c>
      <c r="N322" s="16">
        <f>IF(L322="","",L322+M322)</f>
        <v/>
      </c>
      <c r="O322" s="13" t="n"/>
      <c r="P322" s="13" t="n"/>
      <c r="Q322" s="13" t="n"/>
      <c r="R322" s="13" t="n"/>
      <c r="S322" s="13" t="n"/>
      <c r="T322" s="14">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row>
    <row r="323" ht="15" customHeight="1">
      <c r="A323" s="11" t="n"/>
      <c r="B323" s="12">
        <f>IF(A323="","",EOMONTH(A323,0))</f>
        <v/>
      </c>
      <c r="C323" s="13" t="n"/>
      <c r="D323" s="13" t="n"/>
      <c r="E323" s="13" t="n"/>
      <c r="F323" s="14">
        <f>IF(E323="","",IF(COUNTIF(lst_Jobs,E323&amp;"")&gt;0,"OK","CHECK"))</f>
        <v/>
      </c>
      <c r="G323" s="13" t="n"/>
      <c r="H323" s="13" t="n"/>
      <c r="I323" s="13" t="n"/>
      <c r="J323" s="13" t="n"/>
      <c r="K323" s="13" t="n"/>
      <c r="L323" s="15" t="n"/>
      <c r="M323" s="16">
        <f>IF(L323="","",IF(K323="GST 10%",ROUND(L323*0.1,2),0))</f>
        <v/>
      </c>
      <c r="N323" s="16">
        <f>IF(L323="","",L323+M323)</f>
        <v/>
      </c>
      <c r="O323" s="13" t="n"/>
      <c r="P323" s="13" t="n"/>
      <c r="Q323" s="13" t="n"/>
      <c r="R323" s="13" t="n"/>
      <c r="S323" s="13" t="n"/>
      <c r="T323" s="14">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row>
    <row r="324" ht="15" customHeight="1">
      <c r="A324" s="11" t="n"/>
      <c r="B324" s="12">
        <f>IF(A324="","",EOMONTH(A324,0))</f>
        <v/>
      </c>
      <c r="C324" s="13" t="n"/>
      <c r="D324" s="13" t="n"/>
      <c r="E324" s="13" t="n"/>
      <c r="F324" s="14">
        <f>IF(E324="","",IF(COUNTIF(lst_Jobs,E324&amp;"")&gt;0,"OK","CHECK"))</f>
        <v/>
      </c>
      <c r="G324" s="13" t="n"/>
      <c r="H324" s="13" t="n"/>
      <c r="I324" s="13" t="n"/>
      <c r="J324" s="13" t="n"/>
      <c r="K324" s="13" t="n"/>
      <c r="L324" s="15" t="n"/>
      <c r="M324" s="16">
        <f>IF(L324="","",IF(K324="GST 10%",ROUND(L324*0.1,2),0))</f>
        <v/>
      </c>
      <c r="N324" s="16">
        <f>IF(L324="","",L324+M324)</f>
        <v/>
      </c>
      <c r="O324" s="13" t="n"/>
      <c r="P324" s="13" t="n"/>
      <c r="Q324" s="13" t="n"/>
      <c r="R324" s="13" t="n"/>
      <c r="S324" s="13" t="n"/>
      <c r="T324" s="14">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row>
    <row r="325" ht="15" customHeight="1">
      <c r="A325" s="11" t="n"/>
      <c r="B325" s="12">
        <f>IF(A325="","",EOMONTH(A325,0))</f>
        <v/>
      </c>
      <c r="C325" s="13" t="n"/>
      <c r="D325" s="13" t="n"/>
      <c r="E325" s="13" t="n"/>
      <c r="F325" s="14">
        <f>IF(E325="","",IF(COUNTIF(lst_Jobs,E325&amp;"")&gt;0,"OK","CHECK"))</f>
        <v/>
      </c>
      <c r="G325" s="13" t="n"/>
      <c r="H325" s="13" t="n"/>
      <c r="I325" s="13" t="n"/>
      <c r="J325" s="13" t="n"/>
      <c r="K325" s="13" t="n"/>
      <c r="L325" s="15" t="n"/>
      <c r="M325" s="16">
        <f>IF(L325="","",IF(K325="GST 10%",ROUND(L325*0.1,2),0))</f>
        <v/>
      </c>
      <c r="N325" s="16">
        <f>IF(L325="","",L325+M325)</f>
        <v/>
      </c>
      <c r="O325" s="13" t="n"/>
      <c r="P325" s="13" t="n"/>
      <c r="Q325" s="13" t="n"/>
      <c r="R325" s="13" t="n"/>
      <c r="S325" s="13" t="n"/>
      <c r="T325" s="14">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row>
    <row r="326" ht="15" customHeight="1">
      <c r="A326" s="11" t="n"/>
      <c r="B326" s="12">
        <f>IF(A326="","",EOMONTH(A326,0))</f>
        <v/>
      </c>
      <c r="C326" s="13" t="n"/>
      <c r="D326" s="13" t="n"/>
      <c r="E326" s="13" t="n"/>
      <c r="F326" s="14">
        <f>IF(E326="","",IF(COUNTIF(lst_Jobs,E326&amp;"")&gt;0,"OK","CHECK"))</f>
        <v/>
      </c>
      <c r="G326" s="13" t="n"/>
      <c r="H326" s="13" t="n"/>
      <c r="I326" s="13" t="n"/>
      <c r="J326" s="13" t="n"/>
      <c r="K326" s="13" t="n"/>
      <c r="L326" s="15" t="n"/>
      <c r="M326" s="16">
        <f>IF(L326="","",IF(K326="GST 10%",ROUND(L326*0.1,2),0))</f>
        <v/>
      </c>
      <c r="N326" s="16">
        <f>IF(L326="","",L326+M326)</f>
        <v/>
      </c>
      <c r="O326" s="13" t="n"/>
      <c r="P326" s="13" t="n"/>
      <c r="Q326" s="13" t="n"/>
      <c r="R326" s="13" t="n"/>
      <c r="S326" s="13" t="n"/>
      <c r="T326" s="14">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row>
    <row r="327" ht="15" customHeight="1">
      <c r="A327" s="11" t="n"/>
      <c r="B327" s="12">
        <f>IF(A327="","",EOMONTH(A327,0))</f>
        <v/>
      </c>
      <c r="C327" s="13" t="n"/>
      <c r="D327" s="13" t="n"/>
      <c r="E327" s="13" t="n"/>
      <c r="F327" s="14">
        <f>IF(E327="","",IF(COUNTIF(lst_Jobs,E327&amp;"")&gt;0,"OK","CHECK"))</f>
        <v/>
      </c>
      <c r="G327" s="13" t="n"/>
      <c r="H327" s="13" t="n"/>
      <c r="I327" s="13" t="n"/>
      <c r="J327" s="13" t="n"/>
      <c r="K327" s="13" t="n"/>
      <c r="L327" s="15" t="n"/>
      <c r="M327" s="16">
        <f>IF(L327="","",IF(K327="GST 10%",ROUND(L327*0.1,2),0))</f>
        <v/>
      </c>
      <c r="N327" s="16">
        <f>IF(L327="","",L327+M327)</f>
        <v/>
      </c>
      <c r="O327" s="13" t="n"/>
      <c r="P327" s="13" t="n"/>
      <c r="Q327" s="13" t="n"/>
      <c r="R327" s="13" t="n"/>
      <c r="S327" s="13" t="n"/>
      <c r="T327" s="14">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row>
    <row r="328" ht="15" customHeight="1">
      <c r="A328" s="11" t="n"/>
      <c r="B328" s="12">
        <f>IF(A328="","",EOMONTH(A328,0))</f>
        <v/>
      </c>
      <c r="C328" s="13" t="n"/>
      <c r="D328" s="13" t="n"/>
      <c r="E328" s="13" t="n"/>
      <c r="F328" s="14">
        <f>IF(E328="","",IF(COUNTIF(lst_Jobs,E328&amp;"")&gt;0,"OK","CHECK"))</f>
        <v/>
      </c>
      <c r="G328" s="13" t="n"/>
      <c r="H328" s="13" t="n"/>
      <c r="I328" s="13" t="n"/>
      <c r="J328" s="13" t="n"/>
      <c r="K328" s="13" t="n"/>
      <c r="L328" s="15" t="n"/>
      <c r="M328" s="16">
        <f>IF(L328="","",IF(K328="GST 10%",ROUND(L328*0.1,2),0))</f>
        <v/>
      </c>
      <c r="N328" s="16">
        <f>IF(L328="","",L328+M328)</f>
        <v/>
      </c>
      <c r="O328" s="13" t="n"/>
      <c r="P328" s="13" t="n"/>
      <c r="Q328" s="13" t="n"/>
      <c r="R328" s="13" t="n"/>
      <c r="S328" s="13" t="n"/>
      <c r="T328" s="14">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row>
    <row r="329" ht="15" customHeight="1">
      <c r="A329" s="11" t="n"/>
      <c r="B329" s="12">
        <f>IF(A329="","",EOMONTH(A329,0))</f>
        <v/>
      </c>
      <c r="C329" s="13" t="n"/>
      <c r="D329" s="13" t="n"/>
      <c r="E329" s="13" t="n"/>
      <c r="F329" s="14">
        <f>IF(E329="","",IF(COUNTIF(lst_Jobs,E329&amp;"")&gt;0,"OK","CHECK"))</f>
        <v/>
      </c>
      <c r="G329" s="13" t="n"/>
      <c r="H329" s="13" t="n"/>
      <c r="I329" s="13" t="n"/>
      <c r="J329" s="13" t="n"/>
      <c r="K329" s="13" t="n"/>
      <c r="L329" s="15" t="n"/>
      <c r="M329" s="16">
        <f>IF(L329="","",IF(K329="GST 10%",ROUND(L329*0.1,2),0))</f>
        <v/>
      </c>
      <c r="N329" s="16">
        <f>IF(L329="","",L329+M329)</f>
        <v/>
      </c>
      <c r="O329" s="13" t="n"/>
      <c r="P329" s="13" t="n"/>
      <c r="Q329" s="13" t="n"/>
      <c r="R329" s="13" t="n"/>
      <c r="S329" s="13" t="n"/>
      <c r="T329" s="14">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row>
    <row r="330" ht="15" customHeight="1">
      <c r="A330" s="11" t="n"/>
      <c r="B330" s="12">
        <f>IF(A330="","",EOMONTH(A330,0))</f>
        <v/>
      </c>
      <c r="C330" s="13" t="n"/>
      <c r="D330" s="13" t="n"/>
      <c r="E330" s="13" t="n"/>
      <c r="F330" s="14">
        <f>IF(E330="","",IF(COUNTIF(lst_Jobs,E330&amp;"")&gt;0,"OK","CHECK"))</f>
        <v/>
      </c>
      <c r="G330" s="13" t="n"/>
      <c r="H330" s="13" t="n"/>
      <c r="I330" s="13" t="n"/>
      <c r="J330" s="13" t="n"/>
      <c r="K330" s="13" t="n"/>
      <c r="L330" s="15" t="n"/>
      <c r="M330" s="16">
        <f>IF(L330="","",IF(K330="GST 10%",ROUND(L330*0.1,2),0))</f>
        <v/>
      </c>
      <c r="N330" s="16">
        <f>IF(L330="","",L330+M330)</f>
        <v/>
      </c>
      <c r="O330" s="13" t="n"/>
      <c r="P330" s="13" t="n"/>
      <c r="Q330" s="13" t="n"/>
      <c r="R330" s="13" t="n"/>
      <c r="S330" s="13" t="n"/>
      <c r="T330" s="14">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row>
    <row r="331" ht="15" customHeight="1">
      <c r="A331" s="11" t="n"/>
      <c r="B331" s="12">
        <f>IF(A331="","",EOMONTH(A331,0))</f>
        <v/>
      </c>
      <c r="C331" s="13" t="n"/>
      <c r="D331" s="13" t="n"/>
      <c r="E331" s="13" t="n"/>
      <c r="F331" s="14">
        <f>IF(E331="","",IF(COUNTIF(lst_Jobs,E331&amp;"")&gt;0,"OK","CHECK"))</f>
        <v/>
      </c>
      <c r="G331" s="13" t="n"/>
      <c r="H331" s="13" t="n"/>
      <c r="I331" s="13" t="n"/>
      <c r="J331" s="13" t="n"/>
      <c r="K331" s="13" t="n"/>
      <c r="L331" s="15" t="n"/>
      <c r="M331" s="16">
        <f>IF(L331="","",IF(K331="GST 10%",ROUND(L331*0.1,2),0))</f>
        <v/>
      </c>
      <c r="N331" s="16">
        <f>IF(L331="","",L331+M331)</f>
        <v/>
      </c>
      <c r="O331" s="13" t="n"/>
      <c r="P331" s="13" t="n"/>
      <c r="Q331" s="13" t="n"/>
      <c r="R331" s="13" t="n"/>
      <c r="S331" s="13" t="n"/>
      <c r="T331" s="14">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row>
    <row r="332" ht="15" customHeight="1">
      <c r="A332" s="11" t="n"/>
      <c r="B332" s="12">
        <f>IF(A332="","",EOMONTH(A332,0))</f>
        <v/>
      </c>
      <c r="C332" s="13" t="n"/>
      <c r="D332" s="13" t="n"/>
      <c r="E332" s="13" t="n"/>
      <c r="F332" s="14">
        <f>IF(E332="","",IF(COUNTIF(lst_Jobs,E332&amp;"")&gt;0,"OK","CHECK"))</f>
        <v/>
      </c>
      <c r="G332" s="13" t="n"/>
      <c r="H332" s="13" t="n"/>
      <c r="I332" s="13" t="n"/>
      <c r="J332" s="13" t="n"/>
      <c r="K332" s="13" t="n"/>
      <c r="L332" s="15" t="n"/>
      <c r="M332" s="16">
        <f>IF(L332="","",IF(K332="GST 10%",ROUND(L332*0.1,2),0))</f>
        <v/>
      </c>
      <c r="N332" s="16">
        <f>IF(L332="","",L332+M332)</f>
        <v/>
      </c>
      <c r="O332" s="13" t="n"/>
      <c r="P332" s="13" t="n"/>
      <c r="Q332" s="13" t="n"/>
      <c r="R332" s="13" t="n"/>
      <c r="S332" s="13" t="n"/>
      <c r="T332" s="14">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row>
    <row r="333" ht="15" customHeight="1">
      <c r="A333" s="11" t="n"/>
      <c r="B333" s="12">
        <f>IF(A333="","",EOMONTH(A333,0))</f>
        <v/>
      </c>
      <c r="C333" s="13" t="n"/>
      <c r="D333" s="13" t="n"/>
      <c r="E333" s="13" t="n"/>
      <c r="F333" s="14">
        <f>IF(E333="","",IF(COUNTIF(lst_Jobs,E333&amp;"")&gt;0,"OK","CHECK"))</f>
        <v/>
      </c>
      <c r="G333" s="13" t="n"/>
      <c r="H333" s="13" t="n"/>
      <c r="I333" s="13" t="n"/>
      <c r="J333" s="13" t="n"/>
      <c r="K333" s="13" t="n"/>
      <c r="L333" s="15" t="n"/>
      <c r="M333" s="16">
        <f>IF(L333="","",IF(K333="GST 10%",ROUND(L333*0.1,2),0))</f>
        <v/>
      </c>
      <c r="N333" s="16">
        <f>IF(L333="","",L333+M333)</f>
        <v/>
      </c>
      <c r="O333" s="13" t="n"/>
      <c r="P333" s="13" t="n"/>
      <c r="Q333" s="13" t="n"/>
      <c r="R333" s="13" t="n"/>
      <c r="S333" s="13" t="n"/>
      <c r="T333" s="14">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row>
    <row r="334" ht="15" customHeight="1">
      <c r="A334" s="11" t="n"/>
      <c r="B334" s="12">
        <f>IF(A334="","",EOMONTH(A334,0))</f>
        <v/>
      </c>
      <c r="C334" s="13" t="n"/>
      <c r="D334" s="13" t="n"/>
      <c r="E334" s="13" t="n"/>
      <c r="F334" s="14">
        <f>IF(E334="","",IF(COUNTIF(lst_Jobs,E334&amp;"")&gt;0,"OK","CHECK"))</f>
        <v/>
      </c>
      <c r="G334" s="13" t="n"/>
      <c r="H334" s="13" t="n"/>
      <c r="I334" s="13" t="n"/>
      <c r="J334" s="13" t="n"/>
      <c r="K334" s="13" t="n"/>
      <c r="L334" s="15" t="n"/>
      <c r="M334" s="16">
        <f>IF(L334="","",IF(K334="GST 10%",ROUND(L334*0.1,2),0))</f>
        <v/>
      </c>
      <c r="N334" s="16">
        <f>IF(L334="","",L334+M334)</f>
        <v/>
      </c>
      <c r="O334" s="13" t="n"/>
      <c r="P334" s="13" t="n"/>
      <c r="Q334" s="13" t="n"/>
      <c r="R334" s="13" t="n"/>
      <c r="S334" s="13" t="n"/>
      <c r="T334" s="14">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row>
    <row r="335" ht="15" customHeight="1">
      <c r="A335" s="11" t="n"/>
      <c r="B335" s="12">
        <f>IF(A335="","",EOMONTH(A335,0))</f>
        <v/>
      </c>
      <c r="C335" s="13" t="n"/>
      <c r="D335" s="13" t="n"/>
      <c r="E335" s="13" t="n"/>
      <c r="F335" s="14">
        <f>IF(E335="","",IF(COUNTIF(lst_Jobs,E335&amp;"")&gt;0,"OK","CHECK"))</f>
        <v/>
      </c>
      <c r="G335" s="13" t="n"/>
      <c r="H335" s="13" t="n"/>
      <c r="I335" s="13" t="n"/>
      <c r="J335" s="13" t="n"/>
      <c r="K335" s="13" t="n"/>
      <c r="L335" s="15" t="n"/>
      <c r="M335" s="16">
        <f>IF(L335="","",IF(K335="GST 10%",ROUND(L335*0.1,2),0))</f>
        <v/>
      </c>
      <c r="N335" s="16">
        <f>IF(L335="","",L335+M335)</f>
        <v/>
      </c>
      <c r="O335" s="13" t="n"/>
      <c r="P335" s="13" t="n"/>
      <c r="Q335" s="13" t="n"/>
      <c r="R335" s="13" t="n"/>
      <c r="S335" s="13" t="n"/>
      <c r="T335" s="14">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row>
    <row r="336" ht="15" customHeight="1">
      <c r="A336" s="11" t="n"/>
      <c r="B336" s="12">
        <f>IF(A336="","",EOMONTH(A336,0))</f>
        <v/>
      </c>
      <c r="C336" s="13" t="n"/>
      <c r="D336" s="13" t="n"/>
      <c r="E336" s="13" t="n"/>
      <c r="F336" s="14">
        <f>IF(E336="","",IF(COUNTIF(lst_Jobs,E336&amp;"")&gt;0,"OK","CHECK"))</f>
        <v/>
      </c>
      <c r="G336" s="13" t="n"/>
      <c r="H336" s="13" t="n"/>
      <c r="I336" s="13" t="n"/>
      <c r="J336" s="13" t="n"/>
      <c r="K336" s="13" t="n"/>
      <c r="L336" s="15" t="n"/>
      <c r="M336" s="16">
        <f>IF(L336="","",IF(K336="GST 10%",ROUND(L336*0.1,2),0))</f>
        <v/>
      </c>
      <c r="N336" s="16">
        <f>IF(L336="","",L336+M336)</f>
        <v/>
      </c>
      <c r="O336" s="13" t="n"/>
      <c r="P336" s="13" t="n"/>
      <c r="Q336" s="13" t="n"/>
      <c r="R336" s="13" t="n"/>
      <c r="S336" s="13" t="n"/>
      <c r="T336" s="14">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row>
    <row r="337" ht="15" customHeight="1">
      <c r="A337" s="11" t="n"/>
      <c r="B337" s="12">
        <f>IF(A337="","",EOMONTH(A337,0))</f>
        <v/>
      </c>
      <c r="C337" s="13" t="n"/>
      <c r="D337" s="13" t="n"/>
      <c r="E337" s="13" t="n"/>
      <c r="F337" s="14">
        <f>IF(E337="","",IF(COUNTIF(lst_Jobs,E337&amp;"")&gt;0,"OK","CHECK"))</f>
        <v/>
      </c>
      <c r="G337" s="13" t="n"/>
      <c r="H337" s="13" t="n"/>
      <c r="I337" s="13" t="n"/>
      <c r="J337" s="13" t="n"/>
      <c r="K337" s="13" t="n"/>
      <c r="L337" s="15" t="n"/>
      <c r="M337" s="16">
        <f>IF(L337="","",IF(K337="GST 10%",ROUND(L337*0.1,2),0))</f>
        <v/>
      </c>
      <c r="N337" s="16">
        <f>IF(L337="","",L337+M337)</f>
        <v/>
      </c>
      <c r="O337" s="13" t="n"/>
      <c r="P337" s="13" t="n"/>
      <c r="Q337" s="13" t="n"/>
      <c r="R337" s="13" t="n"/>
      <c r="S337" s="13" t="n"/>
      <c r="T337" s="14">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row>
    <row r="338" ht="15" customHeight="1">
      <c r="A338" s="11" t="n"/>
      <c r="B338" s="12">
        <f>IF(A338="","",EOMONTH(A338,0))</f>
        <v/>
      </c>
      <c r="C338" s="13" t="n"/>
      <c r="D338" s="13" t="n"/>
      <c r="E338" s="13" t="n"/>
      <c r="F338" s="14">
        <f>IF(E338="","",IF(COUNTIF(lst_Jobs,E338&amp;"")&gt;0,"OK","CHECK"))</f>
        <v/>
      </c>
      <c r="G338" s="13" t="n"/>
      <c r="H338" s="13" t="n"/>
      <c r="I338" s="13" t="n"/>
      <c r="J338" s="13" t="n"/>
      <c r="K338" s="13" t="n"/>
      <c r="L338" s="15" t="n"/>
      <c r="M338" s="16">
        <f>IF(L338="","",IF(K338="GST 10%",ROUND(L338*0.1,2),0))</f>
        <v/>
      </c>
      <c r="N338" s="16">
        <f>IF(L338="","",L338+M338)</f>
        <v/>
      </c>
      <c r="O338" s="13" t="n"/>
      <c r="P338" s="13" t="n"/>
      <c r="Q338" s="13" t="n"/>
      <c r="R338" s="13" t="n"/>
      <c r="S338" s="13" t="n"/>
      <c r="T338" s="14">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row>
    <row r="339" ht="15" customHeight="1">
      <c r="A339" s="11" t="n"/>
      <c r="B339" s="12">
        <f>IF(A339="","",EOMONTH(A339,0))</f>
        <v/>
      </c>
      <c r="C339" s="13" t="n"/>
      <c r="D339" s="13" t="n"/>
      <c r="E339" s="13" t="n"/>
      <c r="F339" s="14">
        <f>IF(E339="","",IF(COUNTIF(lst_Jobs,E339&amp;"")&gt;0,"OK","CHECK"))</f>
        <v/>
      </c>
      <c r="G339" s="13" t="n"/>
      <c r="H339" s="13" t="n"/>
      <c r="I339" s="13" t="n"/>
      <c r="J339" s="13" t="n"/>
      <c r="K339" s="13" t="n"/>
      <c r="L339" s="15" t="n"/>
      <c r="M339" s="16">
        <f>IF(L339="","",IF(K339="GST 10%",ROUND(L339*0.1,2),0))</f>
        <v/>
      </c>
      <c r="N339" s="16">
        <f>IF(L339="","",L339+M339)</f>
        <v/>
      </c>
      <c r="O339" s="13" t="n"/>
      <c r="P339" s="13" t="n"/>
      <c r="Q339" s="13" t="n"/>
      <c r="R339" s="13" t="n"/>
      <c r="S339" s="13" t="n"/>
      <c r="T339" s="14">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row>
    <row r="340" ht="15" customHeight="1">
      <c r="A340" s="11" t="n"/>
      <c r="B340" s="12">
        <f>IF(A340="","",EOMONTH(A340,0))</f>
        <v/>
      </c>
      <c r="C340" s="13" t="n"/>
      <c r="D340" s="13" t="n"/>
      <c r="E340" s="13" t="n"/>
      <c r="F340" s="14">
        <f>IF(E340="","",IF(COUNTIF(lst_Jobs,E340&amp;"")&gt;0,"OK","CHECK"))</f>
        <v/>
      </c>
      <c r="G340" s="13" t="n"/>
      <c r="H340" s="13" t="n"/>
      <c r="I340" s="13" t="n"/>
      <c r="J340" s="13" t="n"/>
      <c r="K340" s="13" t="n"/>
      <c r="L340" s="15" t="n"/>
      <c r="M340" s="16">
        <f>IF(L340="","",IF(K340="GST 10%",ROUND(L340*0.1,2),0))</f>
        <v/>
      </c>
      <c r="N340" s="16">
        <f>IF(L340="","",L340+M340)</f>
        <v/>
      </c>
      <c r="O340" s="13" t="n"/>
      <c r="P340" s="13" t="n"/>
      <c r="Q340" s="13" t="n"/>
      <c r="R340" s="13" t="n"/>
      <c r="S340" s="13" t="n"/>
      <c r="T340" s="14">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row>
    <row r="341" ht="15" customHeight="1">
      <c r="A341" s="11" t="n"/>
      <c r="B341" s="12">
        <f>IF(A341="","",EOMONTH(A341,0))</f>
        <v/>
      </c>
      <c r="C341" s="13" t="n"/>
      <c r="D341" s="13" t="n"/>
      <c r="E341" s="13" t="n"/>
      <c r="F341" s="14">
        <f>IF(E341="","",IF(COUNTIF(lst_Jobs,E341&amp;"")&gt;0,"OK","CHECK"))</f>
        <v/>
      </c>
      <c r="G341" s="13" t="n"/>
      <c r="H341" s="13" t="n"/>
      <c r="I341" s="13" t="n"/>
      <c r="J341" s="13" t="n"/>
      <c r="K341" s="13" t="n"/>
      <c r="L341" s="15" t="n"/>
      <c r="M341" s="16">
        <f>IF(L341="","",IF(K341="GST 10%",ROUND(L341*0.1,2),0))</f>
        <v/>
      </c>
      <c r="N341" s="16">
        <f>IF(L341="","",L341+M341)</f>
        <v/>
      </c>
      <c r="O341" s="13" t="n"/>
      <c r="P341" s="13" t="n"/>
      <c r="Q341" s="13" t="n"/>
      <c r="R341" s="13" t="n"/>
      <c r="S341" s="13" t="n"/>
      <c r="T341" s="14">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row>
    <row r="342" ht="15" customHeight="1">
      <c r="A342" s="11" t="n"/>
      <c r="B342" s="12">
        <f>IF(A342="","",EOMONTH(A342,0))</f>
        <v/>
      </c>
      <c r="C342" s="13" t="n"/>
      <c r="D342" s="13" t="n"/>
      <c r="E342" s="13" t="n"/>
      <c r="F342" s="14">
        <f>IF(E342="","",IF(COUNTIF(lst_Jobs,E342&amp;"")&gt;0,"OK","CHECK"))</f>
        <v/>
      </c>
      <c r="G342" s="13" t="n"/>
      <c r="H342" s="13" t="n"/>
      <c r="I342" s="13" t="n"/>
      <c r="J342" s="13" t="n"/>
      <c r="K342" s="13" t="n"/>
      <c r="L342" s="15" t="n"/>
      <c r="M342" s="16">
        <f>IF(L342="","",IF(K342="GST 10%",ROUND(L342*0.1,2),0))</f>
        <v/>
      </c>
      <c r="N342" s="16">
        <f>IF(L342="","",L342+M342)</f>
        <v/>
      </c>
      <c r="O342" s="13" t="n"/>
      <c r="P342" s="13" t="n"/>
      <c r="Q342" s="13" t="n"/>
      <c r="R342" s="13" t="n"/>
      <c r="S342" s="13" t="n"/>
      <c r="T342" s="14">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row>
    <row r="343" ht="15" customHeight="1">
      <c r="A343" s="11" t="n"/>
      <c r="B343" s="12">
        <f>IF(A343="","",EOMONTH(A343,0))</f>
        <v/>
      </c>
      <c r="C343" s="13" t="n"/>
      <c r="D343" s="13" t="n"/>
      <c r="E343" s="13" t="n"/>
      <c r="F343" s="14">
        <f>IF(E343="","",IF(COUNTIF(lst_Jobs,E343&amp;"")&gt;0,"OK","CHECK"))</f>
        <v/>
      </c>
      <c r="G343" s="13" t="n"/>
      <c r="H343" s="13" t="n"/>
      <c r="I343" s="13" t="n"/>
      <c r="J343" s="13" t="n"/>
      <c r="K343" s="13" t="n"/>
      <c r="L343" s="15" t="n"/>
      <c r="M343" s="16">
        <f>IF(L343="","",IF(K343="GST 10%",ROUND(L343*0.1,2),0))</f>
        <v/>
      </c>
      <c r="N343" s="16">
        <f>IF(L343="","",L343+M343)</f>
        <v/>
      </c>
      <c r="O343" s="13" t="n"/>
      <c r="P343" s="13" t="n"/>
      <c r="Q343" s="13" t="n"/>
      <c r="R343" s="13" t="n"/>
      <c r="S343" s="13" t="n"/>
      <c r="T343" s="14">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row>
    <row r="344" ht="15" customHeight="1">
      <c r="A344" s="11" t="n"/>
      <c r="B344" s="12">
        <f>IF(A344="","",EOMONTH(A344,0))</f>
        <v/>
      </c>
      <c r="C344" s="13" t="n"/>
      <c r="D344" s="13" t="n"/>
      <c r="E344" s="13" t="n"/>
      <c r="F344" s="14">
        <f>IF(E344="","",IF(COUNTIF(lst_Jobs,E344&amp;"")&gt;0,"OK","CHECK"))</f>
        <v/>
      </c>
      <c r="G344" s="13" t="n"/>
      <c r="H344" s="13" t="n"/>
      <c r="I344" s="13" t="n"/>
      <c r="J344" s="13" t="n"/>
      <c r="K344" s="13" t="n"/>
      <c r="L344" s="15" t="n"/>
      <c r="M344" s="16">
        <f>IF(L344="","",IF(K344="GST 10%",ROUND(L344*0.1,2),0))</f>
        <v/>
      </c>
      <c r="N344" s="16">
        <f>IF(L344="","",L344+M344)</f>
        <v/>
      </c>
      <c r="O344" s="13" t="n"/>
      <c r="P344" s="13" t="n"/>
      <c r="Q344" s="13" t="n"/>
      <c r="R344" s="13" t="n"/>
      <c r="S344" s="13" t="n"/>
      <c r="T344" s="14">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row>
    <row r="345" ht="15" customHeight="1">
      <c r="A345" s="11" t="n"/>
      <c r="B345" s="12">
        <f>IF(A345="","",EOMONTH(A345,0))</f>
        <v/>
      </c>
      <c r="C345" s="13" t="n"/>
      <c r="D345" s="13" t="n"/>
      <c r="E345" s="13" t="n"/>
      <c r="F345" s="14">
        <f>IF(E345="","",IF(COUNTIF(lst_Jobs,E345&amp;"")&gt;0,"OK","CHECK"))</f>
        <v/>
      </c>
      <c r="G345" s="13" t="n"/>
      <c r="H345" s="13" t="n"/>
      <c r="I345" s="13" t="n"/>
      <c r="J345" s="13" t="n"/>
      <c r="K345" s="13" t="n"/>
      <c r="L345" s="15" t="n"/>
      <c r="M345" s="16">
        <f>IF(L345="","",IF(K345="GST 10%",ROUND(L345*0.1,2),0))</f>
        <v/>
      </c>
      <c r="N345" s="16">
        <f>IF(L345="","",L345+M345)</f>
        <v/>
      </c>
      <c r="O345" s="13" t="n"/>
      <c r="P345" s="13" t="n"/>
      <c r="Q345" s="13" t="n"/>
      <c r="R345" s="13" t="n"/>
      <c r="S345" s="13" t="n"/>
      <c r="T345" s="14">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row>
    <row r="346" ht="15" customHeight="1">
      <c r="A346" s="11" t="n"/>
      <c r="B346" s="12">
        <f>IF(A346="","",EOMONTH(A346,0))</f>
        <v/>
      </c>
      <c r="C346" s="13" t="n"/>
      <c r="D346" s="13" t="n"/>
      <c r="E346" s="13" t="n"/>
      <c r="F346" s="14">
        <f>IF(E346="","",IF(COUNTIF(lst_Jobs,E346&amp;"")&gt;0,"OK","CHECK"))</f>
        <v/>
      </c>
      <c r="G346" s="13" t="n"/>
      <c r="H346" s="13" t="n"/>
      <c r="I346" s="13" t="n"/>
      <c r="J346" s="13" t="n"/>
      <c r="K346" s="13" t="n"/>
      <c r="L346" s="15" t="n"/>
      <c r="M346" s="16">
        <f>IF(L346="","",IF(K346="GST 10%",ROUND(L346*0.1,2),0))</f>
        <v/>
      </c>
      <c r="N346" s="16">
        <f>IF(L346="","",L346+M346)</f>
        <v/>
      </c>
      <c r="O346" s="13" t="n"/>
      <c r="P346" s="13" t="n"/>
      <c r="Q346" s="13" t="n"/>
      <c r="R346" s="13" t="n"/>
      <c r="S346" s="13" t="n"/>
      <c r="T346" s="14">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row>
    <row r="347" ht="15" customHeight="1">
      <c r="A347" s="11" t="n"/>
      <c r="B347" s="12">
        <f>IF(A347="","",EOMONTH(A347,0))</f>
        <v/>
      </c>
      <c r="C347" s="13" t="n"/>
      <c r="D347" s="13" t="n"/>
      <c r="E347" s="13" t="n"/>
      <c r="F347" s="14">
        <f>IF(E347="","",IF(COUNTIF(lst_Jobs,E347&amp;"")&gt;0,"OK","CHECK"))</f>
        <v/>
      </c>
      <c r="G347" s="13" t="n"/>
      <c r="H347" s="13" t="n"/>
      <c r="I347" s="13" t="n"/>
      <c r="J347" s="13" t="n"/>
      <c r="K347" s="13" t="n"/>
      <c r="L347" s="15" t="n"/>
      <c r="M347" s="16">
        <f>IF(L347="","",IF(K347="GST 10%",ROUND(L347*0.1,2),0))</f>
        <v/>
      </c>
      <c r="N347" s="16">
        <f>IF(L347="","",L347+M347)</f>
        <v/>
      </c>
      <c r="O347" s="13" t="n"/>
      <c r="P347" s="13" t="n"/>
      <c r="Q347" s="13" t="n"/>
      <c r="R347" s="13" t="n"/>
      <c r="S347" s="13" t="n"/>
      <c r="T347" s="14">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row>
    <row r="348" ht="15" customHeight="1">
      <c r="A348" s="11" t="n"/>
      <c r="B348" s="12">
        <f>IF(A348="","",EOMONTH(A348,0))</f>
        <v/>
      </c>
      <c r="C348" s="13" t="n"/>
      <c r="D348" s="13" t="n"/>
      <c r="E348" s="13" t="n"/>
      <c r="F348" s="14">
        <f>IF(E348="","",IF(COUNTIF(lst_Jobs,E348&amp;"")&gt;0,"OK","CHECK"))</f>
        <v/>
      </c>
      <c r="G348" s="13" t="n"/>
      <c r="H348" s="13" t="n"/>
      <c r="I348" s="13" t="n"/>
      <c r="J348" s="13" t="n"/>
      <c r="K348" s="13" t="n"/>
      <c r="L348" s="15" t="n"/>
      <c r="M348" s="16">
        <f>IF(L348="","",IF(K348="GST 10%",ROUND(L348*0.1,2),0))</f>
        <v/>
      </c>
      <c r="N348" s="16">
        <f>IF(L348="","",L348+M348)</f>
        <v/>
      </c>
      <c r="O348" s="13" t="n"/>
      <c r="P348" s="13" t="n"/>
      <c r="Q348" s="13" t="n"/>
      <c r="R348" s="13" t="n"/>
      <c r="S348" s="13" t="n"/>
      <c r="T348" s="14">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row>
    <row r="349" ht="15" customHeight="1">
      <c r="A349" s="11" t="n"/>
      <c r="B349" s="12">
        <f>IF(A349="","",EOMONTH(A349,0))</f>
        <v/>
      </c>
      <c r="C349" s="13" t="n"/>
      <c r="D349" s="13" t="n"/>
      <c r="E349" s="13" t="n"/>
      <c r="F349" s="14">
        <f>IF(E349="","",IF(COUNTIF(lst_Jobs,E349&amp;"")&gt;0,"OK","CHECK"))</f>
        <v/>
      </c>
      <c r="G349" s="13" t="n"/>
      <c r="H349" s="13" t="n"/>
      <c r="I349" s="13" t="n"/>
      <c r="J349" s="13" t="n"/>
      <c r="K349" s="13" t="n"/>
      <c r="L349" s="15" t="n"/>
      <c r="M349" s="16">
        <f>IF(L349="","",IF(K349="GST 10%",ROUND(L349*0.1,2),0))</f>
        <v/>
      </c>
      <c r="N349" s="16">
        <f>IF(L349="","",L349+M349)</f>
        <v/>
      </c>
      <c r="O349" s="13" t="n"/>
      <c r="P349" s="13" t="n"/>
      <c r="Q349" s="13" t="n"/>
      <c r="R349" s="13" t="n"/>
      <c r="S349" s="13" t="n"/>
      <c r="T349" s="14">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row>
    <row r="350" ht="15" customHeight="1">
      <c r="A350" s="11" t="n"/>
      <c r="B350" s="12">
        <f>IF(A350="","",EOMONTH(A350,0))</f>
        <v/>
      </c>
      <c r="C350" s="13" t="n"/>
      <c r="D350" s="13" t="n"/>
      <c r="E350" s="13" t="n"/>
      <c r="F350" s="14">
        <f>IF(E350="","",IF(COUNTIF(lst_Jobs,E350&amp;"")&gt;0,"OK","CHECK"))</f>
        <v/>
      </c>
      <c r="G350" s="13" t="n"/>
      <c r="H350" s="13" t="n"/>
      <c r="I350" s="13" t="n"/>
      <c r="J350" s="13" t="n"/>
      <c r="K350" s="13" t="n"/>
      <c r="L350" s="15" t="n"/>
      <c r="M350" s="16">
        <f>IF(L350="","",IF(K350="GST 10%",ROUND(L350*0.1,2),0))</f>
        <v/>
      </c>
      <c r="N350" s="16">
        <f>IF(L350="","",L350+M350)</f>
        <v/>
      </c>
      <c r="O350" s="13" t="n"/>
      <c r="P350" s="13" t="n"/>
      <c r="Q350" s="13" t="n"/>
      <c r="R350" s="13" t="n"/>
      <c r="S350" s="13" t="n"/>
      <c r="T350" s="14">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row>
    <row r="351" ht="15" customHeight="1">
      <c r="A351" s="11" t="n"/>
      <c r="B351" s="12">
        <f>IF(A351="","",EOMONTH(A351,0))</f>
        <v/>
      </c>
      <c r="C351" s="13" t="n"/>
      <c r="D351" s="13" t="n"/>
      <c r="E351" s="13" t="n"/>
      <c r="F351" s="14">
        <f>IF(E351="","",IF(COUNTIF(lst_Jobs,E351&amp;"")&gt;0,"OK","CHECK"))</f>
        <v/>
      </c>
      <c r="G351" s="13" t="n"/>
      <c r="H351" s="13" t="n"/>
      <c r="I351" s="13" t="n"/>
      <c r="J351" s="13" t="n"/>
      <c r="K351" s="13" t="n"/>
      <c r="L351" s="15" t="n"/>
      <c r="M351" s="16">
        <f>IF(L351="","",IF(K351="GST 10%",ROUND(L351*0.1,2),0))</f>
        <v/>
      </c>
      <c r="N351" s="16">
        <f>IF(L351="","",L351+M351)</f>
        <v/>
      </c>
      <c r="O351" s="13" t="n"/>
      <c r="P351" s="13" t="n"/>
      <c r="Q351" s="13" t="n"/>
      <c r="R351" s="13" t="n"/>
      <c r="S351" s="13" t="n"/>
      <c r="T351" s="14">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row>
    <row r="352" ht="15" customHeight="1">
      <c r="A352" s="11" t="n"/>
      <c r="B352" s="12">
        <f>IF(A352="","",EOMONTH(A352,0))</f>
        <v/>
      </c>
      <c r="C352" s="13" t="n"/>
      <c r="D352" s="13" t="n"/>
      <c r="E352" s="13" t="n"/>
      <c r="F352" s="14">
        <f>IF(E352="","",IF(COUNTIF(lst_Jobs,E352&amp;"")&gt;0,"OK","CHECK"))</f>
        <v/>
      </c>
      <c r="G352" s="13" t="n"/>
      <c r="H352" s="13" t="n"/>
      <c r="I352" s="13" t="n"/>
      <c r="J352" s="13" t="n"/>
      <c r="K352" s="13" t="n"/>
      <c r="L352" s="15" t="n"/>
      <c r="M352" s="16">
        <f>IF(L352="","",IF(K352="GST 10%",ROUND(L352*0.1,2),0))</f>
        <v/>
      </c>
      <c r="N352" s="16">
        <f>IF(L352="","",L352+M352)</f>
        <v/>
      </c>
      <c r="O352" s="13" t="n"/>
      <c r="P352" s="13" t="n"/>
      <c r="Q352" s="13" t="n"/>
      <c r="R352" s="13" t="n"/>
      <c r="S352" s="13" t="n"/>
      <c r="T352" s="14">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row>
    <row r="353" ht="15" customHeight="1">
      <c r="A353" s="11" t="n"/>
      <c r="B353" s="12">
        <f>IF(A353="","",EOMONTH(A353,0))</f>
        <v/>
      </c>
      <c r="C353" s="13" t="n"/>
      <c r="D353" s="13" t="n"/>
      <c r="E353" s="13" t="n"/>
      <c r="F353" s="14">
        <f>IF(E353="","",IF(COUNTIF(lst_Jobs,E353&amp;"")&gt;0,"OK","CHECK"))</f>
        <v/>
      </c>
      <c r="G353" s="13" t="n"/>
      <c r="H353" s="13" t="n"/>
      <c r="I353" s="13" t="n"/>
      <c r="J353" s="13" t="n"/>
      <c r="K353" s="13" t="n"/>
      <c r="L353" s="15" t="n"/>
      <c r="M353" s="16">
        <f>IF(L353="","",IF(K353="GST 10%",ROUND(L353*0.1,2),0))</f>
        <v/>
      </c>
      <c r="N353" s="16">
        <f>IF(L353="","",L353+M353)</f>
        <v/>
      </c>
      <c r="O353" s="13" t="n"/>
      <c r="P353" s="13" t="n"/>
      <c r="Q353" s="13" t="n"/>
      <c r="R353" s="13" t="n"/>
      <c r="S353" s="13" t="n"/>
      <c r="T353" s="14">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row>
    <row r="354" ht="15" customHeight="1">
      <c r="A354" s="11" t="n"/>
      <c r="B354" s="12">
        <f>IF(A354="","",EOMONTH(A354,0))</f>
        <v/>
      </c>
      <c r="C354" s="13" t="n"/>
      <c r="D354" s="13" t="n"/>
      <c r="E354" s="13" t="n"/>
      <c r="F354" s="14">
        <f>IF(E354="","",IF(COUNTIF(lst_Jobs,E354&amp;"")&gt;0,"OK","CHECK"))</f>
        <v/>
      </c>
      <c r="G354" s="13" t="n"/>
      <c r="H354" s="13" t="n"/>
      <c r="I354" s="13" t="n"/>
      <c r="J354" s="13" t="n"/>
      <c r="K354" s="13" t="n"/>
      <c r="L354" s="15" t="n"/>
      <c r="M354" s="16">
        <f>IF(L354="","",IF(K354="GST 10%",ROUND(L354*0.1,2),0))</f>
        <v/>
      </c>
      <c r="N354" s="16">
        <f>IF(L354="","",L354+M354)</f>
        <v/>
      </c>
      <c r="O354" s="13" t="n"/>
      <c r="P354" s="13" t="n"/>
      <c r="Q354" s="13" t="n"/>
      <c r="R354" s="13" t="n"/>
      <c r="S354" s="13" t="n"/>
      <c r="T354" s="14">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row>
    <row r="355" ht="15" customHeight="1">
      <c r="A355" s="11" t="n"/>
      <c r="B355" s="12">
        <f>IF(A355="","",EOMONTH(A355,0))</f>
        <v/>
      </c>
      <c r="C355" s="13" t="n"/>
      <c r="D355" s="13" t="n"/>
      <c r="E355" s="13" t="n"/>
      <c r="F355" s="14">
        <f>IF(E355="","",IF(COUNTIF(lst_Jobs,E355&amp;"")&gt;0,"OK","CHECK"))</f>
        <v/>
      </c>
      <c r="G355" s="13" t="n"/>
      <c r="H355" s="13" t="n"/>
      <c r="I355" s="13" t="n"/>
      <c r="J355" s="13" t="n"/>
      <c r="K355" s="13" t="n"/>
      <c r="L355" s="15" t="n"/>
      <c r="M355" s="16">
        <f>IF(L355="","",IF(K355="GST 10%",ROUND(L355*0.1,2),0))</f>
        <v/>
      </c>
      <c r="N355" s="16">
        <f>IF(L355="","",L355+M355)</f>
        <v/>
      </c>
      <c r="O355" s="13" t="n"/>
      <c r="P355" s="13" t="n"/>
      <c r="Q355" s="13" t="n"/>
      <c r="R355" s="13" t="n"/>
      <c r="S355" s="13" t="n"/>
      <c r="T355" s="14">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row>
    <row r="356" ht="15" customHeight="1">
      <c r="A356" s="11" t="n"/>
      <c r="B356" s="12">
        <f>IF(A356="","",EOMONTH(A356,0))</f>
        <v/>
      </c>
      <c r="C356" s="13" t="n"/>
      <c r="D356" s="13" t="n"/>
      <c r="E356" s="13" t="n"/>
      <c r="F356" s="14">
        <f>IF(E356="","",IF(COUNTIF(lst_Jobs,E356&amp;"")&gt;0,"OK","CHECK"))</f>
        <v/>
      </c>
      <c r="G356" s="13" t="n"/>
      <c r="H356" s="13" t="n"/>
      <c r="I356" s="13" t="n"/>
      <c r="J356" s="13" t="n"/>
      <c r="K356" s="13" t="n"/>
      <c r="L356" s="15" t="n"/>
      <c r="M356" s="16">
        <f>IF(L356="","",IF(K356="GST 10%",ROUND(L356*0.1,2),0))</f>
        <v/>
      </c>
      <c r="N356" s="16">
        <f>IF(L356="","",L356+M356)</f>
        <v/>
      </c>
      <c r="O356" s="13" t="n"/>
      <c r="P356" s="13" t="n"/>
      <c r="Q356" s="13" t="n"/>
      <c r="R356" s="13" t="n"/>
      <c r="S356" s="13" t="n"/>
      <c r="T356" s="14">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row>
    <row r="357" ht="15" customHeight="1">
      <c r="A357" s="11" t="n"/>
      <c r="B357" s="12">
        <f>IF(A357="","",EOMONTH(A357,0))</f>
        <v/>
      </c>
      <c r="C357" s="13" t="n"/>
      <c r="D357" s="13" t="n"/>
      <c r="E357" s="13" t="n"/>
      <c r="F357" s="14">
        <f>IF(E357="","",IF(COUNTIF(lst_Jobs,E357&amp;"")&gt;0,"OK","CHECK"))</f>
        <v/>
      </c>
      <c r="G357" s="13" t="n"/>
      <c r="H357" s="13" t="n"/>
      <c r="I357" s="13" t="n"/>
      <c r="J357" s="13" t="n"/>
      <c r="K357" s="13" t="n"/>
      <c r="L357" s="15" t="n"/>
      <c r="M357" s="16">
        <f>IF(L357="","",IF(K357="GST 10%",ROUND(L357*0.1,2),0))</f>
        <v/>
      </c>
      <c r="N357" s="16">
        <f>IF(L357="","",L357+M357)</f>
        <v/>
      </c>
      <c r="O357" s="13" t="n"/>
      <c r="P357" s="13" t="n"/>
      <c r="Q357" s="13" t="n"/>
      <c r="R357" s="13" t="n"/>
      <c r="S357" s="13" t="n"/>
      <c r="T357" s="14">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row>
    <row r="358" ht="15" customHeight="1">
      <c r="A358" s="11" t="n"/>
      <c r="B358" s="12">
        <f>IF(A358="","",EOMONTH(A358,0))</f>
        <v/>
      </c>
      <c r="C358" s="13" t="n"/>
      <c r="D358" s="13" t="n"/>
      <c r="E358" s="13" t="n"/>
      <c r="F358" s="14">
        <f>IF(E358="","",IF(COUNTIF(lst_Jobs,E358&amp;"")&gt;0,"OK","CHECK"))</f>
        <v/>
      </c>
      <c r="G358" s="13" t="n"/>
      <c r="H358" s="13" t="n"/>
      <c r="I358" s="13" t="n"/>
      <c r="J358" s="13" t="n"/>
      <c r="K358" s="13" t="n"/>
      <c r="L358" s="15" t="n"/>
      <c r="M358" s="16">
        <f>IF(L358="","",IF(K358="GST 10%",ROUND(L358*0.1,2),0))</f>
        <v/>
      </c>
      <c r="N358" s="16">
        <f>IF(L358="","",L358+M358)</f>
        <v/>
      </c>
      <c r="O358" s="13" t="n"/>
      <c r="P358" s="13" t="n"/>
      <c r="Q358" s="13" t="n"/>
      <c r="R358" s="13" t="n"/>
      <c r="S358" s="13" t="n"/>
      <c r="T358" s="14">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row>
    <row r="359" ht="15" customHeight="1">
      <c r="A359" s="11" t="n"/>
      <c r="B359" s="12">
        <f>IF(A359="","",EOMONTH(A359,0))</f>
        <v/>
      </c>
      <c r="C359" s="13" t="n"/>
      <c r="D359" s="13" t="n"/>
      <c r="E359" s="13" t="n"/>
      <c r="F359" s="14">
        <f>IF(E359="","",IF(COUNTIF(lst_Jobs,E359&amp;"")&gt;0,"OK","CHECK"))</f>
        <v/>
      </c>
      <c r="G359" s="13" t="n"/>
      <c r="H359" s="13" t="n"/>
      <c r="I359" s="13" t="n"/>
      <c r="J359" s="13" t="n"/>
      <c r="K359" s="13" t="n"/>
      <c r="L359" s="15" t="n"/>
      <c r="M359" s="16">
        <f>IF(L359="","",IF(K359="GST 10%",ROUND(L359*0.1,2),0))</f>
        <v/>
      </c>
      <c r="N359" s="16">
        <f>IF(L359="","",L359+M359)</f>
        <v/>
      </c>
      <c r="O359" s="13" t="n"/>
      <c r="P359" s="13" t="n"/>
      <c r="Q359" s="13" t="n"/>
      <c r="R359" s="13" t="n"/>
      <c r="S359" s="13" t="n"/>
      <c r="T359" s="14">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row>
    <row r="360" ht="15" customHeight="1">
      <c r="A360" s="11" t="n"/>
      <c r="B360" s="12">
        <f>IF(A360="","",EOMONTH(A360,0))</f>
        <v/>
      </c>
      <c r="C360" s="13" t="n"/>
      <c r="D360" s="13" t="n"/>
      <c r="E360" s="13" t="n"/>
      <c r="F360" s="14">
        <f>IF(E360="","",IF(COUNTIF(lst_Jobs,E360&amp;"")&gt;0,"OK","CHECK"))</f>
        <v/>
      </c>
      <c r="G360" s="13" t="n"/>
      <c r="H360" s="13" t="n"/>
      <c r="I360" s="13" t="n"/>
      <c r="J360" s="13" t="n"/>
      <c r="K360" s="13" t="n"/>
      <c r="L360" s="15" t="n"/>
      <c r="M360" s="16">
        <f>IF(L360="","",IF(K360="GST 10%",ROUND(L360*0.1,2),0))</f>
        <v/>
      </c>
      <c r="N360" s="16">
        <f>IF(L360="","",L360+M360)</f>
        <v/>
      </c>
      <c r="O360" s="13" t="n"/>
      <c r="P360" s="13" t="n"/>
      <c r="Q360" s="13" t="n"/>
      <c r="R360" s="13" t="n"/>
      <c r="S360" s="13" t="n"/>
      <c r="T360" s="14">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row>
    <row r="361" ht="15" customHeight="1">
      <c r="A361" s="11" t="n"/>
      <c r="B361" s="12">
        <f>IF(A361="","",EOMONTH(A361,0))</f>
        <v/>
      </c>
      <c r="C361" s="13" t="n"/>
      <c r="D361" s="13" t="n"/>
      <c r="E361" s="13" t="n"/>
      <c r="F361" s="14">
        <f>IF(E361="","",IF(COUNTIF(lst_Jobs,E361&amp;"")&gt;0,"OK","CHECK"))</f>
        <v/>
      </c>
      <c r="G361" s="13" t="n"/>
      <c r="H361" s="13" t="n"/>
      <c r="I361" s="13" t="n"/>
      <c r="J361" s="13" t="n"/>
      <c r="K361" s="13" t="n"/>
      <c r="L361" s="15" t="n"/>
      <c r="M361" s="16">
        <f>IF(L361="","",IF(K361="GST 10%",ROUND(L361*0.1,2),0))</f>
        <v/>
      </c>
      <c r="N361" s="16">
        <f>IF(L361="","",L361+M361)</f>
        <v/>
      </c>
      <c r="O361" s="13" t="n"/>
      <c r="P361" s="13" t="n"/>
      <c r="Q361" s="13" t="n"/>
      <c r="R361" s="13" t="n"/>
      <c r="S361" s="13" t="n"/>
      <c r="T361" s="14">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row>
    <row r="362" ht="15" customHeight="1">
      <c r="A362" s="11" t="n"/>
      <c r="B362" s="12">
        <f>IF(A362="","",EOMONTH(A362,0))</f>
        <v/>
      </c>
      <c r="C362" s="13" t="n"/>
      <c r="D362" s="13" t="n"/>
      <c r="E362" s="13" t="n"/>
      <c r="F362" s="14">
        <f>IF(E362="","",IF(COUNTIF(lst_Jobs,E362&amp;"")&gt;0,"OK","CHECK"))</f>
        <v/>
      </c>
      <c r="G362" s="13" t="n"/>
      <c r="H362" s="13" t="n"/>
      <c r="I362" s="13" t="n"/>
      <c r="J362" s="13" t="n"/>
      <c r="K362" s="13" t="n"/>
      <c r="L362" s="15" t="n"/>
      <c r="M362" s="16">
        <f>IF(L362="","",IF(K362="GST 10%",ROUND(L362*0.1,2),0))</f>
        <v/>
      </c>
      <c r="N362" s="16">
        <f>IF(L362="","",L362+M362)</f>
        <v/>
      </c>
      <c r="O362" s="13" t="n"/>
      <c r="P362" s="13" t="n"/>
      <c r="Q362" s="13" t="n"/>
      <c r="R362" s="13" t="n"/>
      <c r="S362" s="13" t="n"/>
      <c r="T362" s="14">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row>
    <row r="363" ht="15" customHeight="1">
      <c r="A363" s="11" t="n"/>
      <c r="B363" s="12">
        <f>IF(A363="","",EOMONTH(A363,0))</f>
        <v/>
      </c>
      <c r="C363" s="13" t="n"/>
      <c r="D363" s="13" t="n"/>
      <c r="E363" s="13" t="n"/>
      <c r="F363" s="14">
        <f>IF(E363="","",IF(COUNTIF(lst_Jobs,E363&amp;"")&gt;0,"OK","CHECK"))</f>
        <v/>
      </c>
      <c r="G363" s="13" t="n"/>
      <c r="H363" s="13" t="n"/>
      <c r="I363" s="13" t="n"/>
      <c r="J363" s="13" t="n"/>
      <c r="K363" s="13" t="n"/>
      <c r="L363" s="15" t="n"/>
      <c r="M363" s="16">
        <f>IF(L363="","",IF(K363="GST 10%",ROUND(L363*0.1,2),0))</f>
        <v/>
      </c>
      <c r="N363" s="16">
        <f>IF(L363="","",L363+M363)</f>
        <v/>
      </c>
      <c r="O363" s="13" t="n"/>
      <c r="P363" s="13" t="n"/>
      <c r="Q363" s="13" t="n"/>
      <c r="R363" s="13" t="n"/>
      <c r="S363" s="13" t="n"/>
      <c r="T363" s="14">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row>
    <row r="364" ht="15" customHeight="1">
      <c r="A364" s="11" t="n"/>
      <c r="B364" s="12">
        <f>IF(A364="","",EOMONTH(A364,0))</f>
        <v/>
      </c>
      <c r="C364" s="13" t="n"/>
      <c r="D364" s="13" t="n"/>
      <c r="E364" s="13" t="n"/>
      <c r="F364" s="14">
        <f>IF(E364="","",IF(COUNTIF(lst_Jobs,E364&amp;"")&gt;0,"OK","CHECK"))</f>
        <v/>
      </c>
      <c r="G364" s="13" t="n"/>
      <c r="H364" s="13" t="n"/>
      <c r="I364" s="13" t="n"/>
      <c r="J364" s="13" t="n"/>
      <c r="K364" s="13" t="n"/>
      <c r="L364" s="15" t="n"/>
      <c r="M364" s="16">
        <f>IF(L364="","",IF(K364="GST 10%",ROUND(L364*0.1,2),0))</f>
        <v/>
      </c>
      <c r="N364" s="16">
        <f>IF(L364="","",L364+M364)</f>
        <v/>
      </c>
      <c r="O364" s="13" t="n"/>
      <c r="P364" s="13" t="n"/>
      <c r="Q364" s="13" t="n"/>
      <c r="R364" s="13" t="n"/>
      <c r="S364" s="13" t="n"/>
      <c r="T364" s="14">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row>
    <row r="365" ht="15" customHeight="1">
      <c r="A365" s="11" t="n"/>
      <c r="B365" s="12">
        <f>IF(A365="","",EOMONTH(A365,0))</f>
        <v/>
      </c>
      <c r="C365" s="13" t="n"/>
      <c r="D365" s="13" t="n"/>
      <c r="E365" s="13" t="n"/>
      <c r="F365" s="14">
        <f>IF(E365="","",IF(COUNTIF(lst_Jobs,E365&amp;"")&gt;0,"OK","CHECK"))</f>
        <v/>
      </c>
      <c r="G365" s="13" t="n"/>
      <c r="H365" s="13" t="n"/>
      <c r="I365" s="13" t="n"/>
      <c r="J365" s="13" t="n"/>
      <c r="K365" s="13" t="n"/>
      <c r="L365" s="15" t="n"/>
      <c r="M365" s="16">
        <f>IF(L365="","",IF(K365="GST 10%",ROUND(L365*0.1,2),0))</f>
        <v/>
      </c>
      <c r="N365" s="16">
        <f>IF(L365="","",L365+M365)</f>
        <v/>
      </c>
      <c r="O365" s="13" t="n"/>
      <c r="P365" s="13" t="n"/>
      <c r="Q365" s="13" t="n"/>
      <c r="R365" s="13" t="n"/>
      <c r="S365" s="13" t="n"/>
      <c r="T365" s="14">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row>
    <row r="366" ht="15" customHeight="1">
      <c r="A366" s="11" t="n"/>
      <c r="B366" s="12">
        <f>IF(A366="","",EOMONTH(A366,0))</f>
        <v/>
      </c>
      <c r="C366" s="13" t="n"/>
      <c r="D366" s="13" t="n"/>
      <c r="E366" s="13" t="n"/>
      <c r="F366" s="14">
        <f>IF(E366="","",IF(COUNTIF(lst_Jobs,E366&amp;"")&gt;0,"OK","CHECK"))</f>
        <v/>
      </c>
      <c r="G366" s="13" t="n"/>
      <c r="H366" s="13" t="n"/>
      <c r="I366" s="13" t="n"/>
      <c r="J366" s="13" t="n"/>
      <c r="K366" s="13" t="n"/>
      <c r="L366" s="15" t="n"/>
      <c r="M366" s="16">
        <f>IF(L366="","",IF(K366="GST 10%",ROUND(L366*0.1,2),0))</f>
        <v/>
      </c>
      <c r="N366" s="16">
        <f>IF(L366="","",L366+M366)</f>
        <v/>
      </c>
      <c r="O366" s="13" t="n"/>
      <c r="P366" s="13" t="n"/>
      <c r="Q366" s="13" t="n"/>
      <c r="R366" s="13" t="n"/>
      <c r="S366" s="13" t="n"/>
      <c r="T366" s="14">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row>
    <row r="367" ht="15" customHeight="1">
      <c r="A367" s="11" t="n"/>
      <c r="B367" s="12">
        <f>IF(A367="","",EOMONTH(A367,0))</f>
        <v/>
      </c>
      <c r="C367" s="13" t="n"/>
      <c r="D367" s="13" t="n"/>
      <c r="E367" s="13" t="n"/>
      <c r="F367" s="14">
        <f>IF(E367="","",IF(COUNTIF(lst_Jobs,E367&amp;"")&gt;0,"OK","CHECK"))</f>
        <v/>
      </c>
      <c r="G367" s="13" t="n"/>
      <c r="H367" s="13" t="n"/>
      <c r="I367" s="13" t="n"/>
      <c r="J367" s="13" t="n"/>
      <c r="K367" s="13" t="n"/>
      <c r="L367" s="15" t="n"/>
      <c r="M367" s="16">
        <f>IF(L367="","",IF(K367="GST 10%",ROUND(L367*0.1,2),0))</f>
        <v/>
      </c>
      <c r="N367" s="16">
        <f>IF(L367="","",L367+M367)</f>
        <v/>
      </c>
      <c r="O367" s="13" t="n"/>
      <c r="P367" s="13" t="n"/>
      <c r="Q367" s="13" t="n"/>
      <c r="R367" s="13" t="n"/>
      <c r="S367" s="13" t="n"/>
      <c r="T367" s="14">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row>
    <row r="368" ht="15" customHeight="1">
      <c r="A368" s="11" t="n"/>
      <c r="B368" s="12">
        <f>IF(A368="","",EOMONTH(A368,0))</f>
        <v/>
      </c>
      <c r="C368" s="13" t="n"/>
      <c r="D368" s="13" t="n"/>
      <c r="E368" s="13" t="n"/>
      <c r="F368" s="14">
        <f>IF(E368="","",IF(COUNTIF(lst_Jobs,E368&amp;"")&gt;0,"OK","CHECK"))</f>
        <v/>
      </c>
      <c r="G368" s="13" t="n"/>
      <c r="H368" s="13" t="n"/>
      <c r="I368" s="13" t="n"/>
      <c r="J368" s="13" t="n"/>
      <c r="K368" s="13" t="n"/>
      <c r="L368" s="15" t="n"/>
      <c r="M368" s="16">
        <f>IF(L368="","",IF(K368="GST 10%",ROUND(L368*0.1,2),0))</f>
        <v/>
      </c>
      <c r="N368" s="16">
        <f>IF(L368="","",L368+M368)</f>
        <v/>
      </c>
      <c r="O368" s="13" t="n"/>
      <c r="P368" s="13" t="n"/>
      <c r="Q368" s="13" t="n"/>
      <c r="R368" s="13" t="n"/>
      <c r="S368" s="13" t="n"/>
      <c r="T368" s="14">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row>
    <row r="369" ht="15" customHeight="1">
      <c r="A369" s="11" t="n"/>
      <c r="B369" s="12">
        <f>IF(A369="","",EOMONTH(A369,0))</f>
        <v/>
      </c>
      <c r="C369" s="13" t="n"/>
      <c r="D369" s="13" t="n"/>
      <c r="E369" s="13" t="n"/>
      <c r="F369" s="14">
        <f>IF(E369="","",IF(COUNTIF(lst_Jobs,E369&amp;"")&gt;0,"OK","CHECK"))</f>
        <v/>
      </c>
      <c r="G369" s="13" t="n"/>
      <c r="H369" s="13" t="n"/>
      <c r="I369" s="13" t="n"/>
      <c r="J369" s="13" t="n"/>
      <c r="K369" s="13" t="n"/>
      <c r="L369" s="15" t="n"/>
      <c r="M369" s="16">
        <f>IF(L369="","",IF(K369="GST 10%",ROUND(L369*0.1,2),0))</f>
        <v/>
      </c>
      <c r="N369" s="16">
        <f>IF(L369="","",L369+M369)</f>
        <v/>
      </c>
      <c r="O369" s="13" t="n"/>
      <c r="P369" s="13" t="n"/>
      <c r="Q369" s="13" t="n"/>
      <c r="R369" s="13" t="n"/>
      <c r="S369" s="13" t="n"/>
      <c r="T369" s="14">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row>
    <row r="370" ht="15" customHeight="1">
      <c r="A370" s="11" t="n"/>
      <c r="B370" s="12">
        <f>IF(A370="","",EOMONTH(A370,0))</f>
        <v/>
      </c>
      <c r="C370" s="13" t="n"/>
      <c r="D370" s="13" t="n"/>
      <c r="E370" s="13" t="n"/>
      <c r="F370" s="14">
        <f>IF(E370="","",IF(COUNTIF(lst_Jobs,E370&amp;"")&gt;0,"OK","CHECK"))</f>
        <v/>
      </c>
      <c r="G370" s="13" t="n"/>
      <c r="H370" s="13" t="n"/>
      <c r="I370" s="13" t="n"/>
      <c r="J370" s="13" t="n"/>
      <c r="K370" s="13" t="n"/>
      <c r="L370" s="15" t="n"/>
      <c r="M370" s="16">
        <f>IF(L370="","",IF(K370="GST 10%",ROUND(L370*0.1,2),0))</f>
        <v/>
      </c>
      <c r="N370" s="16">
        <f>IF(L370="","",L370+M370)</f>
        <v/>
      </c>
      <c r="O370" s="13" t="n"/>
      <c r="P370" s="13" t="n"/>
      <c r="Q370" s="13" t="n"/>
      <c r="R370" s="13" t="n"/>
      <c r="S370" s="13" t="n"/>
      <c r="T370" s="14">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row>
    <row r="371" ht="15" customHeight="1">
      <c r="A371" s="11" t="n"/>
      <c r="B371" s="12">
        <f>IF(A371="","",EOMONTH(A371,0))</f>
        <v/>
      </c>
      <c r="C371" s="13" t="n"/>
      <c r="D371" s="13" t="n"/>
      <c r="E371" s="13" t="n"/>
      <c r="F371" s="14">
        <f>IF(E371="","",IF(COUNTIF(lst_Jobs,E371&amp;"")&gt;0,"OK","CHECK"))</f>
        <v/>
      </c>
      <c r="G371" s="13" t="n"/>
      <c r="H371" s="13" t="n"/>
      <c r="I371" s="13" t="n"/>
      <c r="J371" s="13" t="n"/>
      <c r="K371" s="13" t="n"/>
      <c r="L371" s="15" t="n"/>
      <c r="M371" s="16">
        <f>IF(L371="","",IF(K371="GST 10%",ROUND(L371*0.1,2),0))</f>
        <v/>
      </c>
      <c r="N371" s="16">
        <f>IF(L371="","",L371+M371)</f>
        <v/>
      </c>
      <c r="O371" s="13" t="n"/>
      <c r="P371" s="13" t="n"/>
      <c r="Q371" s="13" t="n"/>
      <c r="R371" s="13" t="n"/>
      <c r="S371" s="13" t="n"/>
      <c r="T371" s="14">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row>
    <row r="372" ht="15" customHeight="1">
      <c r="A372" s="11" t="n"/>
      <c r="B372" s="12">
        <f>IF(A372="","",EOMONTH(A372,0))</f>
        <v/>
      </c>
      <c r="C372" s="13" t="n"/>
      <c r="D372" s="13" t="n"/>
      <c r="E372" s="13" t="n"/>
      <c r="F372" s="14">
        <f>IF(E372="","",IF(COUNTIF(lst_Jobs,E372&amp;"")&gt;0,"OK","CHECK"))</f>
        <v/>
      </c>
      <c r="G372" s="13" t="n"/>
      <c r="H372" s="13" t="n"/>
      <c r="I372" s="13" t="n"/>
      <c r="J372" s="13" t="n"/>
      <c r="K372" s="13" t="n"/>
      <c r="L372" s="15" t="n"/>
      <c r="M372" s="16">
        <f>IF(L372="","",IF(K372="GST 10%",ROUND(L372*0.1,2),0))</f>
        <v/>
      </c>
      <c r="N372" s="16">
        <f>IF(L372="","",L372+M372)</f>
        <v/>
      </c>
      <c r="O372" s="13" t="n"/>
      <c r="P372" s="13" t="n"/>
      <c r="Q372" s="13" t="n"/>
      <c r="R372" s="13" t="n"/>
      <c r="S372" s="13" t="n"/>
      <c r="T372" s="14">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row>
    <row r="373" ht="15" customHeight="1">
      <c r="A373" s="11" t="n"/>
      <c r="B373" s="12">
        <f>IF(A373="","",EOMONTH(A373,0))</f>
        <v/>
      </c>
      <c r="C373" s="13" t="n"/>
      <c r="D373" s="13" t="n"/>
      <c r="E373" s="13" t="n"/>
      <c r="F373" s="14">
        <f>IF(E373="","",IF(COUNTIF(lst_Jobs,E373&amp;"")&gt;0,"OK","CHECK"))</f>
        <v/>
      </c>
      <c r="G373" s="13" t="n"/>
      <c r="H373" s="13" t="n"/>
      <c r="I373" s="13" t="n"/>
      <c r="J373" s="13" t="n"/>
      <c r="K373" s="13" t="n"/>
      <c r="L373" s="15" t="n"/>
      <c r="M373" s="16">
        <f>IF(L373="","",IF(K373="GST 10%",ROUND(L373*0.1,2),0))</f>
        <v/>
      </c>
      <c r="N373" s="16">
        <f>IF(L373="","",L373+M373)</f>
        <v/>
      </c>
      <c r="O373" s="13" t="n"/>
      <c r="P373" s="13" t="n"/>
      <c r="Q373" s="13" t="n"/>
      <c r="R373" s="13" t="n"/>
      <c r="S373" s="13" t="n"/>
      <c r="T373" s="14">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row>
    <row r="374" ht="15" customHeight="1">
      <c r="A374" s="11" t="n"/>
      <c r="B374" s="12">
        <f>IF(A374="","",EOMONTH(A374,0))</f>
        <v/>
      </c>
      <c r="C374" s="13" t="n"/>
      <c r="D374" s="13" t="n"/>
      <c r="E374" s="13" t="n"/>
      <c r="F374" s="14">
        <f>IF(E374="","",IF(COUNTIF(lst_Jobs,E374&amp;"")&gt;0,"OK","CHECK"))</f>
        <v/>
      </c>
      <c r="G374" s="13" t="n"/>
      <c r="H374" s="13" t="n"/>
      <c r="I374" s="13" t="n"/>
      <c r="J374" s="13" t="n"/>
      <c r="K374" s="13" t="n"/>
      <c r="L374" s="15" t="n"/>
      <c r="M374" s="16">
        <f>IF(L374="","",IF(K374="GST 10%",ROUND(L374*0.1,2),0))</f>
        <v/>
      </c>
      <c r="N374" s="16">
        <f>IF(L374="","",L374+M374)</f>
        <v/>
      </c>
      <c r="O374" s="13" t="n"/>
      <c r="P374" s="13" t="n"/>
      <c r="Q374" s="13" t="n"/>
      <c r="R374" s="13" t="n"/>
      <c r="S374" s="13" t="n"/>
      <c r="T374" s="14">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row>
    <row r="375" ht="15" customHeight="1">
      <c r="A375" s="11" t="n"/>
      <c r="B375" s="12">
        <f>IF(A375="","",EOMONTH(A375,0))</f>
        <v/>
      </c>
      <c r="C375" s="13" t="n"/>
      <c r="D375" s="13" t="n"/>
      <c r="E375" s="13" t="n"/>
      <c r="F375" s="14">
        <f>IF(E375="","",IF(COUNTIF(lst_Jobs,E375&amp;"")&gt;0,"OK","CHECK"))</f>
        <v/>
      </c>
      <c r="G375" s="13" t="n"/>
      <c r="H375" s="13" t="n"/>
      <c r="I375" s="13" t="n"/>
      <c r="J375" s="13" t="n"/>
      <c r="K375" s="13" t="n"/>
      <c r="L375" s="15" t="n"/>
      <c r="M375" s="16">
        <f>IF(L375="","",IF(K375="GST 10%",ROUND(L375*0.1,2),0))</f>
        <v/>
      </c>
      <c r="N375" s="16">
        <f>IF(L375="","",L375+M375)</f>
        <v/>
      </c>
      <c r="O375" s="13" t="n"/>
      <c r="P375" s="13" t="n"/>
      <c r="Q375" s="13" t="n"/>
      <c r="R375" s="13" t="n"/>
      <c r="S375" s="13" t="n"/>
      <c r="T375" s="14">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row>
    <row r="376" ht="15" customHeight="1">
      <c r="A376" s="11" t="n"/>
      <c r="B376" s="12">
        <f>IF(A376="","",EOMONTH(A376,0))</f>
        <v/>
      </c>
      <c r="C376" s="13" t="n"/>
      <c r="D376" s="13" t="n"/>
      <c r="E376" s="13" t="n"/>
      <c r="F376" s="14">
        <f>IF(E376="","",IF(COUNTIF(lst_Jobs,E376&amp;"")&gt;0,"OK","CHECK"))</f>
        <v/>
      </c>
      <c r="G376" s="13" t="n"/>
      <c r="H376" s="13" t="n"/>
      <c r="I376" s="13" t="n"/>
      <c r="J376" s="13" t="n"/>
      <c r="K376" s="13" t="n"/>
      <c r="L376" s="15" t="n"/>
      <c r="M376" s="16">
        <f>IF(L376="","",IF(K376="GST 10%",ROUND(L376*0.1,2),0))</f>
        <v/>
      </c>
      <c r="N376" s="16">
        <f>IF(L376="","",L376+M376)</f>
        <v/>
      </c>
      <c r="O376" s="13" t="n"/>
      <c r="P376" s="13" t="n"/>
      <c r="Q376" s="13" t="n"/>
      <c r="R376" s="13" t="n"/>
      <c r="S376" s="13" t="n"/>
      <c r="T376" s="14">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row>
    <row r="377" ht="15" customHeight="1">
      <c r="A377" s="11" t="n"/>
      <c r="B377" s="12">
        <f>IF(A377="","",EOMONTH(A377,0))</f>
        <v/>
      </c>
      <c r="C377" s="13" t="n"/>
      <c r="D377" s="13" t="n"/>
      <c r="E377" s="13" t="n"/>
      <c r="F377" s="14">
        <f>IF(E377="","",IF(COUNTIF(lst_Jobs,E377&amp;"")&gt;0,"OK","CHECK"))</f>
        <v/>
      </c>
      <c r="G377" s="13" t="n"/>
      <c r="H377" s="13" t="n"/>
      <c r="I377" s="13" t="n"/>
      <c r="J377" s="13" t="n"/>
      <c r="K377" s="13" t="n"/>
      <c r="L377" s="15" t="n"/>
      <c r="M377" s="16">
        <f>IF(L377="","",IF(K377="GST 10%",ROUND(L377*0.1,2),0))</f>
        <v/>
      </c>
      <c r="N377" s="16">
        <f>IF(L377="","",L377+M377)</f>
        <v/>
      </c>
      <c r="O377" s="13" t="n"/>
      <c r="P377" s="13" t="n"/>
      <c r="Q377" s="13" t="n"/>
      <c r="R377" s="13" t="n"/>
      <c r="S377" s="13" t="n"/>
      <c r="T377" s="14">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row>
    <row r="378" ht="15" customHeight="1">
      <c r="A378" s="11" t="n"/>
      <c r="B378" s="12">
        <f>IF(A378="","",EOMONTH(A378,0))</f>
        <v/>
      </c>
      <c r="C378" s="13" t="n"/>
      <c r="D378" s="13" t="n"/>
      <c r="E378" s="13" t="n"/>
      <c r="F378" s="14">
        <f>IF(E378="","",IF(COUNTIF(lst_Jobs,E378&amp;"")&gt;0,"OK","CHECK"))</f>
        <v/>
      </c>
      <c r="G378" s="13" t="n"/>
      <c r="H378" s="13" t="n"/>
      <c r="I378" s="13" t="n"/>
      <c r="J378" s="13" t="n"/>
      <c r="K378" s="13" t="n"/>
      <c r="L378" s="15" t="n"/>
      <c r="M378" s="16">
        <f>IF(L378="","",IF(K378="GST 10%",ROUND(L378*0.1,2),0))</f>
        <v/>
      </c>
      <c r="N378" s="16">
        <f>IF(L378="","",L378+M378)</f>
        <v/>
      </c>
      <c r="O378" s="13" t="n"/>
      <c r="P378" s="13" t="n"/>
      <c r="Q378" s="13" t="n"/>
      <c r="R378" s="13" t="n"/>
      <c r="S378" s="13" t="n"/>
      <c r="T378" s="14">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row>
    <row r="379" ht="15" customHeight="1">
      <c r="A379" s="11" t="n"/>
      <c r="B379" s="12">
        <f>IF(A379="","",EOMONTH(A379,0))</f>
        <v/>
      </c>
      <c r="C379" s="13" t="n"/>
      <c r="D379" s="13" t="n"/>
      <c r="E379" s="13" t="n"/>
      <c r="F379" s="14">
        <f>IF(E379="","",IF(COUNTIF(lst_Jobs,E379&amp;"")&gt;0,"OK","CHECK"))</f>
        <v/>
      </c>
      <c r="G379" s="13" t="n"/>
      <c r="H379" s="13" t="n"/>
      <c r="I379" s="13" t="n"/>
      <c r="J379" s="13" t="n"/>
      <c r="K379" s="13" t="n"/>
      <c r="L379" s="15" t="n"/>
      <c r="M379" s="16">
        <f>IF(L379="","",IF(K379="GST 10%",ROUND(L379*0.1,2),0))</f>
        <v/>
      </c>
      <c r="N379" s="16">
        <f>IF(L379="","",L379+M379)</f>
        <v/>
      </c>
      <c r="O379" s="13" t="n"/>
      <c r="P379" s="13" t="n"/>
      <c r="Q379" s="13" t="n"/>
      <c r="R379" s="13" t="n"/>
      <c r="S379" s="13" t="n"/>
      <c r="T379" s="14">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row>
    <row r="380" ht="15" customHeight="1">
      <c r="A380" s="11" t="n"/>
      <c r="B380" s="12">
        <f>IF(A380="","",EOMONTH(A380,0))</f>
        <v/>
      </c>
      <c r="C380" s="13" t="n"/>
      <c r="D380" s="13" t="n"/>
      <c r="E380" s="13" t="n"/>
      <c r="F380" s="14">
        <f>IF(E380="","",IF(COUNTIF(lst_Jobs,E380&amp;"")&gt;0,"OK","CHECK"))</f>
        <v/>
      </c>
      <c r="G380" s="13" t="n"/>
      <c r="H380" s="13" t="n"/>
      <c r="I380" s="13" t="n"/>
      <c r="J380" s="13" t="n"/>
      <c r="K380" s="13" t="n"/>
      <c r="L380" s="15" t="n"/>
      <c r="M380" s="16">
        <f>IF(L380="","",IF(K380="GST 10%",ROUND(L380*0.1,2),0))</f>
        <v/>
      </c>
      <c r="N380" s="16">
        <f>IF(L380="","",L380+M380)</f>
        <v/>
      </c>
      <c r="O380" s="13" t="n"/>
      <c r="P380" s="13" t="n"/>
      <c r="Q380" s="13" t="n"/>
      <c r="R380" s="13" t="n"/>
      <c r="S380" s="13" t="n"/>
      <c r="T380" s="14">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row>
    <row r="381" ht="15" customHeight="1">
      <c r="A381" s="11" t="n"/>
      <c r="B381" s="12">
        <f>IF(A381="","",EOMONTH(A381,0))</f>
        <v/>
      </c>
      <c r="C381" s="13" t="n"/>
      <c r="D381" s="13" t="n"/>
      <c r="E381" s="13" t="n"/>
      <c r="F381" s="14">
        <f>IF(E381="","",IF(COUNTIF(lst_Jobs,E381&amp;"")&gt;0,"OK","CHECK"))</f>
        <v/>
      </c>
      <c r="G381" s="13" t="n"/>
      <c r="H381" s="13" t="n"/>
      <c r="I381" s="13" t="n"/>
      <c r="J381" s="13" t="n"/>
      <c r="K381" s="13" t="n"/>
      <c r="L381" s="15" t="n"/>
      <c r="M381" s="16">
        <f>IF(L381="","",IF(K381="GST 10%",ROUND(L381*0.1,2),0))</f>
        <v/>
      </c>
      <c r="N381" s="16">
        <f>IF(L381="","",L381+M381)</f>
        <v/>
      </c>
      <c r="O381" s="13" t="n"/>
      <c r="P381" s="13" t="n"/>
      <c r="Q381" s="13" t="n"/>
      <c r="R381" s="13" t="n"/>
      <c r="S381" s="13" t="n"/>
      <c r="T381" s="14">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row>
    <row r="382" ht="15" customHeight="1">
      <c r="A382" s="11" t="n"/>
      <c r="B382" s="12">
        <f>IF(A382="","",EOMONTH(A382,0))</f>
        <v/>
      </c>
      <c r="C382" s="13" t="n"/>
      <c r="D382" s="13" t="n"/>
      <c r="E382" s="13" t="n"/>
      <c r="F382" s="14">
        <f>IF(E382="","",IF(COUNTIF(lst_Jobs,E382&amp;"")&gt;0,"OK","CHECK"))</f>
        <v/>
      </c>
      <c r="G382" s="13" t="n"/>
      <c r="H382" s="13" t="n"/>
      <c r="I382" s="13" t="n"/>
      <c r="J382" s="13" t="n"/>
      <c r="K382" s="13" t="n"/>
      <c r="L382" s="15" t="n"/>
      <c r="M382" s="16">
        <f>IF(L382="","",IF(K382="GST 10%",ROUND(L382*0.1,2),0))</f>
        <v/>
      </c>
      <c r="N382" s="16">
        <f>IF(L382="","",L382+M382)</f>
        <v/>
      </c>
      <c r="O382" s="13" t="n"/>
      <c r="P382" s="13" t="n"/>
      <c r="Q382" s="13" t="n"/>
      <c r="R382" s="13" t="n"/>
      <c r="S382" s="13" t="n"/>
      <c r="T382" s="14">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row>
    <row r="383" ht="15" customHeight="1">
      <c r="A383" s="11" t="n"/>
      <c r="B383" s="12">
        <f>IF(A383="","",EOMONTH(A383,0))</f>
        <v/>
      </c>
      <c r="C383" s="13" t="n"/>
      <c r="D383" s="13" t="n"/>
      <c r="E383" s="13" t="n"/>
      <c r="F383" s="14">
        <f>IF(E383="","",IF(COUNTIF(lst_Jobs,E383&amp;"")&gt;0,"OK","CHECK"))</f>
        <v/>
      </c>
      <c r="G383" s="13" t="n"/>
      <c r="H383" s="13" t="n"/>
      <c r="I383" s="13" t="n"/>
      <c r="J383" s="13" t="n"/>
      <c r="K383" s="13" t="n"/>
      <c r="L383" s="15" t="n"/>
      <c r="M383" s="16">
        <f>IF(L383="","",IF(K383="GST 10%",ROUND(L383*0.1,2),0))</f>
        <v/>
      </c>
      <c r="N383" s="16">
        <f>IF(L383="","",L383+M383)</f>
        <v/>
      </c>
      <c r="O383" s="13" t="n"/>
      <c r="P383" s="13" t="n"/>
      <c r="Q383" s="13" t="n"/>
      <c r="R383" s="13" t="n"/>
      <c r="S383" s="13" t="n"/>
      <c r="T383" s="14">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row>
    <row r="384" ht="15" customHeight="1">
      <c r="A384" s="11" t="n"/>
      <c r="B384" s="12">
        <f>IF(A384="","",EOMONTH(A384,0))</f>
        <v/>
      </c>
      <c r="C384" s="13" t="n"/>
      <c r="D384" s="13" t="n"/>
      <c r="E384" s="13" t="n"/>
      <c r="F384" s="14">
        <f>IF(E384="","",IF(COUNTIF(lst_Jobs,E384&amp;"")&gt;0,"OK","CHECK"))</f>
        <v/>
      </c>
      <c r="G384" s="13" t="n"/>
      <c r="H384" s="13" t="n"/>
      <c r="I384" s="13" t="n"/>
      <c r="J384" s="13" t="n"/>
      <c r="K384" s="13" t="n"/>
      <c r="L384" s="15" t="n"/>
      <c r="M384" s="16">
        <f>IF(L384="","",IF(K384="GST 10%",ROUND(L384*0.1,2),0))</f>
        <v/>
      </c>
      <c r="N384" s="16">
        <f>IF(L384="","",L384+M384)</f>
        <v/>
      </c>
      <c r="O384" s="13" t="n"/>
      <c r="P384" s="13" t="n"/>
      <c r="Q384" s="13" t="n"/>
      <c r="R384" s="13" t="n"/>
      <c r="S384" s="13" t="n"/>
      <c r="T384" s="14">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row>
    <row r="385" ht="15" customHeight="1">
      <c r="A385" s="11" t="n"/>
      <c r="B385" s="12">
        <f>IF(A385="","",EOMONTH(A385,0))</f>
        <v/>
      </c>
      <c r="C385" s="13" t="n"/>
      <c r="D385" s="13" t="n"/>
      <c r="E385" s="13" t="n"/>
      <c r="F385" s="14">
        <f>IF(E385="","",IF(COUNTIF(lst_Jobs,E385&amp;"")&gt;0,"OK","CHECK"))</f>
        <v/>
      </c>
      <c r="G385" s="13" t="n"/>
      <c r="H385" s="13" t="n"/>
      <c r="I385" s="13" t="n"/>
      <c r="J385" s="13" t="n"/>
      <c r="K385" s="13" t="n"/>
      <c r="L385" s="15" t="n"/>
      <c r="M385" s="16">
        <f>IF(L385="","",IF(K385="GST 10%",ROUND(L385*0.1,2),0))</f>
        <v/>
      </c>
      <c r="N385" s="16">
        <f>IF(L385="","",L385+M385)</f>
        <v/>
      </c>
      <c r="O385" s="13" t="n"/>
      <c r="P385" s="13" t="n"/>
      <c r="Q385" s="13" t="n"/>
      <c r="R385" s="13" t="n"/>
      <c r="S385" s="13" t="n"/>
      <c r="T385" s="14">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row>
    <row r="386" ht="15" customHeight="1">
      <c r="A386" s="11" t="n"/>
      <c r="B386" s="12">
        <f>IF(A386="","",EOMONTH(A386,0))</f>
        <v/>
      </c>
      <c r="C386" s="13" t="n"/>
      <c r="D386" s="13" t="n"/>
      <c r="E386" s="13" t="n"/>
      <c r="F386" s="14">
        <f>IF(E386="","",IF(COUNTIF(lst_Jobs,E386&amp;"")&gt;0,"OK","CHECK"))</f>
        <v/>
      </c>
      <c r="G386" s="13" t="n"/>
      <c r="H386" s="13" t="n"/>
      <c r="I386" s="13" t="n"/>
      <c r="J386" s="13" t="n"/>
      <c r="K386" s="13" t="n"/>
      <c r="L386" s="15" t="n"/>
      <c r="M386" s="16">
        <f>IF(L386="","",IF(K386="GST 10%",ROUND(L386*0.1,2),0))</f>
        <v/>
      </c>
      <c r="N386" s="16">
        <f>IF(L386="","",L386+M386)</f>
        <v/>
      </c>
      <c r="O386" s="13" t="n"/>
      <c r="P386" s="13" t="n"/>
      <c r="Q386" s="13" t="n"/>
      <c r="R386" s="13" t="n"/>
      <c r="S386" s="13" t="n"/>
      <c r="T386" s="14">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row>
    <row r="387" ht="15" customHeight="1">
      <c r="A387" s="11" t="n"/>
      <c r="B387" s="12">
        <f>IF(A387="","",EOMONTH(A387,0))</f>
        <v/>
      </c>
      <c r="C387" s="13" t="n"/>
      <c r="D387" s="13" t="n"/>
      <c r="E387" s="13" t="n"/>
      <c r="F387" s="14">
        <f>IF(E387="","",IF(COUNTIF(lst_Jobs,E387&amp;"")&gt;0,"OK","CHECK"))</f>
        <v/>
      </c>
      <c r="G387" s="13" t="n"/>
      <c r="H387" s="13" t="n"/>
      <c r="I387" s="13" t="n"/>
      <c r="J387" s="13" t="n"/>
      <c r="K387" s="13" t="n"/>
      <c r="L387" s="15" t="n"/>
      <c r="M387" s="16">
        <f>IF(L387="","",IF(K387="GST 10%",ROUND(L387*0.1,2),0))</f>
        <v/>
      </c>
      <c r="N387" s="16">
        <f>IF(L387="","",L387+M387)</f>
        <v/>
      </c>
      <c r="O387" s="13" t="n"/>
      <c r="P387" s="13" t="n"/>
      <c r="Q387" s="13" t="n"/>
      <c r="R387" s="13" t="n"/>
      <c r="S387" s="13" t="n"/>
      <c r="T387" s="14">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row>
    <row r="388" ht="15" customHeight="1">
      <c r="A388" s="11" t="n"/>
      <c r="B388" s="12">
        <f>IF(A388="","",EOMONTH(A388,0))</f>
        <v/>
      </c>
      <c r="C388" s="13" t="n"/>
      <c r="D388" s="13" t="n"/>
      <c r="E388" s="13" t="n"/>
      <c r="F388" s="14">
        <f>IF(E388="","",IF(COUNTIF(lst_Jobs,E388&amp;"")&gt;0,"OK","CHECK"))</f>
        <v/>
      </c>
      <c r="G388" s="13" t="n"/>
      <c r="H388" s="13" t="n"/>
      <c r="I388" s="13" t="n"/>
      <c r="J388" s="13" t="n"/>
      <c r="K388" s="13" t="n"/>
      <c r="L388" s="15" t="n"/>
      <c r="M388" s="16">
        <f>IF(L388="","",IF(K388="GST 10%",ROUND(L388*0.1,2),0))</f>
        <v/>
      </c>
      <c r="N388" s="16">
        <f>IF(L388="","",L388+M388)</f>
        <v/>
      </c>
      <c r="O388" s="13" t="n"/>
      <c r="P388" s="13" t="n"/>
      <c r="Q388" s="13" t="n"/>
      <c r="R388" s="13" t="n"/>
      <c r="S388" s="13" t="n"/>
      <c r="T388" s="14">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row>
    <row r="389" ht="15" customHeight="1">
      <c r="A389" s="11" t="n"/>
      <c r="B389" s="12">
        <f>IF(A389="","",EOMONTH(A389,0))</f>
        <v/>
      </c>
      <c r="C389" s="13" t="n"/>
      <c r="D389" s="13" t="n"/>
      <c r="E389" s="13" t="n"/>
      <c r="F389" s="14">
        <f>IF(E389="","",IF(COUNTIF(lst_Jobs,E389&amp;"")&gt;0,"OK","CHECK"))</f>
        <v/>
      </c>
      <c r="G389" s="13" t="n"/>
      <c r="H389" s="13" t="n"/>
      <c r="I389" s="13" t="n"/>
      <c r="J389" s="13" t="n"/>
      <c r="K389" s="13" t="n"/>
      <c r="L389" s="15" t="n"/>
      <c r="M389" s="16">
        <f>IF(L389="","",IF(K389="GST 10%",ROUND(L389*0.1,2),0))</f>
        <v/>
      </c>
      <c r="N389" s="16">
        <f>IF(L389="","",L389+M389)</f>
        <v/>
      </c>
      <c r="O389" s="13" t="n"/>
      <c r="P389" s="13" t="n"/>
      <c r="Q389" s="13" t="n"/>
      <c r="R389" s="13" t="n"/>
      <c r="S389" s="13" t="n"/>
      <c r="T389" s="14">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row>
    <row r="390" ht="15" customHeight="1">
      <c r="A390" s="11" t="n"/>
      <c r="B390" s="12">
        <f>IF(A390="","",EOMONTH(A390,0))</f>
        <v/>
      </c>
      <c r="C390" s="13" t="n"/>
      <c r="D390" s="13" t="n"/>
      <c r="E390" s="13" t="n"/>
      <c r="F390" s="14">
        <f>IF(E390="","",IF(COUNTIF(lst_Jobs,E390&amp;"")&gt;0,"OK","CHECK"))</f>
        <v/>
      </c>
      <c r="G390" s="13" t="n"/>
      <c r="H390" s="13" t="n"/>
      <c r="I390" s="13" t="n"/>
      <c r="J390" s="13" t="n"/>
      <c r="K390" s="13" t="n"/>
      <c r="L390" s="15" t="n"/>
      <c r="M390" s="16">
        <f>IF(L390="","",IF(K390="GST 10%",ROUND(L390*0.1,2),0))</f>
        <v/>
      </c>
      <c r="N390" s="16">
        <f>IF(L390="","",L390+M390)</f>
        <v/>
      </c>
      <c r="O390" s="13" t="n"/>
      <c r="P390" s="13" t="n"/>
      <c r="Q390" s="13" t="n"/>
      <c r="R390" s="13" t="n"/>
      <c r="S390" s="13" t="n"/>
      <c r="T390" s="14">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row>
    <row r="391" ht="15" customHeight="1">
      <c r="A391" s="11" t="n"/>
      <c r="B391" s="12">
        <f>IF(A391="","",EOMONTH(A391,0))</f>
        <v/>
      </c>
      <c r="C391" s="13" t="n"/>
      <c r="D391" s="13" t="n"/>
      <c r="E391" s="13" t="n"/>
      <c r="F391" s="14">
        <f>IF(E391="","",IF(COUNTIF(lst_Jobs,E391&amp;"")&gt;0,"OK","CHECK"))</f>
        <v/>
      </c>
      <c r="G391" s="13" t="n"/>
      <c r="H391" s="13" t="n"/>
      <c r="I391" s="13" t="n"/>
      <c r="J391" s="13" t="n"/>
      <c r="K391" s="13" t="n"/>
      <c r="L391" s="15" t="n"/>
      <c r="M391" s="16">
        <f>IF(L391="","",IF(K391="GST 10%",ROUND(L391*0.1,2),0))</f>
        <v/>
      </c>
      <c r="N391" s="16">
        <f>IF(L391="","",L391+M391)</f>
        <v/>
      </c>
      <c r="O391" s="13" t="n"/>
      <c r="P391" s="13" t="n"/>
      <c r="Q391" s="13" t="n"/>
      <c r="R391" s="13" t="n"/>
      <c r="S391" s="13" t="n"/>
      <c r="T391" s="14">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row>
    <row r="392" ht="15" customHeight="1">
      <c r="A392" s="11" t="n"/>
      <c r="B392" s="12">
        <f>IF(A392="","",EOMONTH(A392,0))</f>
        <v/>
      </c>
      <c r="C392" s="13" t="n"/>
      <c r="D392" s="13" t="n"/>
      <c r="E392" s="13" t="n"/>
      <c r="F392" s="14">
        <f>IF(E392="","",IF(COUNTIF(lst_Jobs,E392&amp;"")&gt;0,"OK","CHECK"))</f>
        <v/>
      </c>
      <c r="G392" s="13" t="n"/>
      <c r="H392" s="13" t="n"/>
      <c r="I392" s="13" t="n"/>
      <c r="J392" s="13" t="n"/>
      <c r="K392" s="13" t="n"/>
      <c r="L392" s="15" t="n"/>
      <c r="M392" s="16">
        <f>IF(L392="","",IF(K392="GST 10%",ROUND(L392*0.1,2),0))</f>
        <v/>
      </c>
      <c r="N392" s="16">
        <f>IF(L392="","",L392+M392)</f>
        <v/>
      </c>
      <c r="O392" s="13" t="n"/>
      <c r="P392" s="13" t="n"/>
      <c r="Q392" s="13" t="n"/>
      <c r="R392" s="13" t="n"/>
      <c r="S392" s="13" t="n"/>
      <c r="T392" s="14">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row>
    <row r="393" ht="15" customHeight="1">
      <c r="A393" s="11" t="n"/>
      <c r="B393" s="12">
        <f>IF(A393="","",EOMONTH(A393,0))</f>
        <v/>
      </c>
      <c r="C393" s="13" t="n"/>
      <c r="D393" s="13" t="n"/>
      <c r="E393" s="13" t="n"/>
      <c r="F393" s="14">
        <f>IF(E393="","",IF(COUNTIF(lst_Jobs,E393&amp;"")&gt;0,"OK","CHECK"))</f>
        <v/>
      </c>
      <c r="G393" s="13" t="n"/>
      <c r="H393" s="13" t="n"/>
      <c r="I393" s="13" t="n"/>
      <c r="J393" s="13" t="n"/>
      <c r="K393" s="13" t="n"/>
      <c r="L393" s="15" t="n"/>
      <c r="M393" s="16">
        <f>IF(L393="","",IF(K393="GST 10%",ROUND(L393*0.1,2),0))</f>
        <v/>
      </c>
      <c r="N393" s="16">
        <f>IF(L393="","",L393+M393)</f>
        <v/>
      </c>
      <c r="O393" s="13" t="n"/>
      <c r="P393" s="13" t="n"/>
      <c r="Q393" s="13" t="n"/>
      <c r="R393" s="13" t="n"/>
      <c r="S393" s="13" t="n"/>
      <c r="T393" s="14">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row>
    <row r="394" ht="15" customHeight="1">
      <c r="A394" s="11" t="n"/>
      <c r="B394" s="12">
        <f>IF(A394="","",EOMONTH(A394,0))</f>
        <v/>
      </c>
      <c r="C394" s="13" t="n"/>
      <c r="D394" s="13" t="n"/>
      <c r="E394" s="13" t="n"/>
      <c r="F394" s="14">
        <f>IF(E394="","",IF(COUNTIF(lst_Jobs,E394&amp;"")&gt;0,"OK","CHECK"))</f>
        <v/>
      </c>
      <c r="G394" s="13" t="n"/>
      <c r="H394" s="13" t="n"/>
      <c r="I394" s="13" t="n"/>
      <c r="J394" s="13" t="n"/>
      <c r="K394" s="13" t="n"/>
      <c r="L394" s="15" t="n"/>
      <c r="M394" s="16">
        <f>IF(L394="","",IF(K394="GST 10%",ROUND(L394*0.1,2),0))</f>
        <v/>
      </c>
      <c r="N394" s="16">
        <f>IF(L394="","",L394+M394)</f>
        <v/>
      </c>
      <c r="O394" s="13" t="n"/>
      <c r="P394" s="13" t="n"/>
      <c r="Q394" s="13" t="n"/>
      <c r="R394" s="13" t="n"/>
      <c r="S394" s="13" t="n"/>
      <c r="T394" s="14">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row>
    <row r="395" ht="15" customHeight="1">
      <c r="A395" s="11" t="n"/>
      <c r="B395" s="12">
        <f>IF(A395="","",EOMONTH(A395,0))</f>
        <v/>
      </c>
      <c r="C395" s="13" t="n"/>
      <c r="D395" s="13" t="n"/>
      <c r="E395" s="13" t="n"/>
      <c r="F395" s="14">
        <f>IF(E395="","",IF(COUNTIF(lst_Jobs,E395&amp;"")&gt;0,"OK","CHECK"))</f>
        <v/>
      </c>
      <c r="G395" s="13" t="n"/>
      <c r="H395" s="13" t="n"/>
      <c r="I395" s="13" t="n"/>
      <c r="J395" s="13" t="n"/>
      <c r="K395" s="13" t="n"/>
      <c r="L395" s="15" t="n"/>
      <c r="M395" s="16">
        <f>IF(L395="","",IF(K395="GST 10%",ROUND(L395*0.1,2),0))</f>
        <v/>
      </c>
      <c r="N395" s="16">
        <f>IF(L395="","",L395+M395)</f>
        <v/>
      </c>
      <c r="O395" s="13" t="n"/>
      <c r="P395" s="13" t="n"/>
      <c r="Q395" s="13" t="n"/>
      <c r="R395" s="13" t="n"/>
      <c r="S395" s="13" t="n"/>
      <c r="T395" s="14">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row>
    <row r="396" ht="15" customHeight="1">
      <c r="A396" s="11" t="n"/>
      <c r="B396" s="12">
        <f>IF(A396="","",EOMONTH(A396,0))</f>
        <v/>
      </c>
      <c r="C396" s="13" t="n"/>
      <c r="D396" s="13" t="n"/>
      <c r="E396" s="13" t="n"/>
      <c r="F396" s="14">
        <f>IF(E396="","",IF(COUNTIF(lst_Jobs,E396&amp;"")&gt;0,"OK","CHECK"))</f>
        <v/>
      </c>
      <c r="G396" s="13" t="n"/>
      <c r="H396" s="13" t="n"/>
      <c r="I396" s="13" t="n"/>
      <c r="J396" s="13" t="n"/>
      <c r="K396" s="13" t="n"/>
      <c r="L396" s="15" t="n"/>
      <c r="M396" s="16">
        <f>IF(L396="","",IF(K396="GST 10%",ROUND(L396*0.1,2),0))</f>
        <v/>
      </c>
      <c r="N396" s="16">
        <f>IF(L396="","",L396+M396)</f>
        <v/>
      </c>
      <c r="O396" s="13" t="n"/>
      <c r="P396" s="13" t="n"/>
      <c r="Q396" s="13" t="n"/>
      <c r="R396" s="13" t="n"/>
      <c r="S396" s="13" t="n"/>
      <c r="T396" s="14">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row>
    <row r="397" ht="15" customHeight="1">
      <c r="A397" s="11" t="n"/>
      <c r="B397" s="12">
        <f>IF(A397="","",EOMONTH(A397,0))</f>
        <v/>
      </c>
      <c r="C397" s="13" t="n"/>
      <c r="D397" s="13" t="n"/>
      <c r="E397" s="13" t="n"/>
      <c r="F397" s="14">
        <f>IF(E397="","",IF(COUNTIF(lst_Jobs,E397&amp;"")&gt;0,"OK","CHECK"))</f>
        <v/>
      </c>
      <c r="G397" s="13" t="n"/>
      <c r="H397" s="13" t="n"/>
      <c r="I397" s="13" t="n"/>
      <c r="J397" s="13" t="n"/>
      <c r="K397" s="13" t="n"/>
      <c r="L397" s="15" t="n"/>
      <c r="M397" s="16">
        <f>IF(L397="","",IF(K397="GST 10%",ROUND(L397*0.1,2),0))</f>
        <v/>
      </c>
      <c r="N397" s="16">
        <f>IF(L397="","",L397+M397)</f>
        <v/>
      </c>
      <c r="O397" s="13" t="n"/>
      <c r="P397" s="13" t="n"/>
      <c r="Q397" s="13" t="n"/>
      <c r="R397" s="13" t="n"/>
      <c r="S397" s="13" t="n"/>
      <c r="T397" s="14">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row>
    <row r="398" ht="15" customHeight="1">
      <c r="A398" s="11" t="n"/>
      <c r="B398" s="12">
        <f>IF(A398="","",EOMONTH(A398,0))</f>
        <v/>
      </c>
      <c r="C398" s="13" t="n"/>
      <c r="D398" s="13" t="n"/>
      <c r="E398" s="13" t="n"/>
      <c r="F398" s="14">
        <f>IF(E398="","",IF(COUNTIF(lst_Jobs,E398&amp;"")&gt;0,"OK","CHECK"))</f>
        <v/>
      </c>
      <c r="G398" s="13" t="n"/>
      <c r="H398" s="13" t="n"/>
      <c r="I398" s="13" t="n"/>
      <c r="J398" s="13" t="n"/>
      <c r="K398" s="13" t="n"/>
      <c r="L398" s="15" t="n"/>
      <c r="M398" s="16">
        <f>IF(L398="","",IF(K398="GST 10%",ROUND(L398*0.1,2),0))</f>
        <v/>
      </c>
      <c r="N398" s="16">
        <f>IF(L398="","",L398+M398)</f>
        <v/>
      </c>
      <c r="O398" s="13" t="n"/>
      <c r="P398" s="13" t="n"/>
      <c r="Q398" s="13" t="n"/>
      <c r="R398" s="13" t="n"/>
      <c r="S398" s="13" t="n"/>
      <c r="T398" s="14">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row>
    <row r="399" ht="15" customHeight="1">
      <c r="A399" s="11" t="n"/>
      <c r="B399" s="12">
        <f>IF(A399="","",EOMONTH(A399,0))</f>
        <v/>
      </c>
      <c r="C399" s="13" t="n"/>
      <c r="D399" s="13" t="n"/>
      <c r="E399" s="13" t="n"/>
      <c r="F399" s="14">
        <f>IF(E399="","",IF(COUNTIF(lst_Jobs,E399&amp;"")&gt;0,"OK","CHECK"))</f>
        <v/>
      </c>
      <c r="G399" s="13" t="n"/>
      <c r="H399" s="13" t="n"/>
      <c r="I399" s="13" t="n"/>
      <c r="J399" s="13" t="n"/>
      <c r="K399" s="13" t="n"/>
      <c r="L399" s="15" t="n"/>
      <c r="M399" s="16">
        <f>IF(L399="","",IF(K399="GST 10%",ROUND(L399*0.1,2),0))</f>
        <v/>
      </c>
      <c r="N399" s="16">
        <f>IF(L399="","",L399+M399)</f>
        <v/>
      </c>
      <c r="O399" s="13" t="n"/>
      <c r="P399" s="13" t="n"/>
      <c r="Q399" s="13" t="n"/>
      <c r="R399" s="13" t="n"/>
      <c r="S399" s="13" t="n"/>
      <c r="T399" s="14">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row>
    <row r="400" ht="15" customHeight="1">
      <c r="A400" s="11" t="n"/>
      <c r="B400" s="12">
        <f>IF(A400="","",EOMONTH(A400,0))</f>
        <v/>
      </c>
      <c r="C400" s="13" t="n"/>
      <c r="D400" s="13" t="n"/>
      <c r="E400" s="13" t="n"/>
      <c r="F400" s="14">
        <f>IF(E400="","",IF(COUNTIF(lst_Jobs,E400&amp;"")&gt;0,"OK","CHECK"))</f>
        <v/>
      </c>
      <c r="G400" s="13" t="n"/>
      <c r="H400" s="13" t="n"/>
      <c r="I400" s="13" t="n"/>
      <c r="J400" s="13" t="n"/>
      <c r="K400" s="13" t="n"/>
      <c r="L400" s="15" t="n"/>
      <c r="M400" s="16">
        <f>IF(L400="","",IF(K400="GST 10%",ROUND(L400*0.1,2),0))</f>
        <v/>
      </c>
      <c r="N400" s="16">
        <f>IF(L400="","",L400+M400)</f>
        <v/>
      </c>
      <c r="O400" s="13" t="n"/>
      <c r="P400" s="13" t="n"/>
      <c r="Q400" s="13" t="n"/>
      <c r="R400" s="13" t="n"/>
      <c r="S400" s="13" t="n"/>
      <c r="T400" s="14">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row>
    <row r="401" ht="15" customHeight="1">
      <c r="A401" s="11" t="n"/>
      <c r="B401" s="12">
        <f>IF(A401="","",EOMONTH(A401,0))</f>
        <v/>
      </c>
      <c r="C401" s="13" t="n"/>
      <c r="D401" s="13" t="n"/>
      <c r="E401" s="13" t="n"/>
      <c r="F401" s="14">
        <f>IF(E401="","",IF(COUNTIF(lst_Jobs,E401&amp;"")&gt;0,"OK","CHECK"))</f>
        <v/>
      </c>
      <c r="G401" s="13" t="n"/>
      <c r="H401" s="13" t="n"/>
      <c r="I401" s="13" t="n"/>
      <c r="J401" s="13" t="n"/>
      <c r="K401" s="13" t="n"/>
      <c r="L401" s="15" t="n"/>
      <c r="M401" s="16">
        <f>IF(L401="","",IF(K401="GST 10%",ROUND(L401*0.1,2),0))</f>
        <v/>
      </c>
      <c r="N401" s="16">
        <f>IF(L401="","",L401+M401)</f>
        <v/>
      </c>
      <c r="O401" s="13" t="n"/>
      <c r="P401" s="13" t="n"/>
      <c r="Q401" s="13" t="n"/>
      <c r="R401" s="13" t="n"/>
      <c r="S401" s="13" t="n"/>
      <c r="T401" s="14">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row>
    <row r="402" ht="15" customHeight="1">
      <c r="A402" s="11" t="n"/>
      <c r="B402" s="12">
        <f>IF(A402="","",EOMONTH(A402,0))</f>
        <v/>
      </c>
      <c r="C402" s="13" t="n"/>
      <c r="D402" s="13" t="n"/>
      <c r="E402" s="13" t="n"/>
      <c r="F402" s="14">
        <f>IF(E402="","",IF(COUNTIF(lst_Jobs,E402&amp;"")&gt;0,"OK","CHECK"))</f>
        <v/>
      </c>
      <c r="G402" s="13" t="n"/>
      <c r="H402" s="13" t="n"/>
      <c r="I402" s="13" t="n"/>
      <c r="J402" s="13" t="n"/>
      <c r="K402" s="13" t="n"/>
      <c r="L402" s="15" t="n"/>
      <c r="M402" s="16">
        <f>IF(L402="","",IF(K402="GST 10%",ROUND(L402*0.1,2),0))</f>
        <v/>
      </c>
      <c r="N402" s="16">
        <f>IF(L402="","",L402+M402)</f>
        <v/>
      </c>
      <c r="O402" s="13" t="n"/>
      <c r="P402" s="13" t="n"/>
      <c r="Q402" s="13" t="n"/>
      <c r="R402" s="13" t="n"/>
      <c r="S402" s="13" t="n"/>
      <c r="T402" s="14">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row>
    <row r="403" ht="15" customHeight="1">
      <c r="A403" s="11" t="n"/>
      <c r="B403" s="12">
        <f>IF(A403="","",EOMONTH(A403,0))</f>
        <v/>
      </c>
      <c r="C403" s="13" t="n"/>
      <c r="D403" s="13" t="n"/>
      <c r="E403" s="13" t="n"/>
      <c r="F403" s="14">
        <f>IF(E403="","",IF(COUNTIF(lst_Jobs,E403&amp;"")&gt;0,"OK","CHECK"))</f>
        <v/>
      </c>
      <c r="G403" s="13" t="n"/>
      <c r="H403" s="13" t="n"/>
      <c r="I403" s="13" t="n"/>
      <c r="J403" s="13" t="n"/>
      <c r="K403" s="13" t="n"/>
      <c r="L403" s="15" t="n"/>
      <c r="M403" s="16">
        <f>IF(L403="","",IF(K403="GST 10%",ROUND(L403*0.1,2),0))</f>
        <v/>
      </c>
      <c r="N403" s="16">
        <f>IF(L403="","",L403+M403)</f>
        <v/>
      </c>
      <c r="O403" s="13" t="n"/>
      <c r="P403" s="13" t="n"/>
      <c r="Q403" s="13" t="n"/>
      <c r="R403" s="13" t="n"/>
      <c r="S403" s="13" t="n"/>
      <c r="T403" s="14">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row>
    <row r="404" ht="15" customHeight="1">
      <c r="A404" s="11" t="n"/>
      <c r="B404" s="12">
        <f>IF(A404="","",EOMONTH(A404,0))</f>
        <v/>
      </c>
      <c r="C404" s="13" t="n"/>
      <c r="D404" s="13" t="n"/>
      <c r="E404" s="13" t="n"/>
      <c r="F404" s="14">
        <f>IF(E404="","",IF(COUNTIF(lst_Jobs,E404&amp;"")&gt;0,"OK","CHECK"))</f>
        <v/>
      </c>
      <c r="G404" s="13" t="n"/>
      <c r="H404" s="13" t="n"/>
      <c r="I404" s="13" t="n"/>
      <c r="J404" s="13" t="n"/>
      <c r="K404" s="13" t="n"/>
      <c r="L404" s="15" t="n"/>
      <c r="M404" s="16">
        <f>IF(L404="","",IF(K404="GST 10%",ROUND(L404*0.1,2),0))</f>
        <v/>
      </c>
      <c r="N404" s="16">
        <f>IF(L404="","",L404+M404)</f>
        <v/>
      </c>
      <c r="O404" s="13" t="n"/>
      <c r="P404" s="13" t="n"/>
      <c r="Q404" s="13" t="n"/>
      <c r="R404" s="13" t="n"/>
      <c r="S404" s="13" t="n"/>
      <c r="T404" s="14">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row>
    <row r="405" ht="15" customHeight="1">
      <c r="A405" s="11" t="n"/>
      <c r="B405" s="12">
        <f>IF(A405="","",EOMONTH(A405,0))</f>
        <v/>
      </c>
      <c r="C405" s="13" t="n"/>
      <c r="D405" s="13" t="n"/>
      <c r="E405" s="13" t="n"/>
      <c r="F405" s="14">
        <f>IF(E405="","",IF(COUNTIF(lst_Jobs,E405&amp;"")&gt;0,"OK","CHECK"))</f>
        <v/>
      </c>
      <c r="G405" s="13" t="n"/>
      <c r="H405" s="13" t="n"/>
      <c r="I405" s="13" t="n"/>
      <c r="J405" s="13" t="n"/>
      <c r="K405" s="13" t="n"/>
      <c r="L405" s="15" t="n"/>
      <c r="M405" s="16">
        <f>IF(L405="","",IF(K405="GST 10%",ROUND(L405*0.1,2),0))</f>
        <v/>
      </c>
      <c r="N405" s="16">
        <f>IF(L405="","",L405+M405)</f>
        <v/>
      </c>
      <c r="O405" s="13" t="n"/>
      <c r="P405" s="13" t="n"/>
      <c r="Q405" s="13" t="n"/>
      <c r="R405" s="13" t="n"/>
      <c r="S405" s="13" t="n"/>
      <c r="T405" s="14">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row>
    <row r="406" ht="15" customHeight="1">
      <c r="A406" s="11" t="n"/>
      <c r="B406" s="12">
        <f>IF(A406="","",EOMONTH(A406,0))</f>
        <v/>
      </c>
      <c r="C406" s="13" t="n"/>
      <c r="D406" s="13" t="n"/>
      <c r="E406" s="13" t="n"/>
      <c r="F406" s="14">
        <f>IF(E406="","",IF(COUNTIF(lst_Jobs,E406&amp;"")&gt;0,"OK","CHECK"))</f>
        <v/>
      </c>
      <c r="G406" s="13" t="n"/>
      <c r="H406" s="13" t="n"/>
      <c r="I406" s="13" t="n"/>
      <c r="J406" s="13" t="n"/>
      <c r="K406" s="13" t="n"/>
      <c r="L406" s="15" t="n"/>
      <c r="M406" s="16">
        <f>IF(L406="","",IF(K406="GST 10%",ROUND(L406*0.1,2),0))</f>
        <v/>
      </c>
      <c r="N406" s="16">
        <f>IF(L406="","",L406+M406)</f>
        <v/>
      </c>
      <c r="O406" s="13" t="n"/>
      <c r="P406" s="13" t="n"/>
      <c r="Q406" s="13" t="n"/>
      <c r="R406" s="13" t="n"/>
      <c r="S406" s="13" t="n"/>
      <c r="T406" s="14">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row>
    <row r="407" ht="15" customHeight="1">
      <c r="A407" s="11" t="n"/>
      <c r="B407" s="12">
        <f>IF(A407="","",EOMONTH(A407,0))</f>
        <v/>
      </c>
      <c r="C407" s="13" t="n"/>
      <c r="D407" s="13" t="n"/>
      <c r="E407" s="13" t="n"/>
      <c r="F407" s="14">
        <f>IF(E407="","",IF(COUNTIF(lst_Jobs,E407&amp;"")&gt;0,"OK","CHECK"))</f>
        <v/>
      </c>
      <c r="G407" s="13" t="n"/>
      <c r="H407" s="13" t="n"/>
      <c r="I407" s="13" t="n"/>
      <c r="J407" s="13" t="n"/>
      <c r="K407" s="13" t="n"/>
      <c r="L407" s="15" t="n"/>
      <c r="M407" s="16">
        <f>IF(L407="","",IF(K407="GST 10%",ROUND(L407*0.1,2),0))</f>
        <v/>
      </c>
      <c r="N407" s="16">
        <f>IF(L407="","",L407+M407)</f>
        <v/>
      </c>
      <c r="O407" s="13" t="n"/>
      <c r="P407" s="13" t="n"/>
      <c r="Q407" s="13" t="n"/>
      <c r="R407" s="13" t="n"/>
      <c r="S407" s="13" t="n"/>
      <c r="T407" s="14">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row>
    <row r="408" ht="15" customHeight="1">
      <c r="A408" s="11" t="n"/>
      <c r="B408" s="12">
        <f>IF(A408="","",EOMONTH(A408,0))</f>
        <v/>
      </c>
      <c r="C408" s="13" t="n"/>
      <c r="D408" s="13" t="n"/>
      <c r="E408" s="13" t="n"/>
      <c r="F408" s="14">
        <f>IF(E408="","",IF(COUNTIF(lst_Jobs,E408&amp;"")&gt;0,"OK","CHECK"))</f>
        <v/>
      </c>
      <c r="G408" s="13" t="n"/>
      <c r="H408" s="13" t="n"/>
      <c r="I408" s="13" t="n"/>
      <c r="J408" s="13" t="n"/>
      <c r="K408" s="13" t="n"/>
      <c r="L408" s="15" t="n"/>
      <c r="M408" s="16">
        <f>IF(L408="","",IF(K408="GST 10%",ROUND(L408*0.1,2),0))</f>
        <v/>
      </c>
      <c r="N408" s="16">
        <f>IF(L408="","",L408+M408)</f>
        <v/>
      </c>
      <c r="O408" s="13" t="n"/>
      <c r="P408" s="13" t="n"/>
      <c r="Q408" s="13" t="n"/>
      <c r="R408" s="13" t="n"/>
      <c r="S408" s="13" t="n"/>
      <c r="T408" s="14">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row>
    <row r="409" ht="15" customHeight="1">
      <c r="A409" s="11" t="n"/>
      <c r="B409" s="12">
        <f>IF(A409="","",EOMONTH(A409,0))</f>
        <v/>
      </c>
      <c r="C409" s="13" t="n"/>
      <c r="D409" s="13" t="n"/>
      <c r="E409" s="13" t="n"/>
      <c r="F409" s="14">
        <f>IF(E409="","",IF(COUNTIF(lst_Jobs,E409&amp;"")&gt;0,"OK","CHECK"))</f>
        <v/>
      </c>
      <c r="G409" s="13" t="n"/>
      <c r="H409" s="13" t="n"/>
      <c r="I409" s="13" t="n"/>
      <c r="J409" s="13" t="n"/>
      <c r="K409" s="13" t="n"/>
      <c r="L409" s="15" t="n"/>
      <c r="M409" s="16">
        <f>IF(L409="","",IF(K409="GST 10%",ROUND(L409*0.1,2),0))</f>
        <v/>
      </c>
      <c r="N409" s="16">
        <f>IF(L409="","",L409+M409)</f>
        <v/>
      </c>
      <c r="O409" s="13" t="n"/>
      <c r="P409" s="13" t="n"/>
      <c r="Q409" s="13" t="n"/>
      <c r="R409" s="13" t="n"/>
      <c r="S409" s="13" t="n"/>
      <c r="T409" s="14">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row>
    <row r="410" ht="15" customHeight="1">
      <c r="A410" s="11" t="n"/>
      <c r="B410" s="12">
        <f>IF(A410="","",EOMONTH(A410,0))</f>
        <v/>
      </c>
      <c r="C410" s="13" t="n"/>
      <c r="D410" s="13" t="n"/>
      <c r="E410" s="13" t="n"/>
      <c r="F410" s="14">
        <f>IF(E410="","",IF(COUNTIF(lst_Jobs,E410&amp;"")&gt;0,"OK","CHECK"))</f>
        <v/>
      </c>
      <c r="G410" s="13" t="n"/>
      <c r="H410" s="13" t="n"/>
      <c r="I410" s="13" t="n"/>
      <c r="J410" s="13" t="n"/>
      <c r="K410" s="13" t="n"/>
      <c r="L410" s="15" t="n"/>
      <c r="M410" s="16">
        <f>IF(L410="","",IF(K410="GST 10%",ROUND(L410*0.1,2),0))</f>
        <v/>
      </c>
      <c r="N410" s="16">
        <f>IF(L410="","",L410+M410)</f>
        <v/>
      </c>
      <c r="O410" s="13" t="n"/>
      <c r="P410" s="13" t="n"/>
      <c r="Q410" s="13" t="n"/>
      <c r="R410" s="13" t="n"/>
      <c r="S410" s="13" t="n"/>
      <c r="T410" s="14">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row>
    <row r="411" ht="15" customHeight="1">
      <c r="A411" s="11" t="n"/>
      <c r="B411" s="12">
        <f>IF(A411="","",EOMONTH(A411,0))</f>
        <v/>
      </c>
      <c r="C411" s="13" t="n"/>
      <c r="D411" s="13" t="n"/>
      <c r="E411" s="13" t="n"/>
      <c r="F411" s="14">
        <f>IF(E411="","",IF(COUNTIF(lst_Jobs,E411&amp;"")&gt;0,"OK","CHECK"))</f>
        <v/>
      </c>
      <c r="G411" s="13" t="n"/>
      <c r="H411" s="13" t="n"/>
      <c r="I411" s="13" t="n"/>
      <c r="J411" s="13" t="n"/>
      <c r="K411" s="13" t="n"/>
      <c r="L411" s="15" t="n"/>
      <c r="M411" s="16">
        <f>IF(L411="","",IF(K411="GST 10%",ROUND(L411*0.1,2),0))</f>
        <v/>
      </c>
      <c r="N411" s="16">
        <f>IF(L411="","",L411+M411)</f>
        <v/>
      </c>
      <c r="O411" s="13" t="n"/>
      <c r="P411" s="13" t="n"/>
      <c r="Q411" s="13" t="n"/>
      <c r="R411" s="13" t="n"/>
      <c r="S411" s="13" t="n"/>
      <c r="T411" s="14">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row>
    <row r="412" ht="15" customHeight="1">
      <c r="A412" s="11" t="n"/>
      <c r="B412" s="12">
        <f>IF(A412="","",EOMONTH(A412,0))</f>
        <v/>
      </c>
      <c r="C412" s="13" t="n"/>
      <c r="D412" s="13" t="n"/>
      <c r="E412" s="13" t="n"/>
      <c r="F412" s="14">
        <f>IF(E412="","",IF(COUNTIF(lst_Jobs,E412&amp;"")&gt;0,"OK","CHECK"))</f>
        <v/>
      </c>
      <c r="G412" s="13" t="n"/>
      <c r="H412" s="13" t="n"/>
      <c r="I412" s="13" t="n"/>
      <c r="J412" s="13" t="n"/>
      <c r="K412" s="13" t="n"/>
      <c r="L412" s="15" t="n"/>
      <c r="M412" s="16">
        <f>IF(L412="","",IF(K412="GST 10%",ROUND(L412*0.1,2),0))</f>
        <v/>
      </c>
      <c r="N412" s="16">
        <f>IF(L412="","",L412+M412)</f>
        <v/>
      </c>
      <c r="O412" s="13" t="n"/>
      <c r="P412" s="13" t="n"/>
      <c r="Q412" s="13" t="n"/>
      <c r="R412" s="13" t="n"/>
      <c r="S412" s="13" t="n"/>
      <c r="T412" s="14">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row>
    <row r="413" ht="15" customHeight="1">
      <c r="A413" s="11" t="n"/>
      <c r="B413" s="12">
        <f>IF(A413="","",EOMONTH(A413,0))</f>
        <v/>
      </c>
      <c r="C413" s="13" t="n"/>
      <c r="D413" s="13" t="n"/>
      <c r="E413" s="13" t="n"/>
      <c r="F413" s="14">
        <f>IF(E413="","",IF(COUNTIF(lst_Jobs,E413&amp;"")&gt;0,"OK","CHECK"))</f>
        <v/>
      </c>
      <c r="G413" s="13" t="n"/>
      <c r="H413" s="13" t="n"/>
      <c r="I413" s="13" t="n"/>
      <c r="J413" s="13" t="n"/>
      <c r="K413" s="13" t="n"/>
      <c r="L413" s="15" t="n"/>
      <c r="M413" s="16">
        <f>IF(L413="","",IF(K413="GST 10%",ROUND(L413*0.1,2),0))</f>
        <v/>
      </c>
      <c r="N413" s="16">
        <f>IF(L413="","",L413+M413)</f>
        <v/>
      </c>
      <c r="O413" s="13" t="n"/>
      <c r="P413" s="13" t="n"/>
      <c r="Q413" s="13" t="n"/>
      <c r="R413" s="13" t="n"/>
      <c r="S413" s="13" t="n"/>
      <c r="T413" s="14">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row>
    <row r="414" ht="15" customHeight="1">
      <c r="A414" s="11" t="n"/>
      <c r="B414" s="12">
        <f>IF(A414="","",EOMONTH(A414,0))</f>
        <v/>
      </c>
      <c r="C414" s="13" t="n"/>
      <c r="D414" s="13" t="n"/>
      <c r="E414" s="13" t="n"/>
      <c r="F414" s="14">
        <f>IF(E414="","",IF(COUNTIF(lst_Jobs,E414&amp;"")&gt;0,"OK","CHECK"))</f>
        <v/>
      </c>
      <c r="G414" s="13" t="n"/>
      <c r="H414" s="13" t="n"/>
      <c r="I414" s="13" t="n"/>
      <c r="J414" s="13" t="n"/>
      <c r="K414" s="13" t="n"/>
      <c r="L414" s="15" t="n"/>
      <c r="M414" s="16">
        <f>IF(L414="","",IF(K414="GST 10%",ROUND(L414*0.1,2),0))</f>
        <v/>
      </c>
      <c r="N414" s="16">
        <f>IF(L414="","",L414+M414)</f>
        <v/>
      </c>
      <c r="O414" s="13" t="n"/>
      <c r="P414" s="13" t="n"/>
      <c r="Q414" s="13" t="n"/>
      <c r="R414" s="13" t="n"/>
      <c r="S414" s="13" t="n"/>
      <c r="T414" s="14">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row>
    <row r="415" ht="15" customHeight="1">
      <c r="A415" s="11" t="n"/>
      <c r="B415" s="12">
        <f>IF(A415="","",EOMONTH(A415,0))</f>
        <v/>
      </c>
      <c r="C415" s="13" t="n"/>
      <c r="D415" s="13" t="n"/>
      <c r="E415" s="13" t="n"/>
      <c r="F415" s="14">
        <f>IF(E415="","",IF(COUNTIF(lst_Jobs,E415&amp;"")&gt;0,"OK","CHECK"))</f>
        <v/>
      </c>
      <c r="G415" s="13" t="n"/>
      <c r="H415" s="13" t="n"/>
      <c r="I415" s="13" t="n"/>
      <c r="J415" s="13" t="n"/>
      <c r="K415" s="13" t="n"/>
      <c r="L415" s="15" t="n"/>
      <c r="M415" s="16">
        <f>IF(L415="","",IF(K415="GST 10%",ROUND(L415*0.1,2),0))</f>
        <v/>
      </c>
      <c r="N415" s="16">
        <f>IF(L415="","",L415+M415)</f>
        <v/>
      </c>
      <c r="O415" s="13" t="n"/>
      <c r="P415" s="13" t="n"/>
      <c r="Q415" s="13" t="n"/>
      <c r="R415" s="13" t="n"/>
      <c r="S415" s="13" t="n"/>
      <c r="T415" s="14">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row>
    <row r="416" ht="15" customHeight="1">
      <c r="A416" s="11" t="n"/>
      <c r="B416" s="12">
        <f>IF(A416="","",EOMONTH(A416,0))</f>
        <v/>
      </c>
      <c r="C416" s="13" t="n"/>
      <c r="D416" s="13" t="n"/>
      <c r="E416" s="13" t="n"/>
      <c r="F416" s="14">
        <f>IF(E416="","",IF(COUNTIF(lst_Jobs,E416&amp;"")&gt;0,"OK","CHECK"))</f>
        <v/>
      </c>
      <c r="G416" s="13" t="n"/>
      <c r="H416" s="13" t="n"/>
      <c r="I416" s="13" t="n"/>
      <c r="J416" s="13" t="n"/>
      <c r="K416" s="13" t="n"/>
      <c r="L416" s="15" t="n"/>
      <c r="M416" s="16">
        <f>IF(L416="","",IF(K416="GST 10%",ROUND(L416*0.1,2),0))</f>
        <v/>
      </c>
      <c r="N416" s="16">
        <f>IF(L416="","",L416+M416)</f>
        <v/>
      </c>
      <c r="O416" s="13" t="n"/>
      <c r="P416" s="13" t="n"/>
      <c r="Q416" s="13" t="n"/>
      <c r="R416" s="13" t="n"/>
      <c r="S416" s="13" t="n"/>
      <c r="T416" s="14">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row>
    <row r="417" ht="15" customHeight="1">
      <c r="A417" s="11" t="n"/>
      <c r="B417" s="12">
        <f>IF(A417="","",EOMONTH(A417,0))</f>
        <v/>
      </c>
      <c r="C417" s="13" t="n"/>
      <c r="D417" s="13" t="n"/>
      <c r="E417" s="13" t="n"/>
      <c r="F417" s="14">
        <f>IF(E417="","",IF(COUNTIF(lst_Jobs,E417&amp;"")&gt;0,"OK","CHECK"))</f>
        <v/>
      </c>
      <c r="G417" s="13" t="n"/>
      <c r="H417" s="13" t="n"/>
      <c r="I417" s="13" t="n"/>
      <c r="J417" s="13" t="n"/>
      <c r="K417" s="13" t="n"/>
      <c r="L417" s="15" t="n"/>
      <c r="M417" s="16">
        <f>IF(L417="","",IF(K417="GST 10%",ROUND(L417*0.1,2),0))</f>
        <v/>
      </c>
      <c r="N417" s="16">
        <f>IF(L417="","",L417+M417)</f>
        <v/>
      </c>
      <c r="O417" s="13" t="n"/>
      <c r="P417" s="13" t="n"/>
      <c r="Q417" s="13" t="n"/>
      <c r="R417" s="13" t="n"/>
      <c r="S417" s="13" t="n"/>
      <c r="T417" s="14">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row>
    <row r="418" ht="15" customHeight="1">
      <c r="A418" s="11" t="n"/>
      <c r="B418" s="12">
        <f>IF(A418="","",EOMONTH(A418,0))</f>
        <v/>
      </c>
      <c r="C418" s="13" t="n"/>
      <c r="D418" s="13" t="n"/>
      <c r="E418" s="13" t="n"/>
      <c r="F418" s="14">
        <f>IF(E418="","",IF(COUNTIF(lst_Jobs,E418&amp;"")&gt;0,"OK","CHECK"))</f>
        <v/>
      </c>
      <c r="G418" s="13" t="n"/>
      <c r="H418" s="13" t="n"/>
      <c r="I418" s="13" t="n"/>
      <c r="J418" s="13" t="n"/>
      <c r="K418" s="13" t="n"/>
      <c r="L418" s="15" t="n"/>
      <c r="M418" s="16">
        <f>IF(L418="","",IF(K418="GST 10%",ROUND(L418*0.1,2),0))</f>
        <v/>
      </c>
      <c r="N418" s="16">
        <f>IF(L418="","",L418+M418)</f>
        <v/>
      </c>
      <c r="O418" s="13" t="n"/>
      <c r="P418" s="13" t="n"/>
      <c r="Q418" s="13" t="n"/>
      <c r="R418" s="13" t="n"/>
      <c r="S418" s="13" t="n"/>
      <c r="T418" s="14">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row>
    <row r="419" ht="15" customHeight="1">
      <c r="A419" s="11" t="n"/>
      <c r="B419" s="12">
        <f>IF(A419="","",EOMONTH(A419,0))</f>
        <v/>
      </c>
      <c r="C419" s="13" t="n"/>
      <c r="D419" s="13" t="n"/>
      <c r="E419" s="13" t="n"/>
      <c r="F419" s="14">
        <f>IF(E419="","",IF(COUNTIF(lst_Jobs,E419&amp;"")&gt;0,"OK","CHECK"))</f>
        <v/>
      </c>
      <c r="G419" s="13" t="n"/>
      <c r="H419" s="13" t="n"/>
      <c r="I419" s="13" t="n"/>
      <c r="J419" s="13" t="n"/>
      <c r="K419" s="13" t="n"/>
      <c r="L419" s="15" t="n"/>
      <c r="M419" s="16">
        <f>IF(L419="","",IF(K419="GST 10%",ROUND(L419*0.1,2),0))</f>
        <v/>
      </c>
      <c r="N419" s="16">
        <f>IF(L419="","",L419+M419)</f>
        <v/>
      </c>
      <c r="O419" s="13" t="n"/>
      <c r="P419" s="13" t="n"/>
      <c r="Q419" s="13" t="n"/>
      <c r="R419" s="13" t="n"/>
      <c r="S419" s="13" t="n"/>
      <c r="T419" s="14">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row>
    <row r="420" ht="15" customHeight="1">
      <c r="A420" s="11" t="n"/>
      <c r="B420" s="12">
        <f>IF(A420="","",EOMONTH(A420,0))</f>
        <v/>
      </c>
      <c r="C420" s="13" t="n"/>
      <c r="D420" s="13" t="n"/>
      <c r="E420" s="13" t="n"/>
      <c r="F420" s="14">
        <f>IF(E420="","",IF(COUNTIF(lst_Jobs,E420&amp;"")&gt;0,"OK","CHECK"))</f>
        <v/>
      </c>
      <c r="G420" s="13" t="n"/>
      <c r="H420" s="13" t="n"/>
      <c r="I420" s="13" t="n"/>
      <c r="J420" s="13" t="n"/>
      <c r="K420" s="13" t="n"/>
      <c r="L420" s="15" t="n"/>
      <c r="M420" s="16">
        <f>IF(L420="","",IF(K420="GST 10%",ROUND(L420*0.1,2),0))</f>
        <v/>
      </c>
      <c r="N420" s="16">
        <f>IF(L420="","",L420+M420)</f>
        <v/>
      </c>
      <c r="O420" s="13" t="n"/>
      <c r="P420" s="13" t="n"/>
      <c r="Q420" s="13" t="n"/>
      <c r="R420" s="13" t="n"/>
      <c r="S420" s="13" t="n"/>
      <c r="T420" s="14">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row>
    <row r="421" ht="15" customHeight="1">
      <c r="A421" s="11" t="n"/>
      <c r="B421" s="12">
        <f>IF(A421="","",EOMONTH(A421,0))</f>
        <v/>
      </c>
      <c r="C421" s="13" t="n"/>
      <c r="D421" s="13" t="n"/>
      <c r="E421" s="13" t="n"/>
      <c r="F421" s="14">
        <f>IF(E421="","",IF(COUNTIF(lst_Jobs,E421&amp;"")&gt;0,"OK","CHECK"))</f>
        <v/>
      </c>
      <c r="G421" s="13" t="n"/>
      <c r="H421" s="13" t="n"/>
      <c r="I421" s="13" t="n"/>
      <c r="J421" s="13" t="n"/>
      <c r="K421" s="13" t="n"/>
      <c r="L421" s="15" t="n"/>
      <c r="M421" s="16">
        <f>IF(L421="","",IF(K421="GST 10%",ROUND(L421*0.1,2),0))</f>
        <v/>
      </c>
      <c r="N421" s="16">
        <f>IF(L421="","",L421+M421)</f>
        <v/>
      </c>
      <c r="O421" s="13" t="n"/>
      <c r="P421" s="13" t="n"/>
      <c r="Q421" s="13" t="n"/>
      <c r="R421" s="13" t="n"/>
      <c r="S421" s="13" t="n"/>
      <c r="T421" s="14">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row>
    <row r="422" ht="15" customHeight="1">
      <c r="A422" s="11" t="n"/>
      <c r="B422" s="12">
        <f>IF(A422="","",EOMONTH(A422,0))</f>
        <v/>
      </c>
      <c r="C422" s="13" t="n"/>
      <c r="D422" s="13" t="n"/>
      <c r="E422" s="13" t="n"/>
      <c r="F422" s="14">
        <f>IF(E422="","",IF(COUNTIF(lst_Jobs,E422&amp;"")&gt;0,"OK","CHECK"))</f>
        <v/>
      </c>
      <c r="G422" s="13" t="n"/>
      <c r="H422" s="13" t="n"/>
      <c r="I422" s="13" t="n"/>
      <c r="J422" s="13" t="n"/>
      <c r="K422" s="13" t="n"/>
      <c r="L422" s="15" t="n"/>
      <c r="M422" s="16">
        <f>IF(L422="","",IF(K422="GST 10%",ROUND(L422*0.1,2),0))</f>
        <v/>
      </c>
      <c r="N422" s="16">
        <f>IF(L422="","",L422+M422)</f>
        <v/>
      </c>
      <c r="O422" s="13" t="n"/>
      <c r="P422" s="13" t="n"/>
      <c r="Q422" s="13" t="n"/>
      <c r="R422" s="13" t="n"/>
      <c r="S422" s="13" t="n"/>
      <c r="T422" s="14">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row>
    <row r="423" ht="15" customHeight="1">
      <c r="A423" s="11" t="n"/>
      <c r="B423" s="12">
        <f>IF(A423="","",EOMONTH(A423,0))</f>
        <v/>
      </c>
      <c r="C423" s="13" t="n"/>
      <c r="D423" s="13" t="n"/>
      <c r="E423" s="13" t="n"/>
      <c r="F423" s="14">
        <f>IF(E423="","",IF(COUNTIF(lst_Jobs,E423&amp;"")&gt;0,"OK","CHECK"))</f>
        <v/>
      </c>
      <c r="G423" s="13" t="n"/>
      <c r="H423" s="13" t="n"/>
      <c r="I423" s="13" t="n"/>
      <c r="J423" s="13" t="n"/>
      <c r="K423" s="13" t="n"/>
      <c r="L423" s="15" t="n"/>
      <c r="M423" s="16">
        <f>IF(L423="","",IF(K423="GST 10%",ROUND(L423*0.1,2),0))</f>
        <v/>
      </c>
      <c r="N423" s="16">
        <f>IF(L423="","",L423+M423)</f>
        <v/>
      </c>
      <c r="O423" s="13" t="n"/>
      <c r="P423" s="13" t="n"/>
      <c r="Q423" s="13" t="n"/>
      <c r="R423" s="13" t="n"/>
      <c r="S423" s="13" t="n"/>
      <c r="T423" s="14">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row>
    <row r="424" ht="15" customHeight="1">
      <c r="A424" s="11" t="n"/>
      <c r="B424" s="12">
        <f>IF(A424="","",EOMONTH(A424,0))</f>
        <v/>
      </c>
      <c r="C424" s="13" t="n"/>
      <c r="D424" s="13" t="n"/>
      <c r="E424" s="13" t="n"/>
      <c r="F424" s="14">
        <f>IF(E424="","",IF(COUNTIF(lst_Jobs,E424&amp;"")&gt;0,"OK","CHECK"))</f>
        <v/>
      </c>
      <c r="G424" s="13" t="n"/>
      <c r="H424" s="13" t="n"/>
      <c r="I424" s="13" t="n"/>
      <c r="J424" s="13" t="n"/>
      <c r="K424" s="13" t="n"/>
      <c r="L424" s="15" t="n"/>
      <c r="M424" s="16">
        <f>IF(L424="","",IF(K424="GST 10%",ROUND(L424*0.1,2),0))</f>
        <v/>
      </c>
      <c r="N424" s="16">
        <f>IF(L424="","",L424+M424)</f>
        <v/>
      </c>
      <c r="O424" s="13" t="n"/>
      <c r="P424" s="13" t="n"/>
      <c r="Q424" s="13" t="n"/>
      <c r="R424" s="13" t="n"/>
      <c r="S424" s="13" t="n"/>
      <c r="T424" s="14">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row>
    <row r="425" ht="15" customHeight="1">
      <c r="A425" s="11" t="n"/>
      <c r="B425" s="12">
        <f>IF(A425="","",EOMONTH(A425,0))</f>
        <v/>
      </c>
      <c r="C425" s="13" t="n"/>
      <c r="D425" s="13" t="n"/>
      <c r="E425" s="13" t="n"/>
      <c r="F425" s="14">
        <f>IF(E425="","",IF(COUNTIF(lst_Jobs,E425&amp;"")&gt;0,"OK","CHECK"))</f>
        <v/>
      </c>
      <c r="G425" s="13" t="n"/>
      <c r="H425" s="13" t="n"/>
      <c r="I425" s="13" t="n"/>
      <c r="J425" s="13" t="n"/>
      <c r="K425" s="13" t="n"/>
      <c r="L425" s="15" t="n"/>
      <c r="M425" s="16">
        <f>IF(L425="","",IF(K425="GST 10%",ROUND(L425*0.1,2),0))</f>
        <v/>
      </c>
      <c r="N425" s="16">
        <f>IF(L425="","",L425+M425)</f>
        <v/>
      </c>
      <c r="O425" s="13" t="n"/>
      <c r="P425" s="13" t="n"/>
      <c r="Q425" s="13" t="n"/>
      <c r="R425" s="13" t="n"/>
      <c r="S425" s="13" t="n"/>
      <c r="T425" s="14">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row>
    <row r="426" ht="15" customHeight="1">
      <c r="A426" s="11" t="n"/>
      <c r="B426" s="12">
        <f>IF(A426="","",EOMONTH(A426,0))</f>
        <v/>
      </c>
      <c r="C426" s="13" t="n"/>
      <c r="D426" s="13" t="n"/>
      <c r="E426" s="13" t="n"/>
      <c r="F426" s="14">
        <f>IF(E426="","",IF(COUNTIF(lst_Jobs,E426&amp;"")&gt;0,"OK","CHECK"))</f>
        <v/>
      </c>
      <c r="G426" s="13" t="n"/>
      <c r="H426" s="13" t="n"/>
      <c r="I426" s="13" t="n"/>
      <c r="J426" s="13" t="n"/>
      <c r="K426" s="13" t="n"/>
      <c r="L426" s="15" t="n"/>
      <c r="M426" s="16">
        <f>IF(L426="","",IF(K426="GST 10%",ROUND(L426*0.1,2),0))</f>
        <v/>
      </c>
      <c r="N426" s="16">
        <f>IF(L426="","",L426+M426)</f>
        <v/>
      </c>
      <c r="O426" s="13" t="n"/>
      <c r="P426" s="13" t="n"/>
      <c r="Q426" s="13" t="n"/>
      <c r="R426" s="13" t="n"/>
      <c r="S426" s="13" t="n"/>
      <c r="T426" s="14">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row>
    <row r="427" ht="15" customHeight="1">
      <c r="A427" s="11" t="n"/>
      <c r="B427" s="12">
        <f>IF(A427="","",EOMONTH(A427,0))</f>
        <v/>
      </c>
      <c r="C427" s="13" t="n"/>
      <c r="D427" s="13" t="n"/>
      <c r="E427" s="13" t="n"/>
      <c r="F427" s="14">
        <f>IF(E427="","",IF(COUNTIF(lst_Jobs,E427&amp;"")&gt;0,"OK","CHECK"))</f>
        <v/>
      </c>
      <c r="G427" s="13" t="n"/>
      <c r="H427" s="13" t="n"/>
      <c r="I427" s="13" t="n"/>
      <c r="J427" s="13" t="n"/>
      <c r="K427" s="13" t="n"/>
      <c r="L427" s="15" t="n"/>
      <c r="M427" s="16">
        <f>IF(L427="","",IF(K427="GST 10%",ROUND(L427*0.1,2),0))</f>
        <v/>
      </c>
      <c r="N427" s="16">
        <f>IF(L427="","",L427+M427)</f>
        <v/>
      </c>
      <c r="O427" s="13" t="n"/>
      <c r="P427" s="13" t="n"/>
      <c r="Q427" s="13" t="n"/>
      <c r="R427" s="13" t="n"/>
      <c r="S427" s="13" t="n"/>
      <c r="T427" s="14">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row>
    <row r="428" ht="15" customHeight="1">
      <c r="A428" s="11" t="n"/>
      <c r="B428" s="12">
        <f>IF(A428="","",EOMONTH(A428,0))</f>
        <v/>
      </c>
      <c r="C428" s="13" t="n"/>
      <c r="D428" s="13" t="n"/>
      <c r="E428" s="13" t="n"/>
      <c r="F428" s="14">
        <f>IF(E428="","",IF(COUNTIF(lst_Jobs,E428&amp;"")&gt;0,"OK","CHECK"))</f>
        <v/>
      </c>
      <c r="G428" s="13" t="n"/>
      <c r="H428" s="13" t="n"/>
      <c r="I428" s="13" t="n"/>
      <c r="J428" s="13" t="n"/>
      <c r="K428" s="13" t="n"/>
      <c r="L428" s="15" t="n"/>
      <c r="M428" s="16">
        <f>IF(L428="","",IF(K428="GST 10%",ROUND(L428*0.1,2),0))</f>
        <v/>
      </c>
      <c r="N428" s="16">
        <f>IF(L428="","",L428+M428)</f>
        <v/>
      </c>
      <c r="O428" s="13" t="n"/>
      <c r="P428" s="13" t="n"/>
      <c r="Q428" s="13" t="n"/>
      <c r="R428" s="13" t="n"/>
      <c r="S428" s="13" t="n"/>
      <c r="T428" s="14">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row>
    <row r="429" ht="15" customHeight="1">
      <c r="A429" s="11" t="n"/>
      <c r="B429" s="12">
        <f>IF(A429="","",EOMONTH(A429,0))</f>
        <v/>
      </c>
      <c r="C429" s="13" t="n"/>
      <c r="D429" s="13" t="n"/>
      <c r="E429" s="13" t="n"/>
      <c r="F429" s="14">
        <f>IF(E429="","",IF(COUNTIF(lst_Jobs,E429&amp;"")&gt;0,"OK","CHECK"))</f>
        <v/>
      </c>
      <c r="G429" s="13" t="n"/>
      <c r="H429" s="13" t="n"/>
      <c r="I429" s="13" t="n"/>
      <c r="J429" s="13" t="n"/>
      <c r="K429" s="13" t="n"/>
      <c r="L429" s="15" t="n"/>
      <c r="M429" s="16">
        <f>IF(L429="","",IF(K429="GST 10%",ROUND(L429*0.1,2),0))</f>
        <v/>
      </c>
      <c r="N429" s="16">
        <f>IF(L429="","",L429+M429)</f>
        <v/>
      </c>
      <c r="O429" s="13" t="n"/>
      <c r="P429" s="13" t="n"/>
      <c r="Q429" s="13" t="n"/>
      <c r="R429" s="13" t="n"/>
      <c r="S429" s="13" t="n"/>
      <c r="T429" s="14">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row>
    <row r="430" ht="15" customHeight="1">
      <c r="A430" s="11" t="n"/>
      <c r="B430" s="12">
        <f>IF(A430="","",EOMONTH(A430,0))</f>
        <v/>
      </c>
      <c r="C430" s="13" t="n"/>
      <c r="D430" s="13" t="n"/>
      <c r="E430" s="13" t="n"/>
      <c r="F430" s="14">
        <f>IF(E430="","",IF(COUNTIF(lst_Jobs,E430&amp;"")&gt;0,"OK","CHECK"))</f>
        <v/>
      </c>
      <c r="G430" s="13" t="n"/>
      <c r="H430" s="13" t="n"/>
      <c r="I430" s="13" t="n"/>
      <c r="J430" s="13" t="n"/>
      <c r="K430" s="13" t="n"/>
      <c r="L430" s="15" t="n"/>
      <c r="M430" s="16">
        <f>IF(L430="","",IF(K430="GST 10%",ROUND(L430*0.1,2),0))</f>
        <v/>
      </c>
      <c r="N430" s="16">
        <f>IF(L430="","",L430+M430)</f>
        <v/>
      </c>
      <c r="O430" s="13" t="n"/>
      <c r="P430" s="13" t="n"/>
      <c r="Q430" s="13" t="n"/>
      <c r="R430" s="13" t="n"/>
      <c r="S430" s="13" t="n"/>
      <c r="T430" s="14">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row>
    <row r="431" ht="15" customHeight="1">
      <c r="A431" s="11" t="n"/>
      <c r="B431" s="12">
        <f>IF(A431="","",EOMONTH(A431,0))</f>
        <v/>
      </c>
      <c r="C431" s="13" t="n"/>
      <c r="D431" s="13" t="n"/>
      <c r="E431" s="13" t="n"/>
      <c r="F431" s="14">
        <f>IF(E431="","",IF(COUNTIF(lst_Jobs,E431&amp;"")&gt;0,"OK","CHECK"))</f>
        <v/>
      </c>
      <c r="G431" s="13" t="n"/>
      <c r="H431" s="13" t="n"/>
      <c r="I431" s="13" t="n"/>
      <c r="J431" s="13" t="n"/>
      <c r="K431" s="13" t="n"/>
      <c r="L431" s="15" t="n"/>
      <c r="M431" s="16">
        <f>IF(L431="","",IF(K431="GST 10%",ROUND(L431*0.1,2),0))</f>
        <v/>
      </c>
      <c r="N431" s="16">
        <f>IF(L431="","",L431+M431)</f>
        <v/>
      </c>
      <c r="O431" s="13" t="n"/>
      <c r="P431" s="13" t="n"/>
      <c r="Q431" s="13" t="n"/>
      <c r="R431" s="13" t="n"/>
      <c r="S431" s="13" t="n"/>
      <c r="T431" s="14">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row>
    <row r="432" ht="15" customHeight="1">
      <c r="A432" s="11" t="n"/>
      <c r="B432" s="12">
        <f>IF(A432="","",EOMONTH(A432,0))</f>
        <v/>
      </c>
      <c r="C432" s="13" t="n"/>
      <c r="D432" s="13" t="n"/>
      <c r="E432" s="13" t="n"/>
      <c r="F432" s="14">
        <f>IF(E432="","",IF(COUNTIF(lst_Jobs,E432&amp;"")&gt;0,"OK","CHECK"))</f>
        <v/>
      </c>
      <c r="G432" s="13" t="n"/>
      <c r="H432" s="13" t="n"/>
      <c r="I432" s="13" t="n"/>
      <c r="J432" s="13" t="n"/>
      <c r="K432" s="13" t="n"/>
      <c r="L432" s="15" t="n"/>
      <c r="M432" s="16">
        <f>IF(L432="","",IF(K432="GST 10%",ROUND(L432*0.1,2),0))</f>
        <v/>
      </c>
      <c r="N432" s="16">
        <f>IF(L432="","",L432+M432)</f>
        <v/>
      </c>
      <c r="O432" s="13" t="n"/>
      <c r="P432" s="13" t="n"/>
      <c r="Q432" s="13" t="n"/>
      <c r="R432" s="13" t="n"/>
      <c r="S432" s="13" t="n"/>
      <c r="T432" s="14">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row>
    <row r="433" ht="15" customHeight="1">
      <c r="A433" s="11" t="n"/>
      <c r="B433" s="12">
        <f>IF(A433="","",EOMONTH(A433,0))</f>
        <v/>
      </c>
      <c r="C433" s="13" t="n"/>
      <c r="D433" s="13" t="n"/>
      <c r="E433" s="13" t="n"/>
      <c r="F433" s="14">
        <f>IF(E433="","",IF(COUNTIF(lst_Jobs,E433&amp;"")&gt;0,"OK","CHECK"))</f>
        <v/>
      </c>
      <c r="G433" s="13" t="n"/>
      <c r="H433" s="13" t="n"/>
      <c r="I433" s="13" t="n"/>
      <c r="J433" s="13" t="n"/>
      <c r="K433" s="13" t="n"/>
      <c r="L433" s="15" t="n"/>
      <c r="M433" s="16">
        <f>IF(L433="","",IF(K433="GST 10%",ROUND(L433*0.1,2),0))</f>
        <v/>
      </c>
      <c r="N433" s="16">
        <f>IF(L433="","",L433+M433)</f>
        <v/>
      </c>
      <c r="O433" s="13" t="n"/>
      <c r="P433" s="13" t="n"/>
      <c r="Q433" s="13" t="n"/>
      <c r="R433" s="13" t="n"/>
      <c r="S433" s="13" t="n"/>
      <c r="T433" s="14">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row>
    <row r="434" ht="15" customHeight="1">
      <c r="A434" s="11" t="n"/>
      <c r="B434" s="12">
        <f>IF(A434="","",EOMONTH(A434,0))</f>
        <v/>
      </c>
      <c r="C434" s="13" t="n"/>
      <c r="D434" s="13" t="n"/>
      <c r="E434" s="13" t="n"/>
      <c r="F434" s="14">
        <f>IF(E434="","",IF(COUNTIF(lst_Jobs,E434&amp;"")&gt;0,"OK","CHECK"))</f>
        <v/>
      </c>
      <c r="G434" s="13" t="n"/>
      <c r="H434" s="13" t="n"/>
      <c r="I434" s="13" t="n"/>
      <c r="J434" s="13" t="n"/>
      <c r="K434" s="13" t="n"/>
      <c r="L434" s="15" t="n"/>
      <c r="M434" s="16">
        <f>IF(L434="","",IF(K434="GST 10%",ROUND(L434*0.1,2),0))</f>
        <v/>
      </c>
      <c r="N434" s="16">
        <f>IF(L434="","",L434+M434)</f>
        <v/>
      </c>
      <c r="O434" s="13" t="n"/>
      <c r="P434" s="13" t="n"/>
      <c r="Q434" s="13" t="n"/>
      <c r="R434" s="13" t="n"/>
      <c r="S434" s="13" t="n"/>
      <c r="T434" s="14">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row>
    <row r="435" ht="15" customHeight="1">
      <c r="A435" s="11" t="n"/>
      <c r="B435" s="12">
        <f>IF(A435="","",EOMONTH(A435,0))</f>
        <v/>
      </c>
      <c r="C435" s="13" t="n"/>
      <c r="D435" s="13" t="n"/>
      <c r="E435" s="13" t="n"/>
      <c r="F435" s="14">
        <f>IF(E435="","",IF(COUNTIF(lst_Jobs,E435&amp;"")&gt;0,"OK","CHECK"))</f>
        <v/>
      </c>
      <c r="G435" s="13" t="n"/>
      <c r="H435" s="13" t="n"/>
      <c r="I435" s="13" t="n"/>
      <c r="J435" s="13" t="n"/>
      <c r="K435" s="13" t="n"/>
      <c r="L435" s="15" t="n"/>
      <c r="M435" s="16">
        <f>IF(L435="","",IF(K435="GST 10%",ROUND(L435*0.1,2),0))</f>
        <v/>
      </c>
      <c r="N435" s="16">
        <f>IF(L435="","",L435+M435)</f>
        <v/>
      </c>
      <c r="O435" s="13" t="n"/>
      <c r="P435" s="13" t="n"/>
      <c r="Q435" s="13" t="n"/>
      <c r="R435" s="13" t="n"/>
      <c r="S435" s="13" t="n"/>
      <c r="T435" s="14">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row>
    <row r="436" ht="15" customHeight="1">
      <c r="A436" s="11" t="n"/>
      <c r="B436" s="12">
        <f>IF(A436="","",EOMONTH(A436,0))</f>
        <v/>
      </c>
      <c r="C436" s="13" t="n"/>
      <c r="D436" s="13" t="n"/>
      <c r="E436" s="13" t="n"/>
      <c r="F436" s="14">
        <f>IF(E436="","",IF(COUNTIF(lst_Jobs,E436&amp;"")&gt;0,"OK","CHECK"))</f>
        <v/>
      </c>
      <c r="G436" s="13" t="n"/>
      <c r="H436" s="13" t="n"/>
      <c r="I436" s="13" t="n"/>
      <c r="J436" s="13" t="n"/>
      <c r="K436" s="13" t="n"/>
      <c r="L436" s="15" t="n"/>
      <c r="M436" s="16">
        <f>IF(L436="","",IF(K436="GST 10%",ROUND(L436*0.1,2),0))</f>
        <v/>
      </c>
      <c r="N436" s="16">
        <f>IF(L436="","",L436+M436)</f>
        <v/>
      </c>
      <c r="O436" s="13" t="n"/>
      <c r="P436" s="13" t="n"/>
      <c r="Q436" s="13" t="n"/>
      <c r="R436" s="13" t="n"/>
      <c r="S436" s="13" t="n"/>
      <c r="T436" s="14">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row>
    <row r="437" ht="15" customHeight="1">
      <c r="A437" s="11" t="n"/>
      <c r="B437" s="12">
        <f>IF(A437="","",EOMONTH(A437,0))</f>
        <v/>
      </c>
      <c r="C437" s="13" t="n"/>
      <c r="D437" s="13" t="n"/>
      <c r="E437" s="13" t="n"/>
      <c r="F437" s="14">
        <f>IF(E437="","",IF(COUNTIF(lst_Jobs,E437&amp;"")&gt;0,"OK","CHECK"))</f>
        <v/>
      </c>
      <c r="G437" s="13" t="n"/>
      <c r="H437" s="13" t="n"/>
      <c r="I437" s="13" t="n"/>
      <c r="J437" s="13" t="n"/>
      <c r="K437" s="13" t="n"/>
      <c r="L437" s="15" t="n"/>
      <c r="M437" s="16">
        <f>IF(L437="","",IF(K437="GST 10%",ROUND(L437*0.1,2),0))</f>
        <v/>
      </c>
      <c r="N437" s="16">
        <f>IF(L437="","",L437+M437)</f>
        <v/>
      </c>
      <c r="O437" s="13" t="n"/>
      <c r="P437" s="13" t="n"/>
      <c r="Q437" s="13" t="n"/>
      <c r="R437" s="13" t="n"/>
      <c r="S437" s="13" t="n"/>
      <c r="T437" s="14">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row>
    <row r="438" ht="15" customHeight="1">
      <c r="A438" s="11" t="n"/>
      <c r="B438" s="12">
        <f>IF(A438="","",EOMONTH(A438,0))</f>
        <v/>
      </c>
      <c r="C438" s="13" t="n"/>
      <c r="D438" s="13" t="n"/>
      <c r="E438" s="13" t="n"/>
      <c r="F438" s="14">
        <f>IF(E438="","",IF(COUNTIF(lst_Jobs,E438&amp;"")&gt;0,"OK","CHECK"))</f>
        <v/>
      </c>
      <c r="G438" s="13" t="n"/>
      <c r="H438" s="13" t="n"/>
      <c r="I438" s="13" t="n"/>
      <c r="J438" s="13" t="n"/>
      <c r="K438" s="13" t="n"/>
      <c r="L438" s="15" t="n"/>
      <c r="M438" s="16">
        <f>IF(L438="","",IF(K438="GST 10%",ROUND(L438*0.1,2),0))</f>
        <v/>
      </c>
      <c r="N438" s="16">
        <f>IF(L438="","",L438+M438)</f>
        <v/>
      </c>
      <c r="O438" s="13" t="n"/>
      <c r="P438" s="13" t="n"/>
      <c r="Q438" s="13" t="n"/>
      <c r="R438" s="13" t="n"/>
      <c r="S438" s="13" t="n"/>
      <c r="T438" s="14">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row>
    <row r="439" ht="15" customHeight="1">
      <c r="A439" s="11" t="n"/>
      <c r="B439" s="12">
        <f>IF(A439="","",EOMONTH(A439,0))</f>
        <v/>
      </c>
      <c r="C439" s="13" t="n"/>
      <c r="D439" s="13" t="n"/>
      <c r="E439" s="13" t="n"/>
      <c r="F439" s="14">
        <f>IF(E439="","",IF(COUNTIF(lst_Jobs,E439&amp;"")&gt;0,"OK","CHECK"))</f>
        <v/>
      </c>
      <c r="G439" s="13" t="n"/>
      <c r="H439" s="13" t="n"/>
      <c r="I439" s="13" t="n"/>
      <c r="J439" s="13" t="n"/>
      <c r="K439" s="13" t="n"/>
      <c r="L439" s="15" t="n"/>
      <c r="M439" s="16">
        <f>IF(L439="","",IF(K439="GST 10%",ROUND(L439*0.1,2),0))</f>
        <v/>
      </c>
      <c r="N439" s="16">
        <f>IF(L439="","",L439+M439)</f>
        <v/>
      </c>
      <c r="O439" s="13" t="n"/>
      <c r="P439" s="13" t="n"/>
      <c r="Q439" s="13" t="n"/>
      <c r="R439" s="13" t="n"/>
      <c r="S439" s="13" t="n"/>
      <c r="T439" s="14">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row>
    <row r="440" ht="15" customHeight="1">
      <c r="A440" s="11" t="n"/>
      <c r="B440" s="12">
        <f>IF(A440="","",EOMONTH(A440,0))</f>
        <v/>
      </c>
      <c r="C440" s="13" t="n"/>
      <c r="D440" s="13" t="n"/>
      <c r="E440" s="13" t="n"/>
      <c r="F440" s="14">
        <f>IF(E440="","",IF(COUNTIF(lst_Jobs,E440&amp;"")&gt;0,"OK","CHECK"))</f>
        <v/>
      </c>
      <c r="G440" s="13" t="n"/>
      <c r="H440" s="13" t="n"/>
      <c r="I440" s="13" t="n"/>
      <c r="J440" s="13" t="n"/>
      <c r="K440" s="13" t="n"/>
      <c r="L440" s="15" t="n"/>
      <c r="M440" s="16">
        <f>IF(L440="","",IF(K440="GST 10%",ROUND(L440*0.1,2),0))</f>
        <v/>
      </c>
      <c r="N440" s="16">
        <f>IF(L440="","",L440+M440)</f>
        <v/>
      </c>
      <c r="O440" s="13" t="n"/>
      <c r="P440" s="13" t="n"/>
      <c r="Q440" s="13" t="n"/>
      <c r="R440" s="13" t="n"/>
      <c r="S440" s="13" t="n"/>
      <c r="T440" s="14">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row>
    <row r="441" ht="15" customHeight="1">
      <c r="A441" s="11" t="n"/>
      <c r="B441" s="12">
        <f>IF(A441="","",EOMONTH(A441,0))</f>
        <v/>
      </c>
      <c r="C441" s="13" t="n"/>
      <c r="D441" s="13" t="n"/>
      <c r="E441" s="13" t="n"/>
      <c r="F441" s="14">
        <f>IF(E441="","",IF(COUNTIF(lst_Jobs,E441&amp;"")&gt;0,"OK","CHECK"))</f>
        <v/>
      </c>
      <c r="G441" s="13" t="n"/>
      <c r="H441" s="13" t="n"/>
      <c r="I441" s="13" t="n"/>
      <c r="J441" s="13" t="n"/>
      <c r="K441" s="13" t="n"/>
      <c r="L441" s="15" t="n"/>
      <c r="M441" s="16">
        <f>IF(L441="","",IF(K441="GST 10%",ROUND(L441*0.1,2),0))</f>
        <v/>
      </c>
      <c r="N441" s="16">
        <f>IF(L441="","",L441+M441)</f>
        <v/>
      </c>
      <c r="O441" s="13" t="n"/>
      <c r="P441" s="13" t="n"/>
      <c r="Q441" s="13" t="n"/>
      <c r="R441" s="13" t="n"/>
      <c r="S441" s="13" t="n"/>
      <c r="T441" s="14">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row>
    <row r="442" ht="15" customHeight="1">
      <c r="A442" s="11" t="n"/>
      <c r="B442" s="12">
        <f>IF(A442="","",EOMONTH(A442,0))</f>
        <v/>
      </c>
      <c r="C442" s="13" t="n"/>
      <c r="D442" s="13" t="n"/>
      <c r="E442" s="13" t="n"/>
      <c r="F442" s="14">
        <f>IF(E442="","",IF(COUNTIF(lst_Jobs,E442&amp;"")&gt;0,"OK","CHECK"))</f>
        <v/>
      </c>
      <c r="G442" s="13" t="n"/>
      <c r="H442" s="13" t="n"/>
      <c r="I442" s="13" t="n"/>
      <c r="J442" s="13" t="n"/>
      <c r="K442" s="13" t="n"/>
      <c r="L442" s="15" t="n"/>
      <c r="M442" s="16">
        <f>IF(L442="","",IF(K442="GST 10%",ROUND(L442*0.1,2),0))</f>
        <v/>
      </c>
      <c r="N442" s="16">
        <f>IF(L442="","",L442+M442)</f>
        <v/>
      </c>
      <c r="O442" s="13" t="n"/>
      <c r="P442" s="13" t="n"/>
      <c r="Q442" s="13" t="n"/>
      <c r="R442" s="13" t="n"/>
      <c r="S442" s="13" t="n"/>
      <c r="T442" s="14">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row>
    <row r="443" ht="15" customHeight="1">
      <c r="A443" s="11" t="n"/>
      <c r="B443" s="12">
        <f>IF(A443="","",EOMONTH(A443,0))</f>
        <v/>
      </c>
      <c r="C443" s="13" t="n"/>
      <c r="D443" s="13" t="n"/>
      <c r="E443" s="13" t="n"/>
      <c r="F443" s="14">
        <f>IF(E443="","",IF(COUNTIF(lst_Jobs,E443&amp;"")&gt;0,"OK","CHECK"))</f>
        <v/>
      </c>
      <c r="G443" s="13" t="n"/>
      <c r="H443" s="13" t="n"/>
      <c r="I443" s="13" t="n"/>
      <c r="J443" s="13" t="n"/>
      <c r="K443" s="13" t="n"/>
      <c r="L443" s="15" t="n"/>
      <c r="M443" s="16">
        <f>IF(L443="","",IF(K443="GST 10%",ROUND(L443*0.1,2),0))</f>
        <v/>
      </c>
      <c r="N443" s="16">
        <f>IF(L443="","",L443+M443)</f>
        <v/>
      </c>
      <c r="O443" s="13" t="n"/>
      <c r="P443" s="13" t="n"/>
      <c r="Q443" s="13" t="n"/>
      <c r="R443" s="13" t="n"/>
      <c r="S443" s="13" t="n"/>
      <c r="T443" s="14">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row>
    <row r="444" ht="15" customHeight="1">
      <c r="A444" s="11" t="n"/>
      <c r="B444" s="12">
        <f>IF(A444="","",EOMONTH(A444,0))</f>
        <v/>
      </c>
      <c r="C444" s="13" t="n"/>
      <c r="D444" s="13" t="n"/>
      <c r="E444" s="13" t="n"/>
      <c r="F444" s="14">
        <f>IF(E444="","",IF(COUNTIF(lst_Jobs,E444&amp;"")&gt;0,"OK","CHECK"))</f>
        <v/>
      </c>
      <c r="G444" s="13" t="n"/>
      <c r="H444" s="13" t="n"/>
      <c r="I444" s="13" t="n"/>
      <c r="J444" s="13" t="n"/>
      <c r="K444" s="13" t="n"/>
      <c r="L444" s="15" t="n"/>
      <c r="M444" s="16">
        <f>IF(L444="","",IF(K444="GST 10%",ROUND(L444*0.1,2),0))</f>
        <v/>
      </c>
      <c r="N444" s="16">
        <f>IF(L444="","",L444+M444)</f>
        <v/>
      </c>
      <c r="O444" s="13" t="n"/>
      <c r="P444" s="13" t="n"/>
      <c r="Q444" s="13" t="n"/>
      <c r="R444" s="13" t="n"/>
      <c r="S444" s="13" t="n"/>
      <c r="T444" s="14">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row>
    <row r="445" ht="15" customHeight="1">
      <c r="A445" s="11" t="n"/>
      <c r="B445" s="12">
        <f>IF(A445="","",EOMONTH(A445,0))</f>
        <v/>
      </c>
      <c r="C445" s="13" t="n"/>
      <c r="D445" s="13" t="n"/>
      <c r="E445" s="13" t="n"/>
      <c r="F445" s="14">
        <f>IF(E445="","",IF(COUNTIF(lst_Jobs,E445&amp;"")&gt;0,"OK","CHECK"))</f>
        <v/>
      </c>
      <c r="G445" s="13" t="n"/>
      <c r="H445" s="13" t="n"/>
      <c r="I445" s="13" t="n"/>
      <c r="J445" s="13" t="n"/>
      <c r="K445" s="13" t="n"/>
      <c r="L445" s="15" t="n"/>
      <c r="M445" s="16">
        <f>IF(L445="","",IF(K445="GST 10%",ROUND(L445*0.1,2),0))</f>
        <v/>
      </c>
      <c r="N445" s="16">
        <f>IF(L445="","",L445+M445)</f>
        <v/>
      </c>
      <c r="O445" s="13" t="n"/>
      <c r="P445" s="13" t="n"/>
      <c r="Q445" s="13" t="n"/>
      <c r="R445" s="13" t="n"/>
      <c r="S445" s="13" t="n"/>
      <c r="T445" s="14">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row>
    <row r="446" ht="15" customHeight="1">
      <c r="A446" s="11" t="n"/>
      <c r="B446" s="12">
        <f>IF(A446="","",EOMONTH(A446,0))</f>
        <v/>
      </c>
      <c r="C446" s="13" t="n"/>
      <c r="D446" s="13" t="n"/>
      <c r="E446" s="13" t="n"/>
      <c r="F446" s="14">
        <f>IF(E446="","",IF(COUNTIF(lst_Jobs,E446&amp;"")&gt;0,"OK","CHECK"))</f>
        <v/>
      </c>
      <c r="G446" s="13" t="n"/>
      <c r="H446" s="13" t="n"/>
      <c r="I446" s="13" t="n"/>
      <c r="J446" s="13" t="n"/>
      <c r="K446" s="13" t="n"/>
      <c r="L446" s="15" t="n"/>
      <c r="M446" s="16">
        <f>IF(L446="","",IF(K446="GST 10%",ROUND(L446*0.1,2),0))</f>
        <v/>
      </c>
      <c r="N446" s="16">
        <f>IF(L446="","",L446+M446)</f>
        <v/>
      </c>
      <c r="O446" s="13" t="n"/>
      <c r="P446" s="13" t="n"/>
      <c r="Q446" s="13" t="n"/>
      <c r="R446" s="13" t="n"/>
      <c r="S446" s="13" t="n"/>
      <c r="T446" s="14">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row>
    <row r="447" ht="15" customHeight="1">
      <c r="A447" s="11" t="n"/>
      <c r="B447" s="12">
        <f>IF(A447="","",EOMONTH(A447,0))</f>
        <v/>
      </c>
      <c r="C447" s="13" t="n"/>
      <c r="D447" s="13" t="n"/>
      <c r="E447" s="13" t="n"/>
      <c r="F447" s="14">
        <f>IF(E447="","",IF(COUNTIF(lst_Jobs,E447&amp;"")&gt;0,"OK","CHECK"))</f>
        <v/>
      </c>
      <c r="G447" s="13" t="n"/>
      <c r="H447" s="13" t="n"/>
      <c r="I447" s="13" t="n"/>
      <c r="J447" s="13" t="n"/>
      <c r="K447" s="13" t="n"/>
      <c r="L447" s="15" t="n"/>
      <c r="M447" s="16">
        <f>IF(L447="","",IF(K447="GST 10%",ROUND(L447*0.1,2),0))</f>
        <v/>
      </c>
      <c r="N447" s="16">
        <f>IF(L447="","",L447+M447)</f>
        <v/>
      </c>
      <c r="O447" s="13" t="n"/>
      <c r="P447" s="13" t="n"/>
      <c r="Q447" s="13" t="n"/>
      <c r="R447" s="13" t="n"/>
      <c r="S447" s="13" t="n"/>
      <c r="T447" s="14">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row>
    <row r="448" ht="15" customHeight="1">
      <c r="A448" s="11" t="n"/>
      <c r="B448" s="12">
        <f>IF(A448="","",EOMONTH(A448,0))</f>
        <v/>
      </c>
      <c r="C448" s="13" t="n"/>
      <c r="D448" s="13" t="n"/>
      <c r="E448" s="13" t="n"/>
      <c r="F448" s="14">
        <f>IF(E448="","",IF(COUNTIF(lst_Jobs,E448&amp;"")&gt;0,"OK","CHECK"))</f>
        <v/>
      </c>
      <c r="G448" s="13" t="n"/>
      <c r="H448" s="13" t="n"/>
      <c r="I448" s="13" t="n"/>
      <c r="J448" s="13" t="n"/>
      <c r="K448" s="13" t="n"/>
      <c r="L448" s="15" t="n"/>
      <c r="M448" s="16">
        <f>IF(L448="","",IF(K448="GST 10%",ROUND(L448*0.1,2),0))</f>
        <v/>
      </c>
      <c r="N448" s="16">
        <f>IF(L448="","",L448+M448)</f>
        <v/>
      </c>
      <c r="O448" s="13" t="n"/>
      <c r="P448" s="13" t="n"/>
      <c r="Q448" s="13" t="n"/>
      <c r="R448" s="13" t="n"/>
      <c r="S448" s="13" t="n"/>
      <c r="T448" s="14">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row>
    <row r="449" ht="15" customHeight="1">
      <c r="A449" s="11" t="n"/>
      <c r="B449" s="12">
        <f>IF(A449="","",EOMONTH(A449,0))</f>
        <v/>
      </c>
      <c r="C449" s="13" t="n"/>
      <c r="D449" s="13" t="n"/>
      <c r="E449" s="13" t="n"/>
      <c r="F449" s="14">
        <f>IF(E449="","",IF(COUNTIF(lst_Jobs,E449&amp;"")&gt;0,"OK","CHECK"))</f>
        <v/>
      </c>
      <c r="G449" s="13" t="n"/>
      <c r="H449" s="13" t="n"/>
      <c r="I449" s="13" t="n"/>
      <c r="J449" s="13" t="n"/>
      <c r="K449" s="13" t="n"/>
      <c r="L449" s="15" t="n"/>
      <c r="M449" s="16">
        <f>IF(L449="","",IF(K449="GST 10%",ROUND(L449*0.1,2),0))</f>
        <v/>
      </c>
      <c r="N449" s="16">
        <f>IF(L449="","",L449+M449)</f>
        <v/>
      </c>
      <c r="O449" s="13" t="n"/>
      <c r="P449" s="13" t="n"/>
      <c r="Q449" s="13" t="n"/>
      <c r="R449" s="13" t="n"/>
      <c r="S449" s="13" t="n"/>
      <c r="T449" s="14">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row>
    <row r="450" ht="15" customHeight="1">
      <c r="A450" s="11" t="n"/>
      <c r="B450" s="12">
        <f>IF(A450="","",EOMONTH(A450,0))</f>
        <v/>
      </c>
      <c r="C450" s="13" t="n"/>
      <c r="D450" s="13" t="n"/>
      <c r="E450" s="13" t="n"/>
      <c r="F450" s="14">
        <f>IF(E450="","",IF(COUNTIF(lst_Jobs,E450&amp;"")&gt;0,"OK","CHECK"))</f>
        <v/>
      </c>
      <c r="G450" s="13" t="n"/>
      <c r="H450" s="13" t="n"/>
      <c r="I450" s="13" t="n"/>
      <c r="J450" s="13" t="n"/>
      <c r="K450" s="13" t="n"/>
      <c r="L450" s="15" t="n"/>
      <c r="M450" s="16">
        <f>IF(L450="","",IF(K450="GST 10%",ROUND(L450*0.1,2),0))</f>
        <v/>
      </c>
      <c r="N450" s="16">
        <f>IF(L450="","",L450+M450)</f>
        <v/>
      </c>
      <c r="O450" s="13" t="n"/>
      <c r="P450" s="13" t="n"/>
      <c r="Q450" s="13" t="n"/>
      <c r="R450" s="13" t="n"/>
      <c r="S450" s="13" t="n"/>
      <c r="T450" s="14">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row>
    <row r="451" ht="15" customHeight="1">
      <c r="A451" s="11" t="n"/>
      <c r="B451" s="12">
        <f>IF(A451="","",EOMONTH(A451,0))</f>
        <v/>
      </c>
      <c r="C451" s="13" t="n"/>
      <c r="D451" s="13" t="n"/>
      <c r="E451" s="13" t="n"/>
      <c r="F451" s="14">
        <f>IF(E451="","",IF(COUNTIF(lst_Jobs,E451&amp;"")&gt;0,"OK","CHECK"))</f>
        <v/>
      </c>
      <c r="G451" s="13" t="n"/>
      <c r="H451" s="13" t="n"/>
      <c r="I451" s="13" t="n"/>
      <c r="J451" s="13" t="n"/>
      <c r="K451" s="13" t="n"/>
      <c r="L451" s="15" t="n"/>
      <c r="M451" s="16">
        <f>IF(L451="","",IF(K451="GST 10%",ROUND(L451*0.1,2),0))</f>
        <v/>
      </c>
      <c r="N451" s="16">
        <f>IF(L451="","",L451+M451)</f>
        <v/>
      </c>
      <c r="O451" s="13" t="n"/>
      <c r="P451" s="13" t="n"/>
      <c r="Q451" s="13" t="n"/>
      <c r="R451" s="13" t="n"/>
      <c r="S451" s="13" t="n"/>
      <c r="T451" s="14">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row>
    <row r="452" ht="15" customHeight="1">
      <c r="A452" s="11" t="n"/>
      <c r="B452" s="12">
        <f>IF(A452="","",EOMONTH(A452,0))</f>
        <v/>
      </c>
      <c r="C452" s="13" t="n"/>
      <c r="D452" s="13" t="n"/>
      <c r="E452" s="13" t="n"/>
      <c r="F452" s="14">
        <f>IF(E452="","",IF(COUNTIF(lst_Jobs,E452&amp;"")&gt;0,"OK","CHECK"))</f>
        <v/>
      </c>
      <c r="G452" s="13" t="n"/>
      <c r="H452" s="13" t="n"/>
      <c r="I452" s="13" t="n"/>
      <c r="J452" s="13" t="n"/>
      <c r="K452" s="13" t="n"/>
      <c r="L452" s="15" t="n"/>
      <c r="M452" s="16">
        <f>IF(L452="","",IF(K452="GST 10%",ROUND(L452*0.1,2),0))</f>
        <v/>
      </c>
      <c r="N452" s="16">
        <f>IF(L452="","",L452+M452)</f>
        <v/>
      </c>
      <c r="O452" s="13" t="n"/>
      <c r="P452" s="13" t="n"/>
      <c r="Q452" s="13" t="n"/>
      <c r="R452" s="13" t="n"/>
      <c r="S452" s="13" t="n"/>
      <c r="T452" s="14">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row>
    <row r="453" ht="15" customHeight="1">
      <c r="A453" s="11" t="n"/>
      <c r="B453" s="12">
        <f>IF(A453="","",EOMONTH(A453,0))</f>
        <v/>
      </c>
      <c r="C453" s="13" t="n"/>
      <c r="D453" s="13" t="n"/>
      <c r="E453" s="13" t="n"/>
      <c r="F453" s="14">
        <f>IF(E453="","",IF(COUNTIF(lst_Jobs,E453&amp;"")&gt;0,"OK","CHECK"))</f>
        <v/>
      </c>
      <c r="G453" s="13" t="n"/>
      <c r="H453" s="13" t="n"/>
      <c r="I453" s="13" t="n"/>
      <c r="J453" s="13" t="n"/>
      <c r="K453" s="13" t="n"/>
      <c r="L453" s="15" t="n"/>
      <c r="M453" s="16">
        <f>IF(L453="","",IF(K453="GST 10%",ROUND(L453*0.1,2),0))</f>
        <v/>
      </c>
      <c r="N453" s="16">
        <f>IF(L453="","",L453+M453)</f>
        <v/>
      </c>
      <c r="O453" s="13" t="n"/>
      <c r="P453" s="13" t="n"/>
      <c r="Q453" s="13" t="n"/>
      <c r="R453" s="13" t="n"/>
      <c r="S453" s="13" t="n"/>
      <c r="T453" s="14">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row>
    <row r="454" ht="15" customHeight="1">
      <c r="A454" s="11" t="n"/>
      <c r="B454" s="12">
        <f>IF(A454="","",EOMONTH(A454,0))</f>
        <v/>
      </c>
      <c r="C454" s="13" t="n"/>
      <c r="D454" s="13" t="n"/>
      <c r="E454" s="13" t="n"/>
      <c r="F454" s="14">
        <f>IF(E454="","",IF(COUNTIF(lst_Jobs,E454&amp;"")&gt;0,"OK","CHECK"))</f>
        <v/>
      </c>
      <c r="G454" s="13" t="n"/>
      <c r="H454" s="13" t="n"/>
      <c r="I454" s="13" t="n"/>
      <c r="J454" s="13" t="n"/>
      <c r="K454" s="13" t="n"/>
      <c r="L454" s="15" t="n"/>
      <c r="M454" s="16">
        <f>IF(L454="","",IF(K454="GST 10%",ROUND(L454*0.1,2),0))</f>
        <v/>
      </c>
      <c r="N454" s="16">
        <f>IF(L454="","",L454+M454)</f>
        <v/>
      </c>
      <c r="O454" s="13" t="n"/>
      <c r="P454" s="13" t="n"/>
      <c r="Q454" s="13" t="n"/>
      <c r="R454" s="13" t="n"/>
      <c r="S454" s="13" t="n"/>
      <c r="T454" s="14">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row>
    <row r="455" ht="15" customHeight="1">
      <c r="A455" s="11" t="n"/>
      <c r="B455" s="12">
        <f>IF(A455="","",EOMONTH(A455,0))</f>
        <v/>
      </c>
      <c r="C455" s="13" t="n"/>
      <c r="D455" s="13" t="n"/>
      <c r="E455" s="13" t="n"/>
      <c r="F455" s="14">
        <f>IF(E455="","",IF(COUNTIF(lst_Jobs,E455&amp;"")&gt;0,"OK","CHECK"))</f>
        <v/>
      </c>
      <c r="G455" s="13" t="n"/>
      <c r="H455" s="13" t="n"/>
      <c r="I455" s="13" t="n"/>
      <c r="J455" s="13" t="n"/>
      <c r="K455" s="13" t="n"/>
      <c r="L455" s="15" t="n"/>
      <c r="M455" s="16">
        <f>IF(L455="","",IF(K455="GST 10%",ROUND(L455*0.1,2),0))</f>
        <v/>
      </c>
      <c r="N455" s="16">
        <f>IF(L455="","",L455+M455)</f>
        <v/>
      </c>
      <c r="O455" s="13" t="n"/>
      <c r="P455" s="13" t="n"/>
      <c r="Q455" s="13" t="n"/>
      <c r="R455" s="13" t="n"/>
      <c r="S455" s="13" t="n"/>
      <c r="T455" s="14">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row>
    <row r="456" ht="15" customHeight="1">
      <c r="A456" s="11" t="n"/>
      <c r="B456" s="12">
        <f>IF(A456="","",EOMONTH(A456,0))</f>
        <v/>
      </c>
      <c r="C456" s="13" t="n"/>
      <c r="D456" s="13" t="n"/>
      <c r="E456" s="13" t="n"/>
      <c r="F456" s="14">
        <f>IF(E456="","",IF(COUNTIF(lst_Jobs,E456&amp;"")&gt;0,"OK","CHECK"))</f>
        <v/>
      </c>
      <c r="G456" s="13" t="n"/>
      <c r="H456" s="13" t="n"/>
      <c r="I456" s="13" t="n"/>
      <c r="J456" s="13" t="n"/>
      <c r="K456" s="13" t="n"/>
      <c r="L456" s="15" t="n"/>
      <c r="M456" s="16">
        <f>IF(L456="","",IF(K456="GST 10%",ROUND(L456*0.1,2),0))</f>
        <v/>
      </c>
      <c r="N456" s="16">
        <f>IF(L456="","",L456+M456)</f>
        <v/>
      </c>
      <c r="O456" s="13" t="n"/>
      <c r="P456" s="13" t="n"/>
      <c r="Q456" s="13" t="n"/>
      <c r="R456" s="13" t="n"/>
      <c r="S456" s="13" t="n"/>
      <c r="T456" s="14">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row>
    <row r="457" ht="15" customHeight="1">
      <c r="A457" s="11" t="n"/>
      <c r="B457" s="12">
        <f>IF(A457="","",EOMONTH(A457,0))</f>
        <v/>
      </c>
      <c r="C457" s="13" t="n"/>
      <c r="D457" s="13" t="n"/>
      <c r="E457" s="13" t="n"/>
      <c r="F457" s="14">
        <f>IF(E457="","",IF(COUNTIF(lst_Jobs,E457&amp;"")&gt;0,"OK","CHECK"))</f>
        <v/>
      </c>
      <c r="G457" s="13" t="n"/>
      <c r="H457" s="13" t="n"/>
      <c r="I457" s="13" t="n"/>
      <c r="J457" s="13" t="n"/>
      <c r="K457" s="13" t="n"/>
      <c r="L457" s="15" t="n"/>
      <c r="M457" s="16">
        <f>IF(L457="","",IF(K457="GST 10%",ROUND(L457*0.1,2),0))</f>
        <v/>
      </c>
      <c r="N457" s="16">
        <f>IF(L457="","",L457+M457)</f>
        <v/>
      </c>
      <c r="O457" s="13" t="n"/>
      <c r="P457" s="13" t="n"/>
      <c r="Q457" s="13" t="n"/>
      <c r="R457" s="13" t="n"/>
      <c r="S457" s="13" t="n"/>
      <c r="T457" s="14">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row>
    <row r="458" ht="15" customHeight="1">
      <c r="A458" s="11" t="n"/>
      <c r="B458" s="12">
        <f>IF(A458="","",EOMONTH(A458,0))</f>
        <v/>
      </c>
      <c r="C458" s="13" t="n"/>
      <c r="D458" s="13" t="n"/>
      <c r="E458" s="13" t="n"/>
      <c r="F458" s="14">
        <f>IF(E458="","",IF(COUNTIF(lst_Jobs,E458&amp;"")&gt;0,"OK","CHECK"))</f>
        <v/>
      </c>
      <c r="G458" s="13" t="n"/>
      <c r="H458" s="13" t="n"/>
      <c r="I458" s="13" t="n"/>
      <c r="J458" s="13" t="n"/>
      <c r="K458" s="13" t="n"/>
      <c r="L458" s="15" t="n"/>
      <c r="M458" s="16">
        <f>IF(L458="","",IF(K458="GST 10%",ROUND(L458*0.1,2),0))</f>
        <v/>
      </c>
      <c r="N458" s="16">
        <f>IF(L458="","",L458+M458)</f>
        <v/>
      </c>
      <c r="O458" s="13" t="n"/>
      <c r="P458" s="13" t="n"/>
      <c r="Q458" s="13" t="n"/>
      <c r="R458" s="13" t="n"/>
      <c r="S458" s="13" t="n"/>
      <c r="T458" s="14">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row>
    <row r="459" ht="15" customHeight="1">
      <c r="A459" s="11" t="n"/>
      <c r="B459" s="12">
        <f>IF(A459="","",EOMONTH(A459,0))</f>
        <v/>
      </c>
      <c r="C459" s="13" t="n"/>
      <c r="D459" s="13" t="n"/>
      <c r="E459" s="13" t="n"/>
      <c r="F459" s="14">
        <f>IF(E459="","",IF(COUNTIF(lst_Jobs,E459&amp;"")&gt;0,"OK","CHECK"))</f>
        <v/>
      </c>
      <c r="G459" s="13" t="n"/>
      <c r="H459" s="13" t="n"/>
      <c r="I459" s="13" t="n"/>
      <c r="J459" s="13" t="n"/>
      <c r="K459" s="13" t="n"/>
      <c r="L459" s="15" t="n"/>
      <c r="M459" s="16">
        <f>IF(L459="","",IF(K459="GST 10%",ROUND(L459*0.1,2),0))</f>
        <v/>
      </c>
      <c r="N459" s="16">
        <f>IF(L459="","",L459+M459)</f>
        <v/>
      </c>
      <c r="O459" s="13" t="n"/>
      <c r="P459" s="13" t="n"/>
      <c r="Q459" s="13" t="n"/>
      <c r="R459" s="13" t="n"/>
      <c r="S459" s="13" t="n"/>
      <c r="T459" s="14">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row>
    <row r="460" ht="15" customHeight="1">
      <c r="A460" s="11" t="n"/>
      <c r="B460" s="12">
        <f>IF(A460="","",EOMONTH(A460,0))</f>
        <v/>
      </c>
      <c r="C460" s="13" t="n"/>
      <c r="D460" s="13" t="n"/>
      <c r="E460" s="13" t="n"/>
      <c r="F460" s="14">
        <f>IF(E460="","",IF(COUNTIF(lst_Jobs,E460&amp;"")&gt;0,"OK","CHECK"))</f>
        <v/>
      </c>
      <c r="G460" s="13" t="n"/>
      <c r="H460" s="13" t="n"/>
      <c r="I460" s="13" t="n"/>
      <c r="J460" s="13" t="n"/>
      <c r="K460" s="13" t="n"/>
      <c r="L460" s="15" t="n"/>
      <c r="M460" s="16">
        <f>IF(L460="","",IF(K460="GST 10%",ROUND(L460*0.1,2),0))</f>
        <v/>
      </c>
      <c r="N460" s="16">
        <f>IF(L460="","",L460+M460)</f>
        <v/>
      </c>
      <c r="O460" s="13" t="n"/>
      <c r="P460" s="13" t="n"/>
      <c r="Q460" s="13" t="n"/>
      <c r="R460" s="13" t="n"/>
      <c r="S460" s="13" t="n"/>
      <c r="T460" s="14">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row>
    <row r="461" ht="15" customHeight="1">
      <c r="A461" s="11" t="n"/>
      <c r="B461" s="12">
        <f>IF(A461="","",EOMONTH(A461,0))</f>
        <v/>
      </c>
      <c r="C461" s="13" t="n"/>
      <c r="D461" s="13" t="n"/>
      <c r="E461" s="13" t="n"/>
      <c r="F461" s="14">
        <f>IF(E461="","",IF(COUNTIF(lst_Jobs,E461&amp;"")&gt;0,"OK","CHECK"))</f>
        <v/>
      </c>
      <c r="G461" s="13" t="n"/>
      <c r="H461" s="13" t="n"/>
      <c r="I461" s="13" t="n"/>
      <c r="J461" s="13" t="n"/>
      <c r="K461" s="13" t="n"/>
      <c r="L461" s="15" t="n"/>
      <c r="M461" s="16">
        <f>IF(L461="","",IF(K461="GST 10%",ROUND(L461*0.1,2),0))</f>
        <v/>
      </c>
      <c r="N461" s="16">
        <f>IF(L461="","",L461+M461)</f>
        <v/>
      </c>
      <c r="O461" s="13" t="n"/>
      <c r="P461" s="13" t="n"/>
      <c r="Q461" s="13" t="n"/>
      <c r="R461" s="13" t="n"/>
      <c r="S461" s="13" t="n"/>
      <c r="T461" s="14">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row>
    <row r="462" ht="15" customHeight="1">
      <c r="A462" s="11" t="n"/>
      <c r="B462" s="12">
        <f>IF(A462="","",EOMONTH(A462,0))</f>
        <v/>
      </c>
      <c r="C462" s="13" t="n"/>
      <c r="D462" s="13" t="n"/>
      <c r="E462" s="13" t="n"/>
      <c r="F462" s="14">
        <f>IF(E462="","",IF(COUNTIF(lst_Jobs,E462&amp;"")&gt;0,"OK","CHECK"))</f>
        <v/>
      </c>
      <c r="G462" s="13" t="n"/>
      <c r="H462" s="13" t="n"/>
      <c r="I462" s="13" t="n"/>
      <c r="J462" s="13" t="n"/>
      <c r="K462" s="13" t="n"/>
      <c r="L462" s="15" t="n"/>
      <c r="M462" s="16">
        <f>IF(L462="","",IF(K462="GST 10%",ROUND(L462*0.1,2),0))</f>
        <v/>
      </c>
      <c r="N462" s="16">
        <f>IF(L462="","",L462+M462)</f>
        <v/>
      </c>
      <c r="O462" s="13" t="n"/>
      <c r="P462" s="13" t="n"/>
      <c r="Q462" s="13" t="n"/>
      <c r="R462" s="13" t="n"/>
      <c r="S462" s="13" t="n"/>
      <c r="T462" s="14">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row>
    <row r="463" ht="15" customHeight="1">
      <c r="A463" s="11" t="n"/>
      <c r="B463" s="12">
        <f>IF(A463="","",EOMONTH(A463,0))</f>
        <v/>
      </c>
      <c r="C463" s="13" t="n"/>
      <c r="D463" s="13" t="n"/>
      <c r="E463" s="13" t="n"/>
      <c r="F463" s="14">
        <f>IF(E463="","",IF(COUNTIF(lst_Jobs,E463&amp;"")&gt;0,"OK","CHECK"))</f>
        <v/>
      </c>
      <c r="G463" s="13" t="n"/>
      <c r="H463" s="13" t="n"/>
      <c r="I463" s="13" t="n"/>
      <c r="J463" s="13" t="n"/>
      <c r="K463" s="13" t="n"/>
      <c r="L463" s="15" t="n"/>
      <c r="M463" s="16">
        <f>IF(L463="","",IF(K463="GST 10%",ROUND(L463*0.1,2),0))</f>
        <v/>
      </c>
      <c r="N463" s="16">
        <f>IF(L463="","",L463+M463)</f>
        <v/>
      </c>
      <c r="O463" s="13" t="n"/>
      <c r="P463" s="13" t="n"/>
      <c r="Q463" s="13" t="n"/>
      <c r="R463" s="13" t="n"/>
      <c r="S463" s="13" t="n"/>
      <c r="T463" s="14">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row>
    <row r="464" ht="15" customHeight="1">
      <c r="A464" s="11" t="n"/>
      <c r="B464" s="12">
        <f>IF(A464="","",EOMONTH(A464,0))</f>
        <v/>
      </c>
      <c r="C464" s="13" t="n"/>
      <c r="D464" s="13" t="n"/>
      <c r="E464" s="13" t="n"/>
      <c r="F464" s="14">
        <f>IF(E464="","",IF(COUNTIF(lst_Jobs,E464&amp;"")&gt;0,"OK","CHECK"))</f>
        <v/>
      </c>
      <c r="G464" s="13" t="n"/>
      <c r="H464" s="13" t="n"/>
      <c r="I464" s="13" t="n"/>
      <c r="J464" s="13" t="n"/>
      <c r="K464" s="13" t="n"/>
      <c r="L464" s="15" t="n"/>
      <c r="M464" s="16">
        <f>IF(L464="","",IF(K464="GST 10%",ROUND(L464*0.1,2),0))</f>
        <v/>
      </c>
      <c r="N464" s="16">
        <f>IF(L464="","",L464+M464)</f>
        <v/>
      </c>
      <c r="O464" s="13" t="n"/>
      <c r="P464" s="13" t="n"/>
      <c r="Q464" s="13" t="n"/>
      <c r="R464" s="13" t="n"/>
      <c r="S464" s="13" t="n"/>
      <c r="T464" s="14">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row>
    <row r="465" ht="15" customHeight="1">
      <c r="A465" s="11" t="n"/>
      <c r="B465" s="12">
        <f>IF(A465="","",EOMONTH(A465,0))</f>
        <v/>
      </c>
      <c r="C465" s="13" t="n"/>
      <c r="D465" s="13" t="n"/>
      <c r="E465" s="13" t="n"/>
      <c r="F465" s="14">
        <f>IF(E465="","",IF(COUNTIF(lst_Jobs,E465&amp;"")&gt;0,"OK","CHECK"))</f>
        <v/>
      </c>
      <c r="G465" s="13" t="n"/>
      <c r="H465" s="13" t="n"/>
      <c r="I465" s="13" t="n"/>
      <c r="J465" s="13" t="n"/>
      <c r="K465" s="13" t="n"/>
      <c r="L465" s="15" t="n"/>
      <c r="M465" s="16">
        <f>IF(L465="","",IF(K465="GST 10%",ROUND(L465*0.1,2),0))</f>
        <v/>
      </c>
      <c r="N465" s="16">
        <f>IF(L465="","",L465+M465)</f>
        <v/>
      </c>
      <c r="O465" s="13" t="n"/>
      <c r="P465" s="13" t="n"/>
      <c r="Q465" s="13" t="n"/>
      <c r="R465" s="13" t="n"/>
      <c r="S465" s="13" t="n"/>
      <c r="T465" s="14">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row>
    <row r="466" ht="15" customHeight="1">
      <c r="A466" s="11" t="n"/>
      <c r="B466" s="12">
        <f>IF(A466="","",EOMONTH(A466,0))</f>
        <v/>
      </c>
      <c r="C466" s="13" t="n"/>
      <c r="D466" s="13" t="n"/>
      <c r="E466" s="13" t="n"/>
      <c r="F466" s="14">
        <f>IF(E466="","",IF(COUNTIF(lst_Jobs,E466&amp;"")&gt;0,"OK","CHECK"))</f>
        <v/>
      </c>
      <c r="G466" s="13" t="n"/>
      <c r="H466" s="13" t="n"/>
      <c r="I466" s="13" t="n"/>
      <c r="J466" s="13" t="n"/>
      <c r="K466" s="13" t="n"/>
      <c r="L466" s="15" t="n"/>
      <c r="M466" s="16">
        <f>IF(L466="","",IF(K466="GST 10%",ROUND(L466*0.1,2),0))</f>
        <v/>
      </c>
      <c r="N466" s="16">
        <f>IF(L466="","",L466+M466)</f>
        <v/>
      </c>
      <c r="O466" s="13" t="n"/>
      <c r="P466" s="13" t="n"/>
      <c r="Q466" s="13" t="n"/>
      <c r="R466" s="13" t="n"/>
      <c r="S466" s="13" t="n"/>
      <c r="T466" s="14">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row>
    <row r="467" ht="15" customHeight="1">
      <c r="A467" s="11" t="n"/>
      <c r="B467" s="12">
        <f>IF(A467="","",EOMONTH(A467,0))</f>
        <v/>
      </c>
      <c r="C467" s="13" t="n"/>
      <c r="D467" s="13" t="n"/>
      <c r="E467" s="13" t="n"/>
      <c r="F467" s="14">
        <f>IF(E467="","",IF(COUNTIF(lst_Jobs,E467&amp;"")&gt;0,"OK","CHECK"))</f>
        <v/>
      </c>
      <c r="G467" s="13" t="n"/>
      <c r="H467" s="13" t="n"/>
      <c r="I467" s="13" t="n"/>
      <c r="J467" s="13" t="n"/>
      <c r="K467" s="13" t="n"/>
      <c r="L467" s="15" t="n"/>
      <c r="M467" s="16">
        <f>IF(L467="","",IF(K467="GST 10%",ROUND(L467*0.1,2),0))</f>
        <v/>
      </c>
      <c r="N467" s="16">
        <f>IF(L467="","",L467+M467)</f>
        <v/>
      </c>
      <c r="O467" s="13" t="n"/>
      <c r="P467" s="13" t="n"/>
      <c r="Q467" s="13" t="n"/>
      <c r="R467" s="13" t="n"/>
      <c r="S467" s="13" t="n"/>
      <c r="T467" s="14">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row>
    <row r="468" ht="15" customHeight="1">
      <c r="A468" s="11" t="n"/>
      <c r="B468" s="12">
        <f>IF(A468="","",EOMONTH(A468,0))</f>
        <v/>
      </c>
      <c r="C468" s="13" t="n"/>
      <c r="D468" s="13" t="n"/>
      <c r="E468" s="13" t="n"/>
      <c r="F468" s="14">
        <f>IF(E468="","",IF(COUNTIF(lst_Jobs,E468&amp;"")&gt;0,"OK","CHECK"))</f>
        <v/>
      </c>
      <c r="G468" s="13" t="n"/>
      <c r="H468" s="13" t="n"/>
      <c r="I468" s="13" t="n"/>
      <c r="J468" s="13" t="n"/>
      <c r="K468" s="13" t="n"/>
      <c r="L468" s="15" t="n"/>
      <c r="M468" s="16">
        <f>IF(L468="","",IF(K468="GST 10%",ROUND(L468*0.1,2),0))</f>
        <v/>
      </c>
      <c r="N468" s="16">
        <f>IF(L468="","",L468+M468)</f>
        <v/>
      </c>
      <c r="O468" s="13" t="n"/>
      <c r="P468" s="13" t="n"/>
      <c r="Q468" s="13" t="n"/>
      <c r="R468" s="13" t="n"/>
      <c r="S468" s="13" t="n"/>
      <c r="T468" s="14">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row>
    <row r="469" ht="15" customHeight="1">
      <c r="A469" s="11" t="n"/>
      <c r="B469" s="12">
        <f>IF(A469="","",EOMONTH(A469,0))</f>
        <v/>
      </c>
      <c r="C469" s="13" t="n"/>
      <c r="D469" s="13" t="n"/>
      <c r="E469" s="13" t="n"/>
      <c r="F469" s="14">
        <f>IF(E469="","",IF(COUNTIF(lst_Jobs,E469&amp;"")&gt;0,"OK","CHECK"))</f>
        <v/>
      </c>
      <c r="G469" s="13" t="n"/>
      <c r="H469" s="13" t="n"/>
      <c r="I469" s="13" t="n"/>
      <c r="J469" s="13" t="n"/>
      <c r="K469" s="13" t="n"/>
      <c r="L469" s="15" t="n"/>
      <c r="M469" s="16">
        <f>IF(L469="","",IF(K469="GST 10%",ROUND(L469*0.1,2),0))</f>
        <v/>
      </c>
      <c r="N469" s="16">
        <f>IF(L469="","",L469+M469)</f>
        <v/>
      </c>
      <c r="O469" s="13" t="n"/>
      <c r="P469" s="13" t="n"/>
      <c r="Q469" s="13" t="n"/>
      <c r="R469" s="13" t="n"/>
      <c r="S469" s="13" t="n"/>
      <c r="T469" s="14">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row>
    <row r="470" ht="15" customHeight="1">
      <c r="A470" s="11" t="n"/>
      <c r="B470" s="12">
        <f>IF(A470="","",EOMONTH(A470,0))</f>
        <v/>
      </c>
      <c r="C470" s="13" t="n"/>
      <c r="D470" s="13" t="n"/>
      <c r="E470" s="13" t="n"/>
      <c r="F470" s="14">
        <f>IF(E470="","",IF(COUNTIF(lst_Jobs,E470&amp;"")&gt;0,"OK","CHECK"))</f>
        <v/>
      </c>
      <c r="G470" s="13" t="n"/>
      <c r="H470" s="13" t="n"/>
      <c r="I470" s="13" t="n"/>
      <c r="J470" s="13" t="n"/>
      <c r="K470" s="13" t="n"/>
      <c r="L470" s="15" t="n"/>
      <c r="M470" s="16">
        <f>IF(L470="","",IF(K470="GST 10%",ROUND(L470*0.1,2),0))</f>
        <v/>
      </c>
      <c r="N470" s="16">
        <f>IF(L470="","",L470+M470)</f>
        <v/>
      </c>
      <c r="O470" s="13" t="n"/>
      <c r="P470" s="13" t="n"/>
      <c r="Q470" s="13" t="n"/>
      <c r="R470" s="13" t="n"/>
      <c r="S470" s="13" t="n"/>
      <c r="T470" s="14">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row>
    <row r="471" ht="15" customHeight="1">
      <c r="A471" s="11" t="n"/>
      <c r="B471" s="12">
        <f>IF(A471="","",EOMONTH(A471,0))</f>
        <v/>
      </c>
      <c r="C471" s="13" t="n"/>
      <c r="D471" s="13" t="n"/>
      <c r="E471" s="13" t="n"/>
      <c r="F471" s="14">
        <f>IF(E471="","",IF(COUNTIF(lst_Jobs,E471&amp;"")&gt;0,"OK","CHECK"))</f>
        <v/>
      </c>
      <c r="G471" s="13" t="n"/>
      <c r="H471" s="13" t="n"/>
      <c r="I471" s="13" t="n"/>
      <c r="J471" s="13" t="n"/>
      <c r="K471" s="13" t="n"/>
      <c r="L471" s="15" t="n"/>
      <c r="M471" s="16">
        <f>IF(L471="","",IF(K471="GST 10%",ROUND(L471*0.1,2),0))</f>
        <v/>
      </c>
      <c r="N471" s="16">
        <f>IF(L471="","",L471+M471)</f>
        <v/>
      </c>
      <c r="O471" s="13" t="n"/>
      <c r="P471" s="13" t="n"/>
      <c r="Q471" s="13" t="n"/>
      <c r="R471" s="13" t="n"/>
      <c r="S471" s="13" t="n"/>
      <c r="T471" s="14">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row>
    <row r="472" ht="15" customHeight="1">
      <c r="A472" s="11" t="n"/>
      <c r="B472" s="12">
        <f>IF(A472="","",EOMONTH(A472,0))</f>
        <v/>
      </c>
      <c r="C472" s="13" t="n"/>
      <c r="D472" s="13" t="n"/>
      <c r="E472" s="13" t="n"/>
      <c r="F472" s="14">
        <f>IF(E472="","",IF(COUNTIF(lst_Jobs,E472&amp;"")&gt;0,"OK","CHECK"))</f>
        <v/>
      </c>
      <c r="G472" s="13" t="n"/>
      <c r="H472" s="13" t="n"/>
      <c r="I472" s="13" t="n"/>
      <c r="J472" s="13" t="n"/>
      <c r="K472" s="13" t="n"/>
      <c r="L472" s="15" t="n"/>
      <c r="M472" s="16">
        <f>IF(L472="","",IF(K472="GST 10%",ROUND(L472*0.1,2),0))</f>
        <v/>
      </c>
      <c r="N472" s="16">
        <f>IF(L472="","",L472+M472)</f>
        <v/>
      </c>
      <c r="O472" s="13" t="n"/>
      <c r="P472" s="13" t="n"/>
      <c r="Q472" s="13" t="n"/>
      <c r="R472" s="13" t="n"/>
      <c r="S472" s="13" t="n"/>
      <c r="T472" s="14">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row>
    <row r="473" ht="15" customHeight="1">
      <c r="A473" s="11" t="n"/>
      <c r="B473" s="12">
        <f>IF(A473="","",EOMONTH(A473,0))</f>
        <v/>
      </c>
      <c r="C473" s="13" t="n"/>
      <c r="D473" s="13" t="n"/>
      <c r="E473" s="13" t="n"/>
      <c r="F473" s="14">
        <f>IF(E473="","",IF(COUNTIF(lst_Jobs,E473&amp;"")&gt;0,"OK","CHECK"))</f>
        <v/>
      </c>
      <c r="G473" s="13" t="n"/>
      <c r="H473" s="13" t="n"/>
      <c r="I473" s="13" t="n"/>
      <c r="J473" s="13" t="n"/>
      <c r="K473" s="13" t="n"/>
      <c r="L473" s="15" t="n"/>
      <c r="M473" s="16">
        <f>IF(L473="","",IF(K473="GST 10%",ROUND(L473*0.1,2),0))</f>
        <v/>
      </c>
      <c r="N473" s="16">
        <f>IF(L473="","",L473+M473)</f>
        <v/>
      </c>
      <c r="O473" s="13" t="n"/>
      <c r="P473" s="13" t="n"/>
      <c r="Q473" s="13" t="n"/>
      <c r="R473" s="13" t="n"/>
      <c r="S473" s="13" t="n"/>
      <c r="T473" s="14">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row>
    <row r="474" ht="15" customHeight="1">
      <c r="A474" s="11" t="n"/>
      <c r="B474" s="12">
        <f>IF(A474="","",EOMONTH(A474,0))</f>
        <v/>
      </c>
      <c r="C474" s="13" t="n"/>
      <c r="D474" s="13" t="n"/>
      <c r="E474" s="13" t="n"/>
      <c r="F474" s="14">
        <f>IF(E474="","",IF(COUNTIF(lst_Jobs,E474&amp;"")&gt;0,"OK","CHECK"))</f>
        <v/>
      </c>
      <c r="G474" s="13" t="n"/>
      <c r="H474" s="13" t="n"/>
      <c r="I474" s="13" t="n"/>
      <c r="J474" s="13" t="n"/>
      <c r="K474" s="13" t="n"/>
      <c r="L474" s="15" t="n"/>
      <c r="M474" s="16">
        <f>IF(L474="","",IF(K474="GST 10%",ROUND(L474*0.1,2),0))</f>
        <v/>
      </c>
      <c r="N474" s="16">
        <f>IF(L474="","",L474+M474)</f>
        <v/>
      </c>
      <c r="O474" s="13" t="n"/>
      <c r="P474" s="13" t="n"/>
      <c r="Q474" s="13" t="n"/>
      <c r="R474" s="13" t="n"/>
      <c r="S474" s="13" t="n"/>
      <c r="T474" s="14">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row>
    <row r="475" ht="15" customHeight="1">
      <c r="A475" s="11" t="n"/>
      <c r="B475" s="12">
        <f>IF(A475="","",EOMONTH(A475,0))</f>
        <v/>
      </c>
      <c r="C475" s="13" t="n"/>
      <c r="D475" s="13" t="n"/>
      <c r="E475" s="13" t="n"/>
      <c r="F475" s="14">
        <f>IF(E475="","",IF(COUNTIF(lst_Jobs,E475&amp;"")&gt;0,"OK","CHECK"))</f>
        <v/>
      </c>
      <c r="G475" s="13" t="n"/>
      <c r="H475" s="13" t="n"/>
      <c r="I475" s="13" t="n"/>
      <c r="J475" s="13" t="n"/>
      <c r="K475" s="13" t="n"/>
      <c r="L475" s="15" t="n"/>
      <c r="M475" s="16">
        <f>IF(L475="","",IF(K475="GST 10%",ROUND(L475*0.1,2),0))</f>
        <v/>
      </c>
      <c r="N475" s="16">
        <f>IF(L475="","",L475+M475)</f>
        <v/>
      </c>
      <c r="O475" s="13" t="n"/>
      <c r="P475" s="13" t="n"/>
      <c r="Q475" s="13" t="n"/>
      <c r="R475" s="13" t="n"/>
      <c r="S475" s="13" t="n"/>
      <c r="T475" s="14">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row>
    <row r="476" ht="15" customHeight="1">
      <c r="A476" s="11" t="n"/>
      <c r="B476" s="12">
        <f>IF(A476="","",EOMONTH(A476,0))</f>
        <v/>
      </c>
      <c r="C476" s="13" t="n"/>
      <c r="D476" s="13" t="n"/>
      <c r="E476" s="13" t="n"/>
      <c r="F476" s="14">
        <f>IF(E476="","",IF(COUNTIF(lst_Jobs,E476&amp;"")&gt;0,"OK","CHECK"))</f>
        <v/>
      </c>
      <c r="G476" s="13" t="n"/>
      <c r="H476" s="13" t="n"/>
      <c r="I476" s="13" t="n"/>
      <c r="J476" s="13" t="n"/>
      <c r="K476" s="13" t="n"/>
      <c r="L476" s="15" t="n"/>
      <c r="M476" s="16">
        <f>IF(L476="","",IF(K476="GST 10%",ROUND(L476*0.1,2),0))</f>
        <v/>
      </c>
      <c r="N476" s="16">
        <f>IF(L476="","",L476+M476)</f>
        <v/>
      </c>
      <c r="O476" s="13" t="n"/>
      <c r="P476" s="13" t="n"/>
      <c r="Q476" s="13" t="n"/>
      <c r="R476" s="13" t="n"/>
      <c r="S476" s="13" t="n"/>
      <c r="T476" s="14">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row>
    <row r="477" ht="15" customHeight="1">
      <c r="A477" s="11" t="n"/>
      <c r="B477" s="12">
        <f>IF(A477="","",EOMONTH(A477,0))</f>
        <v/>
      </c>
      <c r="C477" s="13" t="n"/>
      <c r="D477" s="13" t="n"/>
      <c r="E477" s="13" t="n"/>
      <c r="F477" s="14">
        <f>IF(E477="","",IF(COUNTIF(lst_Jobs,E477&amp;"")&gt;0,"OK","CHECK"))</f>
        <v/>
      </c>
      <c r="G477" s="13" t="n"/>
      <c r="H477" s="13" t="n"/>
      <c r="I477" s="13" t="n"/>
      <c r="J477" s="13" t="n"/>
      <c r="K477" s="13" t="n"/>
      <c r="L477" s="15" t="n"/>
      <c r="M477" s="16">
        <f>IF(L477="","",IF(K477="GST 10%",ROUND(L477*0.1,2),0))</f>
        <v/>
      </c>
      <c r="N477" s="16">
        <f>IF(L477="","",L477+M477)</f>
        <v/>
      </c>
      <c r="O477" s="13" t="n"/>
      <c r="P477" s="13" t="n"/>
      <c r="Q477" s="13" t="n"/>
      <c r="R477" s="13" t="n"/>
      <c r="S477" s="13" t="n"/>
      <c r="T477" s="14">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row>
    <row r="478" ht="15" customHeight="1">
      <c r="A478" s="11" t="n"/>
      <c r="B478" s="12">
        <f>IF(A478="","",EOMONTH(A478,0))</f>
        <v/>
      </c>
      <c r="C478" s="13" t="n"/>
      <c r="D478" s="13" t="n"/>
      <c r="E478" s="13" t="n"/>
      <c r="F478" s="14">
        <f>IF(E478="","",IF(COUNTIF(lst_Jobs,E478&amp;"")&gt;0,"OK","CHECK"))</f>
        <v/>
      </c>
      <c r="G478" s="13" t="n"/>
      <c r="H478" s="13" t="n"/>
      <c r="I478" s="13" t="n"/>
      <c r="J478" s="13" t="n"/>
      <c r="K478" s="13" t="n"/>
      <c r="L478" s="15" t="n"/>
      <c r="M478" s="16">
        <f>IF(L478="","",IF(K478="GST 10%",ROUND(L478*0.1,2),0))</f>
        <v/>
      </c>
      <c r="N478" s="16">
        <f>IF(L478="","",L478+M478)</f>
        <v/>
      </c>
      <c r="O478" s="13" t="n"/>
      <c r="P478" s="13" t="n"/>
      <c r="Q478" s="13" t="n"/>
      <c r="R478" s="13" t="n"/>
      <c r="S478" s="13" t="n"/>
      <c r="T478" s="14">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row>
    <row r="479" ht="15" customHeight="1">
      <c r="A479" s="11" t="n"/>
      <c r="B479" s="12">
        <f>IF(A479="","",EOMONTH(A479,0))</f>
        <v/>
      </c>
      <c r="C479" s="13" t="n"/>
      <c r="D479" s="13" t="n"/>
      <c r="E479" s="13" t="n"/>
      <c r="F479" s="14">
        <f>IF(E479="","",IF(COUNTIF(lst_Jobs,E479&amp;"")&gt;0,"OK","CHECK"))</f>
        <v/>
      </c>
      <c r="G479" s="13" t="n"/>
      <c r="H479" s="13" t="n"/>
      <c r="I479" s="13" t="n"/>
      <c r="J479" s="13" t="n"/>
      <c r="K479" s="13" t="n"/>
      <c r="L479" s="15" t="n"/>
      <c r="M479" s="16">
        <f>IF(L479="","",IF(K479="GST 10%",ROUND(L479*0.1,2),0))</f>
        <v/>
      </c>
      <c r="N479" s="16">
        <f>IF(L479="","",L479+M479)</f>
        <v/>
      </c>
      <c r="O479" s="13" t="n"/>
      <c r="P479" s="13" t="n"/>
      <c r="Q479" s="13" t="n"/>
      <c r="R479" s="13" t="n"/>
      <c r="S479" s="13" t="n"/>
      <c r="T479" s="14">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row>
    <row r="480" ht="15" customHeight="1">
      <c r="A480" s="11" t="n"/>
      <c r="B480" s="12">
        <f>IF(A480="","",EOMONTH(A480,0))</f>
        <v/>
      </c>
      <c r="C480" s="13" t="n"/>
      <c r="D480" s="13" t="n"/>
      <c r="E480" s="13" t="n"/>
      <c r="F480" s="14">
        <f>IF(E480="","",IF(COUNTIF(lst_Jobs,E480&amp;"")&gt;0,"OK","CHECK"))</f>
        <v/>
      </c>
      <c r="G480" s="13" t="n"/>
      <c r="H480" s="13" t="n"/>
      <c r="I480" s="13" t="n"/>
      <c r="J480" s="13" t="n"/>
      <c r="K480" s="13" t="n"/>
      <c r="L480" s="15" t="n"/>
      <c r="M480" s="16">
        <f>IF(L480="","",IF(K480="GST 10%",ROUND(L480*0.1,2),0))</f>
        <v/>
      </c>
      <c r="N480" s="16">
        <f>IF(L480="","",L480+M480)</f>
        <v/>
      </c>
      <c r="O480" s="13" t="n"/>
      <c r="P480" s="13" t="n"/>
      <c r="Q480" s="13" t="n"/>
      <c r="R480" s="13" t="n"/>
      <c r="S480" s="13" t="n"/>
      <c r="T480" s="14">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row>
    <row r="481" ht="15" customHeight="1">
      <c r="A481" s="11" t="n"/>
      <c r="B481" s="12">
        <f>IF(A481="","",EOMONTH(A481,0))</f>
        <v/>
      </c>
      <c r="C481" s="13" t="n"/>
      <c r="D481" s="13" t="n"/>
      <c r="E481" s="13" t="n"/>
      <c r="F481" s="14">
        <f>IF(E481="","",IF(COUNTIF(lst_Jobs,E481&amp;"")&gt;0,"OK","CHECK"))</f>
        <v/>
      </c>
      <c r="G481" s="13" t="n"/>
      <c r="H481" s="13" t="n"/>
      <c r="I481" s="13" t="n"/>
      <c r="J481" s="13" t="n"/>
      <c r="K481" s="13" t="n"/>
      <c r="L481" s="15" t="n"/>
      <c r="M481" s="16">
        <f>IF(L481="","",IF(K481="GST 10%",ROUND(L481*0.1,2),0))</f>
        <v/>
      </c>
      <c r="N481" s="16">
        <f>IF(L481="","",L481+M481)</f>
        <v/>
      </c>
      <c r="O481" s="13" t="n"/>
      <c r="P481" s="13" t="n"/>
      <c r="Q481" s="13" t="n"/>
      <c r="R481" s="13" t="n"/>
      <c r="S481" s="13" t="n"/>
      <c r="T481" s="14">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row>
    <row r="482" ht="15" customHeight="1">
      <c r="A482" s="11" t="n"/>
      <c r="B482" s="12">
        <f>IF(A482="","",EOMONTH(A482,0))</f>
        <v/>
      </c>
      <c r="C482" s="13" t="n"/>
      <c r="D482" s="13" t="n"/>
      <c r="E482" s="13" t="n"/>
      <c r="F482" s="14">
        <f>IF(E482="","",IF(COUNTIF(lst_Jobs,E482&amp;"")&gt;0,"OK","CHECK"))</f>
        <v/>
      </c>
      <c r="G482" s="13" t="n"/>
      <c r="H482" s="13" t="n"/>
      <c r="I482" s="13" t="n"/>
      <c r="J482" s="13" t="n"/>
      <c r="K482" s="13" t="n"/>
      <c r="L482" s="15" t="n"/>
      <c r="M482" s="16">
        <f>IF(L482="","",IF(K482="GST 10%",ROUND(L482*0.1,2),0))</f>
        <v/>
      </c>
      <c r="N482" s="16">
        <f>IF(L482="","",L482+M482)</f>
        <v/>
      </c>
      <c r="O482" s="13" t="n"/>
      <c r="P482" s="13" t="n"/>
      <c r="Q482" s="13" t="n"/>
      <c r="R482" s="13" t="n"/>
      <c r="S482" s="13" t="n"/>
      <c r="T482" s="14">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row>
    <row r="483" ht="15" customHeight="1">
      <c r="A483" s="11" t="n"/>
      <c r="B483" s="12">
        <f>IF(A483="","",EOMONTH(A483,0))</f>
        <v/>
      </c>
      <c r="C483" s="13" t="n"/>
      <c r="D483" s="13" t="n"/>
      <c r="E483" s="13" t="n"/>
      <c r="F483" s="14">
        <f>IF(E483="","",IF(COUNTIF(lst_Jobs,E483&amp;"")&gt;0,"OK","CHECK"))</f>
        <v/>
      </c>
      <c r="G483" s="13" t="n"/>
      <c r="H483" s="13" t="n"/>
      <c r="I483" s="13" t="n"/>
      <c r="J483" s="13" t="n"/>
      <c r="K483" s="13" t="n"/>
      <c r="L483" s="15" t="n"/>
      <c r="M483" s="16">
        <f>IF(L483="","",IF(K483="GST 10%",ROUND(L483*0.1,2),0))</f>
        <v/>
      </c>
      <c r="N483" s="16">
        <f>IF(L483="","",L483+M483)</f>
        <v/>
      </c>
      <c r="O483" s="13" t="n"/>
      <c r="P483" s="13" t="n"/>
      <c r="Q483" s="13" t="n"/>
      <c r="R483" s="13" t="n"/>
      <c r="S483" s="13" t="n"/>
      <c r="T483" s="14">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row>
    <row r="484" ht="15" customHeight="1">
      <c r="A484" s="11" t="n"/>
      <c r="B484" s="12">
        <f>IF(A484="","",EOMONTH(A484,0))</f>
        <v/>
      </c>
      <c r="C484" s="13" t="n"/>
      <c r="D484" s="13" t="n"/>
      <c r="E484" s="13" t="n"/>
      <c r="F484" s="14">
        <f>IF(E484="","",IF(COUNTIF(lst_Jobs,E484&amp;"")&gt;0,"OK","CHECK"))</f>
        <v/>
      </c>
      <c r="G484" s="13" t="n"/>
      <c r="H484" s="13" t="n"/>
      <c r="I484" s="13" t="n"/>
      <c r="J484" s="13" t="n"/>
      <c r="K484" s="13" t="n"/>
      <c r="L484" s="15" t="n"/>
      <c r="M484" s="16">
        <f>IF(L484="","",IF(K484="GST 10%",ROUND(L484*0.1,2),0))</f>
        <v/>
      </c>
      <c r="N484" s="16">
        <f>IF(L484="","",L484+M484)</f>
        <v/>
      </c>
      <c r="O484" s="13" t="n"/>
      <c r="P484" s="13" t="n"/>
      <c r="Q484" s="13" t="n"/>
      <c r="R484" s="13" t="n"/>
      <c r="S484" s="13" t="n"/>
      <c r="T484" s="14">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row>
    <row r="485" ht="15" customHeight="1">
      <c r="A485" s="11" t="n"/>
      <c r="B485" s="12">
        <f>IF(A485="","",EOMONTH(A485,0))</f>
        <v/>
      </c>
      <c r="C485" s="13" t="n"/>
      <c r="D485" s="13" t="n"/>
      <c r="E485" s="13" t="n"/>
      <c r="F485" s="14">
        <f>IF(E485="","",IF(COUNTIF(lst_Jobs,E485&amp;"")&gt;0,"OK","CHECK"))</f>
        <v/>
      </c>
      <c r="G485" s="13" t="n"/>
      <c r="H485" s="13" t="n"/>
      <c r="I485" s="13" t="n"/>
      <c r="J485" s="13" t="n"/>
      <c r="K485" s="13" t="n"/>
      <c r="L485" s="15" t="n"/>
      <c r="M485" s="16">
        <f>IF(L485="","",IF(K485="GST 10%",ROUND(L485*0.1,2),0))</f>
        <v/>
      </c>
      <c r="N485" s="16">
        <f>IF(L485="","",L485+M485)</f>
        <v/>
      </c>
      <c r="O485" s="13" t="n"/>
      <c r="P485" s="13" t="n"/>
      <c r="Q485" s="13" t="n"/>
      <c r="R485" s="13" t="n"/>
      <c r="S485" s="13" t="n"/>
      <c r="T485" s="14">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row>
    <row r="486" ht="15" customHeight="1">
      <c r="A486" s="11" t="n"/>
      <c r="B486" s="12">
        <f>IF(A486="","",EOMONTH(A486,0))</f>
        <v/>
      </c>
      <c r="C486" s="13" t="n"/>
      <c r="D486" s="13" t="n"/>
      <c r="E486" s="13" t="n"/>
      <c r="F486" s="14">
        <f>IF(E486="","",IF(COUNTIF(lst_Jobs,E486&amp;"")&gt;0,"OK","CHECK"))</f>
        <v/>
      </c>
      <c r="G486" s="13" t="n"/>
      <c r="H486" s="13" t="n"/>
      <c r="I486" s="13" t="n"/>
      <c r="J486" s="13" t="n"/>
      <c r="K486" s="13" t="n"/>
      <c r="L486" s="15" t="n"/>
      <c r="M486" s="16">
        <f>IF(L486="","",IF(K486="GST 10%",ROUND(L486*0.1,2),0))</f>
        <v/>
      </c>
      <c r="N486" s="16">
        <f>IF(L486="","",L486+M486)</f>
        <v/>
      </c>
      <c r="O486" s="13" t="n"/>
      <c r="P486" s="13" t="n"/>
      <c r="Q486" s="13" t="n"/>
      <c r="R486" s="13" t="n"/>
      <c r="S486" s="13" t="n"/>
      <c r="T486" s="14">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row>
    <row r="487" ht="15" customHeight="1">
      <c r="A487" s="11" t="n"/>
      <c r="B487" s="12">
        <f>IF(A487="","",EOMONTH(A487,0))</f>
        <v/>
      </c>
      <c r="C487" s="13" t="n"/>
      <c r="D487" s="13" t="n"/>
      <c r="E487" s="13" t="n"/>
      <c r="F487" s="14">
        <f>IF(E487="","",IF(COUNTIF(lst_Jobs,E487&amp;"")&gt;0,"OK","CHECK"))</f>
        <v/>
      </c>
      <c r="G487" s="13" t="n"/>
      <c r="H487" s="13" t="n"/>
      <c r="I487" s="13" t="n"/>
      <c r="J487" s="13" t="n"/>
      <c r="K487" s="13" t="n"/>
      <c r="L487" s="15" t="n"/>
      <c r="M487" s="16">
        <f>IF(L487="","",IF(K487="GST 10%",ROUND(L487*0.1,2),0))</f>
        <v/>
      </c>
      <c r="N487" s="16">
        <f>IF(L487="","",L487+M487)</f>
        <v/>
      </c>
      <c r="O487" s="13" t="n"/>
      <c r="P487" s="13" t="n"/>
      <c r="Q487" s="13" t="n"/>
      <c r="R487" s="13" t="n"/>
      <c r="S487" s="13" t="n"/>
      <c r="T487" s="14">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row>
    <row r="488" ht="15" customHeight="1">
      <c r="A488" s="11" t="n"/>
      <c r="B488" s="12">
        <f>IF(A488="","",EOMONTH(A488,0))</f>
        <v/>
      </c>
      <c r="C488" s="13" t="n"/>
      <c r="D488" s="13" t="n"/>
      <c r="E488" s="13" t="n"/>
      <c r="F488" s="14">
        <f>IF(E488="","",IF(COUNTIF(lst_Jobs,E488&amp;"")&gt;0,"OK","CHECK"))</f>
        <v/>
      </c>
      <c r="G488" s="13" t="n"/>
      <c r="H488" s="13" t="n"/>
      <c r="I488" s="13" t="n"/>
      <c r="J488" s="13" t="n"/>
      <c r="K488" s="13" t="n"/>
      <c r="L488" s="15" t="n"/>
      <c r="M488" s="16">
        <f>IF(L488="","",IF(K488="GST 10%",ROUND(L488*0.1,2),0))</f>
        <v/>
      </c>
      <c r="N488" s="16">
        <f>IF(L488="","",L488+M488)</f>
        <v/>
      </c>
      <c r="O488" s="13" t="n"/>
      <c r="P488" s="13" t="n"/>
      <c r="Q488" s="13" t="n"/>
      <c r="R488" s="13" t="n"/>
      <c r="S488" s="13" t="n"/>
      <c r="T488" s="14">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row>
    <row r="489" ht="15" customHeight="1">
      <c r="A489" s="11" t="n"/>
      <c r="B489" s="12">
        <f>IF(A489="","",EOMONTH(A489,0))</f>
        <v/>
      </c>
      <c r="C489" s="13" t="n"/>
      <c r="D489" s="13" t="n"/>
      <c r="E489" s="13" t="n"/>
      <c r="F489" s="14">
        <f>IF(E489="","",IF(COUNTIF(lst_Jobs,E489&amp;"")&gt;0,"OK","CHECK"))</f>
        <v/>
      </c>
      <c r="G489" s="13" t="n"/>
      <c r="H489" s="13" t="n"/>
      <c r="I489" s="13" t="n"/>
      <c r="J489" s="13" t="n"/>
      <c r="K489" s="13" t="n"/>
      <c r="L489" s="15" t="n"/>
      <c r="M489" s="16">
        <f>IF(L489="","",IF(K489="GST 10%",ROUND(L489*0.1,2),0))</f>
        <v/>
      </c>
      <c r="N489" s="16">
        <f>IF(L489="","",L489+M489)</f>
        <v/>
      </c>
      <c r="O489" s="13" t="n"/>
      <c r="P489" s="13" t="n"/>
      <c r="Q489" s="13" t="n"/>
      <c r="R489" s="13" t="n"/>
      <c r="S489" s="13" t="n"/>
      <c r="T489" s="14">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row>
    <row r="490" ht="15" customHeight="1">
      <c r="A490" s="11" t="n"/>
      <c r="B490" s="12">
        <f>IF(A490="","",EOMONTH(A490,0))</f>
        <v/>
      </c>
      <c r="C490" s="13" t="n"/>
      <c r="D490" s="13" t="n"/>
      <c r="E490" s="13" t="n"/>
      <c r="F490" s="14">
        <f>IF(E490="","",IF(COUNTIF(lst_Jobs,E490&amp;"")&gt;0,"OK","CHECK"))</f>
        <v/>
      </c>
      <c r="G490" s="13" t="n"/>
      <c r="H490" s="13" t="n"/>
      <c r="I490" s="13" t="n"/>
      <c r="J490" s="13" t="n"/>
      <c r="K490" s="13" t="n"/>
      <c r="L490" s="15" t="n"/>
      <c r="M490" s="16">
        <f>IF(L490="","",IF(K490="GST 10%",ROUND(L490*0.1,2),0))</f>
        <v/>
      </c>
      <c r="N490" s="16">
        <f>IF(L490="","",L490+M490)</f>
        <v/>
      </c>
      <c r="O490" s="13" t="n"/>
      <c r="P490" s="13" t="n"/>
      <c r="Q490" s="13" t="n"/>
      <c r="R490" s="13" t="n"/>
      <c r="S490" s="13" t="n"/>
      <c r="T490" s="14">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row>
    <row r="491" ht="15" customHeight="1">
      <c r="A491" s="11" t="n"/>
      <c r="B491" s="12">
        <f>IF(A491="","",EOMONTH(A491,0))</f>
        <v/>
      </c>
      <c r="C491" s="13" t="n"/>
      <c r="D491" s="13" t="n"/>
      <c r="E491" s="13" t="n"/>
      <c r="F491" s="14">
        <f>IF(E491="","",IF(COUNTIF(lst_Jobs,E491&amp;"")&gt;0,"OK","CHECK"))</f>
        <v/>
      </c>
      <c r="G491" s="13" t="n"/>
      <c r="H491" s="13" t="n"/>
      <c r="I491" s="13" t="n"/>
      <c r="J491" s="13" t="n"/>
      <c r="K491" s="13" t="n"/>
      <c r="L491" s="15" t="n"/>
      <c r="M491" s="16">
        <f>IF(L491="","",IF(K491="GST 10%",ROUND(L491*0.1,2),0))</f>
        <v/>
      </c>
      <c r="N491" s="16">
        <f>IF(L491="","",L491+M491)</f>
        <v/>
      </c>
      <c r="O491" s="13" t="n"/>
      <c r="P491" s="13" t="n"/>
      <c r="Q491" s="13" t="n"/>
      <c r="R491" s="13" t="n"/>
      <c r="S491" s="13" t="n"/>
      <c r="T491" s="14">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row>
    <row r="492" ht="15" customHeight="1">
      <c r="A492" s="11" t="n"/>
      <c r="B492" s="12">
        <f>IF(A492="","",EOMONTH(A492,0))</f>
        <v/>
      </c>
      <c r="C492" s="13" t="n"/>
      <c r="D492" s="13" t="n"/>
      <c r="E492" s="13" t="n"/>
      <c r="F492" s="14">
        <f>IF(E492="","",IF(COUNTIF(lst_Jobs,E492&amp;"")&gt;0,"OK","CHECK"))</f>
        <v/>
      </c>
      <c r="G492" s="13" t="n"/>
      <c r="H492" s="13" t="n"/>
      <c r="I492" s="13" t="n"/>
      <c r="J492" s="13" t="n"/>
      <c r="K492" s="13" t="n"/>
      <c r="L492" s="15" t="n"/>
      <c r="M492" s="16">
        <f>IF(L492="","",IF(K492="GST 10%",ROUND(L492*0.1,2),0))</f>
        <v/>
      </c>
      <c r="N492" s="16">
        <f>IF(L492="","",L492+M492)</f>
        <v/>
      </c>
      <c r="O492" s="13" t="n"/>
      <c r="P492" s="13" t="n"/>
      <c r="Q492" s="13" t="n"/>
      <c r="R492" s="13" t="n"/>
      <c r="S492" s="13" t="n"/>
      <c r="T492" s="14">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row>
    <row r="493" ht="15" customHeight="1">
      <c r="A493" s="11" t="n"/>
      <c r="B493" s="12">
        <f>IF(A493="","",EOMONTH(A493,0))</f>
        <v/>
      </c>
      <c r="C493" s="13" t="n"/>
      <c r="D493" s="13" t="n"/>
      <c r="E493" s="13" t="n"/>
      <c r="F493" s="14">
        <f>IF(E493="","",IF(COUNTIF(lst_Jobs,E493&amp;"")&gt;0,"OK","CHECK"))</f>
        <v/>
      </c>
      <c r="G493" s="13" t="n"/>
      <c r="H493" s="13" t="n"/>
      <c r="I493" s="13" t="n"/>
      <c r="J493" s="13" t="n"/>
      <c r="K493" s="13" t="n"/>
      <c r="L493" s="15" t="n"/>
      <c r="M493" s="16">
        <f>IF(L493="","",IF(K493="GST 10%",ROUND(L493*0.1,2),0))</f>
        <v/>
      </c>
      <c r="N493" s="16">
        <f>IF(L493="","",L493+M493)</f>
        <v/>
      </c>
      <c r="O493" s="13" t="n"/>
      <c r="P493" s="13" t="n"/>
      <c r="Q493" s="13" t="n"/>
      <c r="R493" s="13" t="n"/>
      <c r="S493" s="13" t="n"/>
      <c r="T493" s="14">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row>
    <row r="494" ht="15" customHeight="1">
      <c r="A494" s="11" t="n"/>
      <c r="B494" s="12">
        <f>IF(A494="","",EOMONTH(A494,0))</f>
        <v/>
      </c>
      <c r="C494" s="13" t="n"/>
      <c r="D494" s="13" t="n"/>
      <c r="E494" s="13" t="n"/>
      <c r="F494" s="14">
        <f>IF(E494="","",IF(COUNTIF(lst_Jobs,E494&amp;"")&gt;0,"OK","CHECK"))</f>
        <v/>
      </c>
      <c r="G494" s="13" t="n"/>
      <c r="H494" s="13" t="n"/>
      <c r="I494" s="13" t="n"/>
      <c r="J494" s="13" t="n"/>
      <c r="K494" s="13" t="n"/>
      <c r="L494" s="15" t="n"/>
      <c r="M494" s="16">
        <f>IF(L494="","",IF(K494="GST 10%",ROUND(L494*0.1,2),0))</f>
        <v/>
      </c>
      <c r="N494" s="16">
        <f>IF(L494="","",L494+M494)</f>
        <v/>
      </c>
      <c r="O494" s="13" t="n"/>
      <c r="P494" s="13" t="n"/>
      <c r="Q494" s="13" t="n"/>
      <c r="R494" s="13" t="n"/>
      <c r="S494" s="13" t="n"/>
      <c r="T494" s="14">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row>
    <row r="495" ht="15" customHeight="1">
      <c r="A495" s="11" t="n"/>
      <c r="B495" s="12">
        <f>IF(A495="","",EOMONTH(A495,0))</f>
        <v/>
      </c>
      <c r="C495" s="13" t="n"/>
      <c r="D495" s="13" t="n"/>
      <c r="E495" s="13" t="n"/>
      <c r="F495" s="14">
        <f>IF(E495="","",IF(COUNTIF(lst_Jobs,E495&amp;"")&gt;0,"OK","CHECK"))</f>
        <v/>
      </c>
      <c r="G495" s="13" t="n"/>
      <c r="H495" s="13" t="n"/>
      <c r="I495" s="13" t="n"/>
      <c r="J495" s="13" t="n"/>
      <c r="K495" s="13" t="n"/>
      <c r="L495" s="15" t="n"/>
      <c r="M495" s="16">
        <f>IF(L495="","",IF(K495="GST 10%",ROUND(L495*0.1,2),0))</f>
        <v/>
      </c>
      <c r="N495" s="16">
        <f>IF(L495="","",L495+M495)</f>
        <v/>
      </c>
      <c r="O495" s="13" t="n"/>
      <c r="P495" s="13" t="n"/>
      <c r="Q495" s="13" t="n"/>
      <c r="R495" s="13" t="n"/>
      <c r="S495" s="13" t="n"/>
      <c r="T495" s="14">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row>
    <row r="496" ht="15" customHeight="1">
      <c r="A496" s="11" t="n"/>
      <c r="B496" s="12">
        <f>IF(A496="","",EOMONTH(A496,0))</f>
        <v/>
      </c>
      <c r="C496" s="13" t="n"/>
      <c r="D496" s="13" t="n"/>
      <c r="E496" s="13" t="n"/>
      <c r="F496" s="14">
        <f>IF(E496="","",IF(COUNTIF(lst_Jobs,E496&amp;"")&gt;0,"OK","CHECK"))</f>
        <v/>
      </c>
      <c r="G496" s="13" t="n"/>
      <c r="H496" s="13" t="n"/>
      <c r="I496" s="13" t="n"/>
      <c r="J496" s="13" t="n"/>
      <c r="K496" s="13" t="n"/>
      <c r="L496" s="15" t="n"/>
      <c r="M496" s="16">
        <f>IF(L496="","",IF(K496="GST 10%",ROUND(L496*0.1,2),0))</f>
        <v/>
      </c>
      <c r="N496" s="16">
        <f>IF(L496="","",L496+M496)</f>
        <v/>
      </c>
      <c r="O496" s="13" t="n"/>
      <c r="P496" s="13" t="n"/>
      <c r="Q496" s="13" t="n"/>
      <c r="R496" s="13" t="n"/>
      <c r="S496" s="13" t="n"/>
      <c r="T496" s="14">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row>
    <row r="497" ht="15" customHeight="1">
      <c r="A497" s="11" t="n"/>
      <c r="B497" s="12">
        <f>IF(A497="","",EOMONTH(A497,0))</f>
        <v/>
      </c>
      <c r="C497" s="13" t="n"/>
      <c r="D497" s="13" t="n"/>
      <c r="E497" s="13" t="n"/>
      <c r="F497" s="14">
        <f>IF(E497="","",IF(COUNTIF(lst_Jobs,E497&amp;"")&gt;0,"OK","CHECK"))</f>
        <v/>
      </c>
      <c r="G497" s="13" t="n"/>
      <c r="H497" s="13" t="n"/>
      <c r="I497" s="13" t="n"/>
      <c r="J497" s="13" t="n"/>
      <c r="K497" s="13" t="n"/>
      <c r="L497" s="15" t="n"/>
      <c r="M497" s="16">
        <f>IF(L497="","",IF(K497="GST 10%",ROUND(L497*0.1,2),0))</f>
        <v/>
      </c>
      <c r="N497" s="16">
        <f>IF(L497="","",L497+M497)</f>
        <v/>
      </c>
      <c r="O497" s="13" t="n"/>
      <c r="P497" s="13" t="n"/>
      <c r="Q497" s="13" t="n"/>
      <c r="R497" s="13" t="n"/>
      <c r="S497" s="13" t="n"/>
      <c r="T497" s="14">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row>
    <row r="498" ht="15" customHeight="1">
      <c r="A498" s="11" t="n"/>
      <c r="B498" s="12">
        <f>IF(A498="","",EOMONTH(A498,0))</f>
        <v/>
      </c>
      <c r="C498" s="13" t="n"/>
      <c r="D498" s="13" t="n"/>
      <c r="E498" s="13" t="n"/>
      <c r="F498" s="14">
        <f>IF(E498="","",IF(COUNTIF(lst_Jobs,E498&amp;"")&gt;0,"OK","CHECK"))</f>
        <v/>
      </c>
      <c r="G498" s="13" t="n"/>
      <c r="H498" s="13" t="n"/>
      <c r="I498" s="13" t="n"/>
      <c r="J498" s="13" t="n"/>
      <c r="K498" s="13" t="n"/>
      <c r="L498" s="15" t="n"/>
      <c r="M498" s="16">
        <f>IF(L498="","",IF(K498="GST 10%",ROUND(L498*0.1,2),0))</f>
        <v/>
      </c>
      <c r="N498" s="16">
        <f>IF(L498="","",L498+M498)</f>
        <v/>
      </c>
      <c r="O498" s="13" t="n"/>
      <c r="P498" s="13" t="n"/>
      <c r="Q498" s="13" t="n"/>
      <c r="R498" s="13" t="n"/>
      <c r="S498" s="13" t="n"/>
      <c r="T498" s="14">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row>
    <row r="499" ht="15" customHeight="1">
      <c r="A499" s="11" t="n"/>
      <c r="B499" s="12">
        <f>IF(A499="","",EOMONTH(A499,0))</f>
        <v/>
      </c>
      <c r="C499" s="13" t="n"/>
      <c r="D499" s="13" t="n"/>
      <c r="E499" s="13" t="n"/>
      <c r="F499" s="14">
        <f>IF(E499="","",IF(COUNTIF(lst_Jobs,E499&amp;"")&gt;0,"OK","CHECK"))</f>
        <v/>
      </c>
      <c r="G499" s="13" t="n"/>
      <c r="H499" s="13" t="n"/>
      <c r="I499" s="13" t="n"/>
      <c r="J499" s="13" t="n"/>
      <c r="K499" s="13" t="n"/>
      <c r="L499" s="15" t="n"/>
      <c r="M499" s="16">
        <f>IF(L499="","",IF(K499="GST 10%",ROUND(L499*0.1,2),0))</f>
        <v/>
      </c>
      <c r="N499" s="16">
        <f>IF(L499="","",L499+M499)</f>
        <v/>
      </c>
      <c r="O499" s="13" t="n"/>
      <c r="P499" s="13" t="n"/>
      <c r="Q499" s="13" t="n"/>
      <c r="R499" s="13" t="n"/>
      <c r="S499" s="13" t="n"/>
      <c r="T499" s="14">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row>
    <row r="500" ht="15" customHeight="1">
      <c r="A500" s="11" t="n"/>
      <c r="B500" s="12">
        <f>IF(A500="","",EOMONTH(A500,0))</f>
        <v/>
      </c>
      <c r="C500" s="13" t="n"/>
      <c r="D500" s="13" t="n"/>
      <c r="E500" s="13" t="n"/>
      <c r="F500" s="14">
        <f>IF(E500="","",IF(COUNTIF(lst_Jobs,E500&amp;"")&gt;0,"OK","CHECK"))</f>
        <v/>
      </c>
      <c r="G500" s="13" t="n"/>
      <c r="H500" s="13" t="n"/>
      <c r="I500" s="13" t="n"/>
      <c r="J500" s="13" t="n"/>
      <c r="K500" s="13" t="n"/>
      <c r="L500" s="15" t="n"/>
      <c r="M500" s="16">
        <f>IF(L500="","",IF(K500="GST 10%",ROUND(L500*0.1,2),0))</f>
        <v/>
      </c>
      <c r="N500" s="16">
        <f>IF(L500="","",L500+M500)</f>
        <v/>
      </c>
      <c r="O500" s="13" t="n"/>
      <c r="P500" s="13" t="n"/>
      <c r="Q500" s="13" t="n"/>
      <c r="R500" s="13" t="n"/>
      <c r="S500" s="13" t="n"/>
      <c r="T500" s="14">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row>
    <row r="501" ht="15" customHeight="1">
      <c r="A501" s="11" t="n"/>
      <c r="B501" s="12">
        <f>IF(A501="","",EOMONTH(A501,0))</f>
        <v/>
      </c>
      <c r="C501" s="13" t="n"/>
      <c r="D501" s="13" t="n"/>
      <c r="E501" s="13" t="n"/>
      <c r="F501" s="14">
        <f>IF(E501="","",IF(COUNTIF(lst_Jobs,E501&amp;"")&gt;0,"OK","CHECK"))</f>
        <v/>
      </c>
      <c r="G501" s="13" t="n"/>
      <c r="H501" s="13" t="n"/>
      <c r="I501" s="13" t="n"/>
      <c r="J501" s="13" t="n"/>
      <c r="K501" s="13" t="n"/>
      <c r="L501" s="15" t="n"/>
      <c r="M501" s="16">
        <f>IF(L501="","",IF(K501="GST 10%",ROUND(L501*0.1,2),0))</f>
        <v/>
      </c>
      <c r="N501" s="16">
        <f>IF(L501="","",L501+M501)</f>
        <v/>
      </c>
      <c r="O501" s="13" t="n"/>
      <c r="P501" s="13" t="n"/>
      <c r="Q501" s="13" t="n"/>
      <c r="R501" s="13" t="n"/>
      <c r="S501" s="13" t="n"/>
      <c r="T501" s="14">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row>
    <row r="502" ht="15" customHeight="1">
      <c r="A502" s="11" t="n"/>
      <c r="B502" s="12">
        <f>IF(A502="","",EOMONTH(A502,0))</f>
        <v/>
      </c>
      <c r="C502" s="13" t="n"/>
      <c r="D502" s="13" t="n"/>
      <c r="E502" s="13" t="n"/>
      <c r="F502" s="14">
        <f>IF(E502="","",IF(COUNTIF(lst_Jobs,E502&amp;"")&gt;0,"OK","CHECK"))</f>
        <v/>
      </c>
      <c r="G502" s="13" t="n"/>
      <c r="H502" s="13" t="n"/>
      <c r="I502" s="13" t="n"/>
      <c r="J502" s="13" t="n"/>
      <c r="K502" s="13" t="n"/>
      <c r="L502" s="15" t="n"/>
      <c r="M502" s="16">
        <f>IF(L502="","",IF(K502="GST 10%",ROUND(L502*0.1,2),0))</f>
        <v/>
      </c>
      <c r="N502" s="16">
        <f>IF(L502="","",L502+M502)</f>
        <v/>
      </c>
      <c r="O502" s="13" t="n"/>
      <c r="P502" s="13" t="n"/>
      <c r="Q502" s="13" t="n"/>
      <c r="R502" s="13" t="n"/>
      <c r="S502" s="13" t="n"/>
      <c r="T502" s="14">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row>
    <row r="503" ht="15" customHeight="1">
      <c r="A503" s="11" t="n"/>
      <c r="B503" s="12">
        <f>IF(A503="","",EOMONTH(A503,0))</f>
        <v/>
      </c>
      <c r="C503" s="13" t="n"/>
      <c r="D503" s="13" t="n"/>
      <c r="E503" s="13" t="n"/>
      <c r="F503" s="14">
        <f>IF(E503="","",IF(COUNTIF(lst_Jobs,E503&amp;"")&gt;0,"OK","CHECK"))</f>
        <v/>
      </c>
      <c r="G503" s="13" t="n"/>
      <c r="H503" s="13" t="n"/>
      <c r="I503" s="13" t="n"/>
      <c r="J503" s="13" t="n"/>
      <c r="K503" s="13" t="n"/>
      <c r="L503" s="15" t="n"/>
      <c r="M503" s="16">
        <f>IF(L503="","",IF(K503="GST 10%",ROUND(L503*0.1,2),0))</f>
        <v/>
      </c>
      <c r="N503" s="16">
        <f>IF(L503="","",L503+M503)</f>
        <v/>
      </c>
      <c r="O503" s="13" t="n"/>
      <c r="P503" s="13" t="n"/>
      <c r="Q503" s="13" t="n"/>
      <c r="R503" s="13" t="n"/>
      <c r="S503" s="13" t="n"/>
      <c r="T503" s="14">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row>
    <row r="504" ht="15" customHeight="1">
      <c r="A504" s="11" t="n"/>
      <c r="B504" s="12">
        <f>IF(A504="","",EOMONTH(A504,0))</f>
        <v/>
      </c>
      <c r="C504" s="13" t="n"/>
      <c r="D504" s="13" t="n"/>
      <c r="E504" s="13" t="n"/>
      <c r="F504" s="14">
        <f>IF(E504="","",IF(COUNTIF(lst_Jobs,E504&amp;"")&gt;0,"OK","CHECK"))</f>
        <v/>
      </c>
      <c r="G504" s="13" t="n"/>
      <c r="H504" s="13" t="n"/>
      <c r="I504" s="13" t="n"/>
      <c r="J504" s="13" t="n"/>
      <c r="K504" s="13" t="n"/>
      <c r="L504" s="15" t="n"/>
      <c r="M504" s="16">
        <f>IF(L504="","",IF(K504="GST 10%",ROUND(L504*0.1,2),0))</f>
        <v/>
      </c>
      <c r="N504" s="16">
        <f>IF(L504="","",L504+M504)</f>
        <v/>
      </c>
      <c r="O504" s="13" t="n"/>
      <c r="P504" s="13" t="n"/>
      <c r="Q504" s="13" t="n"/>
      <c r="R504" s="13" t="n"/>
      <c r="S504" s="13" t="n"/>
      <c r="T504" s="14">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row>
    <row r="505" ht="15" customHeight="1">
      <c r="A505" s="11" t="n"/>
      <c r="B505" s="12">
        <f>IF(A505="","",EOMONTH(A505,0))</f>
        <v/>
      </c>
      <c r="C505" s="13" t="n"/>
      <c r="D505" s="13" t="n"/>
      <c r="E505" s="13" t="n"/>
      <c r="F505" s="14">
        <f>IF(E505="","",IF(COUNTIF(lst_Jobs,E505&amp;"")&gt;0,"OK","CHECK"))</f>
        <v/>
      </c>
      <c r="G505" s="13" t="n"/>
      <c r="H505" s="13" t="n"/>
      <c r="I505" s="13" t="n"/>
      <c r="J505" s="13" t="n"/>
      <c r="K505" s="13" t="n"/>
      <c r="L505" s="15" t="n"/>
      <c r="M505" s="16">
        <f>IF(L505="","",IF(K505="GST 10%",ROUND(L505*0.1,2),0))</f>
        <v/>
      </c>
      <c r="N505" s="16">
        <f>IF(L505="","",L505+M505)</f>
        <v/>
      </c>
      <c r="O505" s="13" t="n"/>
      <c r="P505" s="13" t="n"/>
      <c r="Q505" s="13" t="n"/>
      <c r="R505" s="13" t="n"/>
      <c r="S505" s="13" t="n"/>
      <c r="T505" s="14">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row>
    <row r="506" ht="15" customHeight="1">
      <c r="A506" s="11" t="n"/>
      <c r="B506" s="12">
        <f>IF(A506="","",EOMONTH(A506,0))</f>
        <v/>
      </c>
      <c r="C506" s="13" t="n"/>
      <c r="D506" s="13" t="n"/>
      <c r="E506" s="13" t="n"/>
      <c r="F506" s="14">
        <f>IF(E506="","",IF(COUNTIF(lst_Jobs,E506&amp;"")&gt;0,"OK","CHECK"))</f>
        <v/>
      </c>
      <c r="G506" s="13" t="n"/>
      <c r="H506" s="13" t="n"/>
      <c r="I506" s="13" t="n"/>
      <c r="J506" s="13" t="n"/>
      <c r="K506" s="13" t="n"/>
      <c r="L506" s="15" t="n"/>
      <c r="M506" s="16">
        <f>IF(L506="","",IF(K506="GST 10%",ROUND(L506*0.1,2),0))</f>
        <v/>
      </c>
      <c r="N506" s="16">
        <f>IF(L506="","",L506+M506)</f>
        <v/>
      </c>
      <c r="O506" s="13" t="n"/>
      <c r="P506" s="13" t="n"/>
      <c r="Q506" s="13" t="n"/>
      <c r="R506" s="13" t="n"/>
      <c r="S506" s="13" t="n"/>
      <c r="T506" s="14">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row>
    <row r="507" ht="15" customHeight="1">
      <c r="A507" s="11" t="n"/>
      <c r="B507" s="12">
        <f>IF(A507="","",EOMONTH(A507,0))</f>
        <v/>
      </c>
      <c r="C507" s="13" t="n"/>
      <c r="D507" s="13" t="n"/>
      <c r="E507" s="13" t="n"/>
      <c r="F507" s="14">
        <f>IF(E507="","",IF(COUNTIF(lst_Jobs,E507&amp;"")&gt;0,"OK","CHECK"))</f>
        <v/>
      </c>
      <c r="G507" s="13" t="n"/>
      <c r="H507" s="13" t="n"/>
      <c r="I507" s="13" t="n"/>
      <c r="J507" s="13" t="n"/>
      <c r="K507" s="13" t="n"/>
      <c r="L507" s="15" t="n"/>
      <c r="M507" s="16">
        <f>IF(L507="","",IF(K507="GST 10%",ROUND(L507*0.1,2),0))</f>
        <v/>
      </c>
      <c r="N507" s="16">
        <f>IF(L507="","",L507+M507)</f>
        <v/>
      </c>
      <c r="O507" s="13" t="n"/>
      <c r="P507" s="13" t="n"/>
      <c r="Q507" s="13" t="n"/>
      <c r="R507" s="13" t="n"/>
      <c r="S507" s="13" t="n"/>
      <c r="T507" s="14">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row>
    <row r="508" ht="15" customHeight="1">
      <c r="A508" s="11" t="n"/>
      <c r="B508" s="12">
        <f>IF(A508="","",EOMONTH(A508,0))</f>
        <v/>
      </c>
      <c r="C508" s="13" t="n"/>
      <c r="D508" s="13" t="n"/>
      <c r="E508" s="13" t="n"/>
      <c r="F508" s="14">
        <f>IF(E508="","",IF(COUNTIF(lst_Jobs,E508&amp;"")&gt;0,"OK","CHECK"))</f>
        <v/>
      </c>
      <c r="G508" s="13" t="n"/>
      <c r="H508" s="13" t="n"/>
      <c r="I508" s="13" t="n"/>
      <c r="J508" s="13" t="n"/>
      <c r="K508" s="13" t="n"/>
      <c r="L508" s="15" t="n"/>
      <c r="M508" s="16">
        <f>IF(L508="","",IF(K508="GST 10%",ROUND(L508*0.1,2),0))</f>
        <v/>
      </c>
      <c r="N508" s="16">
        <f>IF(L508="","",L508+M508)</f>
        <v/>
      </c>
      <c r="O508" s="13" t="n"/>
      <c r="P508" s="13" t="n"/>
      <c r="Q508" s="13" t="n"/>
      <c r="R508" s="13" t="n"/>
      <c r="S508" s="13" t="n"/>
      <c r="T508" s="14">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row>
    <row r="509" ht="15" customHeight="1">
      <c r="A509" s="11" t="n"/>
      <c r="B509" s="12">
        <f>IF(A509="","",EOMONTH(A509,0))</f>
        <v/>
      </c>
      <c r="C509" s="13" t="n"/>
      <c r="D509" s="13" t="n"/>
      <c r="E509" s="13" t="n"/>
      <c r="F509" s="14">
        <f>IF(E509="","",IF(COUNTIF(lst_Jobs,E509&amp;"")&gt;0,"OK","CHECK"))</f>
        <v/>
      </c>
      <c r="G509" s="13" t="n"/>
      <c r="H509" s="13" t="n"/>
      <c r="I509" s="13" t="n"/>
      <c r="J509" s="13" t="n"/>
      <c r="K509" s="13" t="n"/>
      <c r="L509" s="15" t="n"/>
      <c r="M509" s="16">
        <f>IF(L509="","",IF(K509="GST 10%",ROUND(L509*0.1,2),0))</f>
        <v/>
      </c>
      <c r="N509" s="16">
        <f>IF(L509="","",L509+M509)</f>
        <v/>
      </c>
      <c r="O509" s="13" t="n"/>
      <c r="P509" s="13" t="n"/>
      <c r="Q509" s="13" t="n"/>
      <c r="R509" s="13" t="n"/>
      <c r="S509" s="13" t="n"/>
      <c r="T509" s="14">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row>
    <row r="510" ht="15" customHeight="1">
      <c r="A510" s="11" t="n"/>
      <c r="B510" s="12">
        <f>IF(A510="","",EOMONTH(A510,0))</f>
        <v/>
      </c>
      <c r="C510" s="13" t="n"/>
      <c r="D510" s="13" t="n"/>
      <c r="E510" s="13" t="n"/>
      <c r="F510" s="14">
        <f>IF(E510="","",IF(COUNTIF(lst_Jobs,E510&amp;"")&gt;0,"OK","CHECK"))</f>
        <v/>
      </c>
      <c r="G510" s="13" t="n"/>
      <c r="H510" s="13" t="n"/>
      <c r="I510" s="13" t="n"/>
      <c r="J510" s="13" t="n"/>
      <c r="K510" s="13" t="n"/>
      <c r="L510" s="15" t="n"/>
      <c r="M510" s="16">
        <f>IF(L510="","",IF(K510="GST 10%",ROUND(L510*0.1,2),0))</f>
        <v/>
      </c>
      <c r="N510" s="16">
        <f>IF(L510="","",L510+M510)</f>
        <v/>
      </c>
      <c r="O510" s="13" t="n"/>
      <c r="P510" s="13" t="n"/>
      <c r="Q510" s="13" t="n"/>
      <c r="R510" s="13" t="n"/>
      <c r="S510" s="13" t="n"/>
      <c r="T510" s="14">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row>
    <row r="511" ht="15" customHeight="1">
      <c r="A511" s="11" t="n"/>
      <c r="B511" s="12">
        <f>IF(A511="","",EOMONTH(A511,0))</f>
        <v/>
      </c>
      <c r="C511" s="13" t="n"/>
      <c r="D511" s="13" t="n"/>
      <c r="E511" s="13" t="n"/>
      <c r="F511" s="14">
        <f>IF(E511="","",IF(COUNTIF(lst_Jobs,E511&amp;"")&gt;0,"OK","CHECK"))</f>
        <v/>
      </c>
      <c r="G511" s="13" t="n"/>
      <c r="H511" s="13" t="n"/>
      <c r="I511" s="13" t="n"/>
      <c r="J511" s="13" t="n"/>
      <c r="K511" s="13" t="n"/>
      <c r="L511" s="15" t="n"/>
      <c r="M511" s="16">
        <f>IF(L511="","",IF(K511="GST 10%",ROUND(L511*0.1,2),0))</f>
        <v/>
      </c>
      <c r="N511" s="16">
        <f>IF(L511="","",L511+M511)</f>
        <v/>
      </c>
      <c r="O511" s="13" t="n"/>
      <c r="P511" s="13" t="n"/>
      <c r="Q511" s="13" t="n"/>
      <c r="R511" s="13" t="n"/>
      <c r="S511" s="13" t="n"/>
      <c r="T511" s="14">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row>
    <row r="512" ht="15" customHeight="1">
      <c r="A512" s="11" t="n"/>
      <c r="B512" s="12">
        <f>IF(A512="","",EOMONTH(A512,0))</f>
        <v/>
      </c>
      <c r="C512" s="13" t="n"/>
      <c r="D512" s="13" t="n"/>
      <c r="E512" s="13" t="n"/>
      <c r="F512" s="14">
        <f>IF(E512="","",IF(COUNTIF(lst_Jobs,E512&amp;"")&gt;0,"OK","CHECK"))</f>
        <v/>
      </c>
      <c r="G512" s="13" t="n"/>
      <c r="H512" s="13" t="n"/>
      <c r="I512" s="13" t="n"/>
      <c r="J512" s="13" t="n"/>
      <c r="K512" s="13" t="n"/>
      <c r="L512" s="15" t="n"/>
      <c r="M512" s="16">
        <f>IF(L512="","",IF(K512="GST 10%",ROUND(L512*0.1,2),0))</f>
        <v/>
      </c>
      <c r="N512" s="16">
        <f>IF(L512="","",L512+M512)</f>
        <v/>
      </c>
      <c r="O512" s="13" t="n"/>
      <c r="P512" s="13" t="n"/>
      <c r="Q512" s="13" t="n"/>
      <c r="R512" s="13" t="n"/>
      <c r="S512" s="13" t="n"/>
      <c r="T512" s="14">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row>
    <row r="513" ht="15" customHeight="1">
      <c r="A513" s="11" t="n"/>
      <c r="B513" s="12">
        <f>IF(A513="","",EOMONTH(A513,0))</f>
        <v/>
      </c>
      <c r="C513" s="13" t="n"/>
      <c r="D513" s="13" t="n"/>
      <c r="E513" s="13" t="n"/>
      <c r="F513" s="14">
        <f>IF(E513="","",IF(COUNTIF(lst_Jobs,E513&amp;"")&gt;0,"OK","CHECK"))</f>
        <v/>
      </c>
      <c r="G513" s="13" t="n"/>
      <c r="H513" s="13" t="n"/>
      <c r="I513" s="13" t="n"/>
      <c r="J513" s="13" t="n"/>
      <c r="K513" s="13" t="n"/>
      <c r="L513" s="15" t="n"/>
      <c r="M513" s="16">
        <f>IF(L513="","",IF(K513="GST 10%",ROUND(L513*0.1,2),0))</f>
        <v/>
      </c>
      <c r="N513" s="16">
        <f>IF(L513="","",L513+M513)</f>
        <v/>
      </c>
      <c r="O513" s="13" t="n"/>
      <c r="P513" s="13" t="n"/>
      <c r="Q513" s="13" t="n"/>
      <c r="R513" s="13" t="n"/>
      <c r="S513" s="13" t="n"/>
      <c r="T513" s="14">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row>
    <row r="514" ht="15" customHeight="1">
      <c r="A514" s="11" t="n"/>
      <c r="B514" s="12">
        <f>IF(A514="","",EOMONTH(A514,0))</f>
        <v/>
      </c>
      <c r="C514" s="13" t="n"/>
      <c r="D514" s="13" t="n"/>
      <c r="E514" s="13" t="n"/>
      <c r="F514" s="14">
        <f>IF(E514="","",IF(COUNTIF(lst_Jobs,E514&amp;"")&gt;0,"OK","CHECK"))</f>
        <v/>
      </c>
      <c r="G514" s="13" t="n"/>
      <c r="H514" s="13" t="n"/>
      <c r="I514" s="13" t="n"/>
      <c r="J514" s="13" t="n"/>
      <c r="K514" s="13" t="n"/>
      <c r="L514" s="15" t="n"/>
      <c r="M514" s="16">
        <f>IF(L514="","",IF(K514="GST 10%",ROUND(L514*0.1,2),0))</f>
        <v/>
      </c>
      <c r="N514" s="16">
        <f>IF(L514="","",L514+M514)</f>
        <v/>
      </c>
      <c r="O514" s="13" t="n"/>
      <c r="P514" s="13" t="n"/>
      <c r="Q514" s="13" t="n"/>
      <c r="R514" s="13" t="n"/>
      <c r="S514" s="13" t="n"/>
      <c r="T514" s="14">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row>
    <row r="515" ht="15" customHeight="1">
      <c r="A515" s="11" t="n"/>
      <c r="B515" s="12">
        <f>IF(A515="","",EOMONTH(A515,0))</f>
        <v/>
      </c>
      <c r="C515" s="13" t="n"/>
      <c r="D515" s="13" t="n"/>
      <c r="E515" s="13" t="n"/>
      <c r="F515" s="14">
        <f>IF(E515="","",IF(COUNTIF(lst_Jobs,E515&amp;"")&gt;0,"OK","CHECK"))</f>
        <v/>
      </c>
      <c r="G515" s="13" t="n"/>
      <c r="H515" s="13" t="n"/>
      <c r="I515" s="13" t="n"/>
      <c r="J515" s="13" t="n"/>
      <c r="K515" s="13" t="n"/>
      <c r="L515" s="15" t="n"/>
      <c r="M515" s="16">
        <f>IF(L515="","",IF(K515="GST 10%",ROUND(L515*0.1,2),0))</f>
        <v/>
      </c>
      <c r="N515" s="16">
        <f>IF(L515="","",L515+M515)</f>
        <v/>
      </c>
      <c r="O515" s="13" t="n"/>
      <c r="P515" s="13" t="n"/>
      <c r="Q515" s="13" t="n"/>
      <c r="R515" s="13" t="n"/>
      <c r="S515" s="13" t="n"/>
      <c r="T515" s="14">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row>
    <row r="516" ht="15" customHeight="1">
      <c r="A516" s="11" t="n"/>
      <c r="B516" s="12">
        <f>IF(A516="","",EOMONTH(A516,0))</f>
        <v/>
      </c>
      <c r="C516" s="13" t="n"/>
      <c r="D516" s="13" t="n"/>
      <c r="E516" s="13" t="n"/>
      <c r="F516" s="14">
        <f>IF(E516="","",IF(COUNTIF(lst_Jobs,E516&amp;"")&gt;0,"OK","CHECK"))</f>
        <v/>
      </c>
      <c r="G516" s="13" t="n"/>
      <c r="H516" s="13" t="n"/>
      <c r="I516" s="13" t="n"/>
      <c r="J516" s="13" t="n"/>
      <c r="K516" s="13" t="n"/>
      <c r="L516" s="15" t="n"/>
      <c r="M516" s="16">
        <f>IF(L516="","",IF(K516="GST 10%",ROUND(L516*0.1,2),0))</f>
        <v/>
      </c>
      <c r="N516" s="16">
        <f>IF(L516="","",L516+M516)</f>
        <v/>
      </c>
      <c r="O516" s="13" t="n"/>
      <c r="P516" s="13" t="n"/>
      <c r="Q516" s="13" t="n"/>
      <c r="R516" s="13" t="n"/>
      <c r="S516" s="13" t="n"/>
      <c r="T516" s="14">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row>
    <row r="517" ht="15" customHeight="1">
      <c r="A517" s="11" t="n"/>
      <c r="B517" s="12">
        <f>IF(A517="","",EOMONTH(A517,0))</f>
        <v/>
      </c>
      <c r="C517" s="13" t="n"/>
      <c r="D517" s="13" t="n"/>
      <c r="E517" s="13" t="n"/>
      <c r="F517" s="14">
        <f>IF(E517="","",IF(COUNTIF(lst_Jobs,E517&amp;"")&gt;0,"OK","CHECK"))</f>
        <v/>
      </c>
      <c r="G517" s="13" t="n"/>
      <c r="H517" s="13" t="n"/>
      <c r="I517" s="13" t="n"/>
      <c r="J517" s="13" t="n"/>
      <c r="K517" s="13" t="n"/>
      <c r="L517" s="15" t="n"/>
      <c r="M517" s="16">
        <f>IF(L517="","",IF(K517="GST 10%",ROUND(L517*0.1,2),0))</f>
        <v/>
      </c>
      <c r="N517" s="16">
        <f>IF(L517="","",L517+M517)</f>
        <v/>
      </c>
      <c r="O517" s="13" t="n"/>
      <c r="P517" s="13" t="n"/>
      <c r="Q517" s="13" t="n"/>
      <c r="R517" s="13" t="n"/>
      <c r="S517" s="13" t="n"/>
      <c r="T517" s="14">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row>
    <row r="518" ht="15" customHeight="1">
      <c r="A518" s="11" t="n"/>
      <c r="B518" s="12">
        <f>IF(A518="","",EOMONTH(A518,0))</f>
        <v/>
      </c>
      <c r="C518" s="13" t="n"/>
      <c r="D518" s="13" t="n"/>
      <c r="E518" s="13" t="n"/>
      <c r="F518" s="14">
        <f>IF(E518="","",IF(COUNTIF(lst_Jobs,E518&amp;"")&gt;0,"OK","CHECK"))</f>
        <v/>
      </c>
      <c r="G518" s="13" t="n"/>
      <c r="H518" s="13" t="n"/>
      <c r="I518" s="13" t="n"/>
      <c r="J518" s="13" t="n"/>
      <c r="K518" s="13" t="n"/>
      <c r="L518" s="15" t="n"/>
      <c r="M518" s="16">
        <f>IF(L518="","",IF(K518="GST 10%",ROUND(L518*0.1,2),0))</f>
        <v/>
      </c>
      <c r="N518" s="16">
        <f>IF(L518="","",L518+M518)</f>
        <v/>
      </c>
      <c r="O518" s="13" t="n"/>
      <c r="P518" s="13" t="n"/>
      <c r="Q518" s="13" t="n"/>
      <c r="R518" s="13" t="n"/>
      <c r="S518" s="13" t="n"/>
      <c r="T518" s="14">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row>
    <row r="519" ht="15" customHeight="1">
      <c r="A519" s="11" t="n"/>
      <c r="B519" s="12">
        <f>IF(A519="","",EOMONTH(A519,0))</f>
        <v/>
      </c>
      <c r="C519" s="13" t="n"/>
      <c r="D519" s="13" t="n"/>
      <c r="E519" s="13" t="n"/>
      <c r="F519" s="14">
        <f>IF(E519="","",IF(COUNTIF(lst_Jobs,E519&amp;"")&gt;0,"OK","CHECK"))</f>
        <v/>
      </c>
      <c r="G519" s="13" t="n"/>
      <c r="H519" s="13" t="n"/>
      <c r="I519" s="13" t="n"/>
      <c r="J519" s="13" t="n"/>
      <c r="K519" s="13" t="n"/>
      <c r="L519" s="15" t="n"/>
      <c r="M519" s="16">
        <f>IF(L519="","",IF(K519="GST 10%",ROUND(L519*0.1,2),0))</f>
        <v/>
      </c>
      <c r="N519" s="16">
        <f>IF(L519="","",L519+M519)</f>
        <v/>
      </c>
      <c r="O519" s="13" t="n"/>
      <c r="P519" s="13" t="n"/>
      <c r="Q519" s="13" t="n"/>
      <c r="R519" s="13" t="n"/>
      <c r="S519" s="13" t="n"/>
      <c r="T519" s="14">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row>
    <row r="520" ht="15" customHeight="1">
      <c r="A520" s="11" t="n"/>
      <c r="B520" s="12">
        <f>IF(A520="","",EOMONTH(A520,0))</f>
        <v/>
      </c>
      <c r="C520" s="13" t="n"/>
      <c r="D520" s="13" t="n"/>
      <c r="E520" s="13" t="n"/>
      <c r="F520" s="14">
        <f>IF(E520="","",IF(COUNTIF(lst_Jobs,E520&amp;"")&gt;0,"OK","CHECK"))</f>
        <v/>
      </c>
      <c r="G520" s="13" t="n"/>
      <c r="H520" s="13" t="n"/>
      <c r="I520" s="13" t="n"/>
      <c r="J520" s="13" t="n"/>
      <c r="K520" s="13" t="n"/>
      <c r="L520" s="15" t="n"/>
      <c r="M520" s="16">
        <f>IF(L520="","",IF(K520="GST 10%",ROUND(L520*0.1,2),0))</f>
        <v/>
      </c>
      <c r="N520" s="16">
        <f>IF(L520="","",L520+M520)</f>
        <v/>
      </c>
      <c r="O520" s="13" t="n"/>
      <c r="P520" s="13" t="n"/>
      <c r="Q520" s="13" t="n"/>
      <c r="R520" s="13" t="n"/>
      <c r="S520" s="13" t="n"/>
      <c r="T520" s="14">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row>
    <row r="521" ht="15" customHeight="1">
      <c r="A521" s="11" t="n"/>
      <c r="B521" s="12">
        <f>IF(A521="","",EOMONTH(A521,0))</f>
        <v/>
      </c>
      <c r="C521" s="13" t="n"/>
      <c r="D521" s="13" t="n"/>
      <c r="E521" s="13" t="n"/>
      <c r="F521" s="14">
        <f>IF(E521="","",IF(COUNTIF(lst_Jobs,E521&amp;"")&gt;0,"OK","CHECK"))</f>
        <v/>
      </c>
      <c r="G521" s="13" t="n"/>
      <c r="H521" s="13" t="n"/>
      <c r="I521" s="13" t="n"/>
      <c r="J521" s="13" t="n"/>
      <c r="K521" s="13" t="n"/>
      <c r="L521" s="15" t="n"/>
      <c r="M521" s="16">
        <f>IF(L521="","",IF(K521="GST 10%",ROUND(L521*0.1,2),0))</f>
        <v/>
      </c>
      <c r="N521" s="16">
        <f>IF(L521="","",L521+M521)</f>
        <v/>
      </c>
      <c r="O521" s="13" t="n"/>
      <c r="P521" s="13" t="n"/>
      <c r="Q521" s="13" t="n"/>
      <c r="R521" s="13" t="n"/>
      <c r="S521" s="13" t="n"/>
      <c r="T521" s="14">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row>
    <row r="522" ht="15" customHeight="1">
      <c r="A522" s="11" t="n"/>
      <c r="B522" s="12">
        <f>IF(A522="","",EOMONTH(A522,0))</f>
        <v/>
      </c>
      <c r="C522" s="13" t="n"/>
      <c r="D522" s="13" t="n"/>
      <c r="E522" s="13" t="n"/>
      <c r="F522" s="14">
        <f>IF(E522="","",IF(COUNTIF(lst_Jobs,E522&amp;"")&gt;0,"OK","CHECK"))</f>
        <v/>
      </c>
      <c r="G522" s="13" t="n"/>
      <c r="H522" s="13" t="n"/>
      <c r="I522" s="13" t="n"/>
      <c r="J522" s="13" t="n"/>
      <c r="K522" s="13" t="n"/>
      <c r="L522" s="15" t="n"/>
      <c r="M522" s="16">
        <f>IF(L522="","",IF(K522="GST 10%",ROUND(L522*0.1,2),0))</f>
        <v/>
      </c>
      <c r="N522" s="16">
        <f>IF(L522="","",L522+M522)</f>
        <v/>
      </c>
      <c r="O522" s="13" t="n"/>
      <c r="P522" s="13" t="n"/>
      <c r="Q522" s="13" t="n"/>
      <c r="R522" s="13" t="n"/>
      <c r="S522" s="13" t="n"/>
      <c r="T522" s="14">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row>
    <row r="523" ht="15" customHeight="1">
      <c r="A523" s="11" t="n"/>
      <c r="B523" s="12">
        <f>IF(A523="","",EOMONTH(A523,0))</f>
        <v/>
      </c>
      <c r="C523" s="13" t="n"/>
      <c r="D523" s="13" t="n"/>
      <c r="E523" s="13" t="n"/>
      <c r="F523" s="14">
        <f>IF(E523="","",IF(COUNTIF(lst_Jobs,E523&amp;"")&gt;0,"OK","CHECK"))</f>
        <v/>
      </c>
      <c r="G523" s="13" t="n"/>
      <c r="H523" s="13" t="n"/>
      <c r="I523" s="13" t="n"/>
      <c r="J523" s="13" t="n"/>
      <c r="K523" s="13" t="n"/>
      <c r="L523" s="15" t="n"/>
      <c r="M523" s="16">
        <f>IF(L523="","",IF(K523="GST 10%",ROUND(L523*0.1,2),0))</f>
        <v/>
      </c>
      <c r="N523" s="16">
        <f>IF(L523="","",L523+M523)</f>
        <v/>
      </c>
      <c r="O523" s="13" t="n"/>
      <c r="P523" s="13" t="n"/>
      <c r="Q523" s="13" t="n"/>
      <c r="R523" s="13" t="n"/>
      <c r="S523" s="13" t="n"/>
      <c r="T523" s="14">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row>
    <row r="524" ht="15" customHeight="1">
      <c r="A524" s="11" t="n"/>
      <c r="B524" s="12">
        <f>IF(A524="","",EOMONTH(A524,0))</f>
        <v/>
      </c>
      <c r="C524" s="13" t="n"/>
      <c r="D524" s="13" t="n"/>
      <c r="E524" s="13" t="n"/>
      <c r="F524" s="14">
        <f>IF(E524="","",IF(COUNTIF(lst_Jobs,E524&amp;"")&gt;0,"OK","CHECK"))</f>
        <v/>
      </c>
      <c r="G524" s="13" t="n"/>
      <c r="H524" s="13" t="n"/>
      <c r="I524" s="13" t="n"/>
      <c r="J524" s="13" t="n"/>
      <c r="K524" s="13" t="n"/>
      <c r="L524" s="15" t="n"/>
      <c r="M524" s="16">
        <f>IF(L524="","",IF(K524="GST 10%",ROUND(L524*0.1,2),0))</f>
        <v/>
      </c>
      <c r="N524" s="16">
        <f>IF(L524="","",L524+M524)</f>
        <v/>
      </c>
      <c r="O524" s="13" t="n"/>
      <c r="P524" s="13" t="n"/>
      <c r="Q524" s="13" t="n"/>
      <c r="R524" s="13" t="n"/>
      <c r="S524" s="13" t="n"/>
      <c r="T524" s="14">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row>
    <row r="525" ht="15" customHeight="1">
      <c r="A525" s="11" t="n"/>
      <c r="B525" s="12">
        <f>IF(A525="","",EOMONTH(A525,0))</f>
        <v/>
      </c>
      <c r="C525" s="13" t="n"/>
      <c r="D525" s="13" t="n"/>
      <c r="E525" s="13" t="n"/>
      <c r="F525" s="14">
        <f>IF(E525="","",IF(COUNTIF(lst_Jobs,E525&amp;"")&gt;0,"OK","CHECK"))</f>
        <v/>
      </c>
      <c r="G525" s="13" t="n"/>
      <c r="H525" s="13" t="n"/>
      <c r="I525" s="13" t="n"/>
      <c r="J525" s="13" t="n"/>
      <c r="K525" s="13" t="n"/>
      <c r="L525" s="15" t="n"/>
      <c r="M525" s="16">
        <f>IF(L525="","",IF(K525="GST 10%",ROUND(L525*0.1,2),0))</f>
        <v/>
      </c>
      <c r="N525" s="16">
        <f>IF(L525="","",L525+M525)</f>
        <v/>
      </c>
      <c r="O525" s="13" t="n"/>
      <c r="P525" s="13" t="n"/>
      <c r="Q525" s="13" t="n"/>
      <c r="R525" s="13" t="n"/>
      <c r="S525" s="13" t="n"/>
      <c r="T525" s="14">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row>
    <row r="526" ht="15" customHeight="1">
      <c r="A526" s="11" t="n"/>
      <c r="B526" s="12">
        <f>IF(A526="","",EOMONTH(A526,0))</f>
        <v/>
      </c>
      <c r="C526" s="13" t="n"/>
      <c r="D526" s="13" t="n"/>
      <c r="E526" s="13" t="n"/>
      <c r="F526" s="14">
        <f>IF(E526="","",IF(COUNTIF(lst_Jobs,E526&amp;"")&gt;0,"OK","CHECK"))</f>
        <v/>
      </c>
      <c r="G526" s="13" t="n"/>
      <c r="H526" s="13" t="n"/>
      <c r="I526" s="13" t="n"/>
      <c r="J526" s="13" t="n"/>
      <c r="K526" s="13" t="n"/>
      <c r="L526" s="15" t="n"/>
      <c r="M526" s="16">
        <f>IF(L526="","",IF(K526="GST 10%",ROUND(L526*0.1,2),0))</f>
        <v/>
      </c>
      <c r="N526" s="16">
        <f>IF(L526="","",L526+M526)</f>
        <v/>
      </c>
      <c r="O526" s="13" t="n"/>
      <c r="P526" s="13" t="n"/>
      <c r="Q526" s="13" t="n"/>
      <c r="R526" s="13" t="n"/>
      <c r="S526" s="13" t="n"/>
      <c r="T526" s="14">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row>
    <row r="527" ht="15" customHeight="1">
      <c r="A527" s="11" t="n"/>
      <c r="B527" s="12">
        <f>IF(A527="","",EOMONTH(A527,0))</f>
        <v/>
      </c>
      <c r="C527" s="13" t="n"/>
      <c r="D527" s="13" t="n"/>
      <c r="E527" s="13" t="n"/>
      <c r="F527" s="14">
        <f>IF(E527="","",IF(COUNTIF(lst_Jobs,E527&amp;"")&gt;0,"OK","CHECK"))</f>
        <v/>
      </c>
      <c r="G527" s="13" t="n"/>
      <c r="H527" s="13" t="n"/>
      <c r="I527" s="13" t="n"/>
      <c r="J527" s="13" t="n"/>
      <c r="K527" s="13" t="n"/>
      <c r="L527" s="15" t="n"/>
      <c r="M527" s="16">
        <f>IF(L527="","",IF(K527="GST 10%",ROUND(L527*0.1,2),0))</f>
        <v/>
      </c>
      <c r="N527" s="16">
        <f>IF(L527="","",L527+M527)</f>
        <v/>
      </c>
      <c r="O527" s="13" t="n"/>
      <c r="P527" s="13" t="n"/>
      <c r="Q527" s="13" t="n"/>
      <c r="R527" s="13" t="n"/>
      <c r="S527" s="13" t="n"/>
      <c r="T527" s="14">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row>
    <row r="528" ht="15" customHeight="1">
      <c r="A528" s="11" t="n"/>
      <c r="B528" s="12">
        <f>IF(A528="","",EOMONTH(A528,0))</f>
        <v/>
      </c>
      <c r="C528" s="13" t="n"/>
      <c r="D528" s="13" t="n"/>
      <c r="E528" s="13" t="n"/>
      <c r="F528" s="14">
        <f>IF(E528="","",IF(COUNTIF(lst_Jobs,E528&amp;"")&gt;0,"OK","CHECK"))</f>
        <v/>
      </c>
      <c r="G528" s="13" t="n"/>
      <c r="H528" s="13" t="n"/>
      <c r="I528" s="13" t="n"/>
      <c r="J528" s="13" t="n"/>
      <c r="K528" s="13" t="n"/>
      <c r="L528" s="15" t="n"/>
      <c r="M528" s="16">
        <f>IF(L528="","",IF(K528="GST 10%",ROUND(L528*0.1,2),0))</f>
        <v/>
      </c>
      <c r="N528" s="16">
        <f>IF(L528="","",L528+M528)</f>
        <v/>
      </c>
      <c r="O528" s="13" t="n"/>
      <c r="P528" s="13" t="n"/>
      <c r="Q528" s="13" t="n"/>
      <c r="R528" s="13" t="n"/>
      <c r="S528" s="13" t="n"/>
      <c r="T528" s="14">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row>
    <row r="529" ht="15" customHeight="1">
      <c r="A529" s="11" t="n"/>
      <c r="B529" s="12">
        <f>IF(A529="","",EOMONTH(A529,0))</f>
        <v/>
      </c>
      <c r="C529" s="13" t="n"/>
      <c r="D529" s="13" t="n"/>
      <c r="E529" s="13" t="n"/>
      <c r="F529" s="14">
        <f>IF(E529="","",IF(COUNTIF(lst_Jobs,E529&amp;"")&gt;0,"OK","CHECK"))</f>
        <v/>
      </c>
      <c r="G529" s="13" t="n"/>
      <c r="H529" s="13" t="n"/>
      <c r="I529" s="13" t="n"/>
      <c r="J529" s="13" t="n"/>
      <c r="K529" s="13" t="n"/>
      <c r="L529" s="15" t="n"/>
      <c r="M529" s="16">
        <f>IF(L529="","",IF(K529="GST 10%",ROUND(L529*0.1,2),0))</f>
        <v/>
      </c>
      <c r="N529" s="16">
        <f>IF(L529="","",L529+M529)</f>
        <v/>
      </c>
      <c r="O529" s="13" t="n"/>
      <c r="P529" s="13" t="n"/>
      <c r="Q529" s="13" t="n"/>
      <c r="R529" s="13" t="n"/>
      <c r="S529" s="13" t="n"/>
      <c r="T529" s="14">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row>
    <row r="530" ht="15" customHeight="1">
      <c r="A530" s="11" t="n"/>
      <c r="B530" s="12">
        <f>IF(A530="","",EOMONTH(A530,0))</f>
        <v/>
      </c>
      <c r="C530" s="13" t="n"/>
      <c r="D530" s="13" t="n"/>
      <c r="E530" s="13" t="n"/>
      <c r="F530" s="14">
        <f>IF(E530="","",IF(COUNTIF(lst_Jobs,E530&amp;"")&gt;0,"OK","CHECK"))</f>
        <v/>
      </c>
      <c r="G530" s="13" t="n"/>
      <c r="H530" s="13" t="n"/>
      <c r="I530" s="13" t="n"/>
      <c r="J530" s="13" t="n"/>
      <c r="K530" s="13" t="n"/>
      <c r="L530" s="15" t="n"/>
      <c r="M530" s="16">
        <f>IF(L530="","",IF(K530="GST 10%",ROUND(L530*0.1,2),0))</f>
        <v/>
      </c>
      <c r="N530" s="16">
        <f>IF(L530="","",L530+M530)</f>
        <v/>
      </c>
      <c r="O530" s="13" t="n"/>
      <c r="P530" s="13" t="n"/>
      <c r="Q530" s="13" t="n"/>
      <c r="R530" s="13" t="n"/>
      <c r="S530" s="13" t="n"/>
      <c r="T530" s="14">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row>
    <row r="531" ht="15" customHeight="1">
      <c r="A531" s="11" t="n"/>
      <c r="B531" s="12">
        <f>IF(A531="","",EOMONTH(A531,0))</f>
        <v/>
      </c>
      <c r="C531" s="13" t="n"/>
      <c r="D531" s="13" t="n"/>
      <c r="E531" s="13" t="n"/>
      <c r="F531" s="14">
        <f>IF(E531="","",IF(COUNTIF(lst_Jobs,E531&amp;"")&gt;0,"OK","CHECK"))</f>
        <v/>
      </c>
      <c r="G531" s="13" t="n"/>
      <c r="H531" s="13" t="n"/>
      <c r="I531" s="13" t="n"/>
      <c r="J531" s="13" t="n"/>
      <c r="K531" s="13" t="n"/>
      <c r="L531" s="15" t="n"/>
      <c r="M531" s="16">
        <f>IF(L531="","",IF(K531="GST 10%",ROUND(L531*0.1,2),0))</f>
        <v/>
      </c>
      <c r="N531" s="16">
        <f>IF(L531="","",L531+M531)</f>
        <v/>
      </c>
      <c r="O531" s="13" t="n"/>
      <c r="P531" s="13" t="n"/>
      <c r="Q531" s="13" t="n"/>
      <c r="R531" s="13" t="n"/>
      <c r="S531" s="13" t="n"/>
      <c r="T531" s="14">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row>
    <row r="532" ht="15" customHeight="1">
      <c r="A532" s="11" t="n"/>
      <c r="B532" s="12">
        <f>IF(A532="","",EOMONTH(A532,0))</f>
        <v/>
      </c>
      <c r="C532" s="13" t="n"/>
      <c r="D532" s="13" t="n"/>
      <c r="E532" s="13" t="n"/>
      <c r="F532" s="14">
        <f>IF(E532="","",IF(COUNTIF(lst_Jobs,E532&amp;"")&gt;0,"OK","CHECK"))</f>
        <v/>
      </c>
      <c r="G532" s="13" t="n"/>
      <c r="H532" s="13" t="n"/>
      <c r="I532" s="13" t="n"/>
      <c r="J532" s="13" t="n"/>
      <c r="K532" s="13" t="n"/>
      <c r="L532" s="15" t="n"/>
      <c r="M532" s="16">
        <f>IF(L532="","",IF(K532="GST 10%",ROUND(L532*0.1,2),0))</f>
        <v/>
      </c>
      <c r="N532" s="16">
        <f>IF(L532="","",L532+M532)</f>
        <v/>
      </c>
      <c r="O532" s="13" t="n"/>
      <c r="P532" s="13" t="n"/>
      <c r="Q532" s="13" t="n"/>
      <c r="R532" s="13" t="n"/>
      <c r="S532" s="13" t="n"/>
      <c r="T532" s="14">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row>
    <row r="533" ht="15" customHeight="1">
      <c r="A533" s="11" t="n"/>
      <c r="B533" s="12">
        <f>IF(A533="","",EOMONTH(A533,0))</f>
        <v/>
      </c>
      <c r="C533" s="13" t="n"/>
      <c r="D533" s="13" t="n"/>
      <c r="E533" s="13" t="n"/>
      <c r="F533" s="14">
        <f>IF(E533="","",IF(COUNTIF(lst_Jobs,E533&amp;"")&gt;0,"OK","CHECK"))</f>
        <v/>
      </c>
      <c r="G533" s="13" t="n"/>
      <c r="H533" s="13" t="n"/>
      <c r="I533" s="13" t="n"/>
      <c r="J533" s="13" t="n"/>
      <c r="K533" s="13" t="n"/>
      <c r="L533" s="15" t="n"/>
      <c r="M533" s="16">
        <f>IF(L533="","",IF(K533="GST 10%",ROUND(L533*0.1,2),0))</f>
        <v/>
      </c>
      <c r="N533" s="16">
        <f>IF(L533="","",L533+M533)</f>
        <v/>
      </c>
      <c r="O533" s="13" t="n"/>
      <c r="P533" s="13" t="n"/>
      <c r="Q533" s="13" t="n"/>
      <c r="R533" s="13" t="n"/>
      <c r="S533" s="13" t="n"/>
      <c r="T533" s="14">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row>
    <row r="534" ht="15" customHeight="1">
      <c r="A534" s="11" t="n"/>
      <c r="B534" s="12">
        <f>IF(A534="","",EOMONTH(A534,0))</f>
        <v/>
      </c>
      <c r="C534" s="13" t="n"/>
      <c r="D534" s="13" t="n"/>
      <c r="E534" s="13" t="n"/>
      <c r="F534" s="14">
        <f>IF(E534="","",IF(COUNTIF(lst_Jobs,E534&amp;"")&gt;0,"OK","CHECK"))</f>
        <v/>
      </c>
      <c r="G534" s="13" t="n"/>
      <c r="H534" s="13" t="n"/>
      <c r="I534" s="13" t="n"/>
      <c r="J534" s="13" t="n"/>
      <c r="K534" s="13" t="n"/>
      <c r="L534" s="15" t="n"/>
      <c r="M534" s="16">
        <f>IF(L534="","",IF(K534="GST 10%",ROUND(L534*0.1,2),0))</f>
        <v/>
      </c>
      <c r="N534" s="16">
        <f>IF(L534="","",L534+M534)</f>
        <v/>
      </c>
      <c r="O534" s="13" t="n"/>
      <c r="P534" s="13" t="n"/>
      <c r="Q534" s="13" t="n"/>
      <c r="R534" s="13" t="n"/>
      <c r="S534" s="13" t="n"/>
      <c r="T534" s="14">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row>
    <row r="535" ht="15" customHeight="1">
      <c r="A535" s="11" t="n"/>
      <c r="B535" s="12">
        <f>IF(A535="","",EOMONTH(A535,0))</f>
        <v/>
      </c>
      <c r="C535" s="13" t="n"/>
      <c r="D535" s="13" t="n"/>
      <c r="E535" s="13" t="n"/>
      <c r="F535" s="14">
        <f>IF(E535="","",IF(COUNTIF(lst_Jobs,E535&amp;"")&gt;0,"OK","CHECK"))</f>
        <v/>
      </c>
      <c r="G535" s="13" t="n"/>
      <c r="H535" s="13" t="n"/>
      <c r="I535" s="13" t="n"/>
      <c r="J535" s="13" t="n"/>
      <c r="K535" s="13" t="n"/>
      <c r="L535" s="15" t="n"/>
      <c r="M535" s="16">
        <f>IF(L535="","",IF(K535="GST 10%",ROUND(L535*0.1,2),0))</f>
        <v/>
      </c>
      <c r="N535" s="16">
        <f>IF(L535="","",L535+M535)</f>
        <v/>
      </c>
      <c r="O535" s="13" t="n"/>
      <c r="P535" s="13" t="n"/>
      <c r="Q535" s="13" t="n"/>
      <c r="R535" s="13" t="n"/>
      <c r="S535" s="13" t="n"/>
      <c r="T535" s="14">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row>
    <row r="536" ht="15" customHeight="1">
      <c r="A536" s="11" t="n"/>
      <c r="B536" s="12">
        <f>IF(A536="","",EOMONTH(A536,0))</f>
        <v/>
      </c>
      <c r="C536" s="13" t="n"/>
      <c r="D536" s="13" t="n"/>
      <c r="E536" s="13" t="n"/>
      <c r="F536" s="14">
        <f>IF(E536="","",IF(COUNTIF(lst_Jobs,E536&amp;"")&gt;0,"OK","CHECK"))</f>
        <v/>
      </c>
      <c r="G536" s="13" t="n"/>
      <c r="H536" s="13" t="n"/>
      <c r="I536" s="13" t="n"/>
      <c r="J536" s="13" t="n"/>
      <c r="K536" s="13" t="n"/>
      <c r="L536" s="15" t="n"/>
      <c r="M536" s="16">
        <f>IF(L536="","",IF(K536="GST 10%",ROUND(L536*0.1,2),0))</f>
        <v/>
      </c>
      <c r="N536" s="16">
        <f>IF(L536="","",L536+M536)</f>
        <v/>
      </c>
      <c r="O536" s="13" t="n"/>
      <c r="P536" s="13" t="n"/>
      <c r="Q536" s="13" t="n"/>
      <c r="R536" s="13" t="n"/>
      <c r="S536" s="13" t="n"/>
      <c r="T536" s="14">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row>
    <row r="537" ht="15" customHeight="1">
      <c r="A537" s="11" t="n"/>
      <c r="B537" s="12">
        <f>IF(A537="","",EOMONTH(A537,0))</f>
        <v/>
      </c>
      <c r="C537" s="13" t="n"/>
      <c r="D537" s="13" t="n"/>
      <c r="E537" s="13" t="n"/>
      <c r="F537" s="14">
        <f>IF(E537="","",IF(COUNTIF(lst_Jobs,E537&amp;"")&gt;0,"OK","CHECK"))</f>
        <v/>
      </c>
      <c r="G537" s="13" t="n"/>
      <c r="H537" s="13" t="n"/>
      <c r="I537" s="13" t="n"/>
      <c r="J537" s="13" t="n"/>
      <c r="K537" s="13" t="n"/>
      <c r="L537" s="15" t="n"/>
      <c r="M537" s="16">
        <f>IF(L537="","",IF(K537="GST 10%",ROUND(L537*0.1,2),0))</f>
        <v/>
      </c>
      <c r="N537" s="16">
        <f>IF(L537="","",L537+M537)</f>
        <v/>
      </c>
      <c r="O537" s="13" t="n"/>
      <c r="P537" s="13" t="n"/>
      <c r="Q537" s="13" t="n"/>
      <c r="R537" s="13" t="n"/>
      <c r="S537" s="13" t="n"/>
      <c r="T537" s="14">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row>
    <row r="538" ht="15" customHeight="1">
      <c r="A538" s="11" t="n"/>
      <c r="B538" s="12">
        <f>IF(A538="","",EOMONTH(A538,0))</f>
        <v/>
      </c>
      <c r="C538" s="13" t="n"/>
      <c r="D538" s="13" t="n"/>
      <c r="E538" s="13" t="n"/>
      <c r="F538" s="14">
        <f>IF(E538="","",IF(COUNTIF(lst_Jobs,E538&amp;"")&gt;0,"OK","CHECK"))</f>
        <v/>
      </c>
      <c r="G538" s="13" t="n"/>
      <c r="H538" s="13" t="n"/>
      <c r="I538" s="13" t="n"/>
      <c r="J538" s="13" t="n"/>
      <c r="K538" s="13" t="n"/>
      <c r="L538" s="15" t="n"/>
      <c r="M538" s="16">
        <f>IF(L538="","",IF(K538="GST 10%",ROUND(L538*0.1,2),0))</f>
        <v/>
      </c>
      <c r="N538" s="16">
        <f>IF(L538="","",L538+M538)</f>
        <v/>
      </c>
      <c r="O538" s="13" t="n"/>
      <c r="P538" s="13" t="n"/>
      <c r="Q538" s="13" t="n"/>
      <c r="R538" s="13" t="n"/>
      <c r="S538" s="13" t="n"/>
      <c r="T538" s="14">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row>
    <row r="539" ht="15" customHeight="1">
      <c r="A539" s="11" t="n"/>
      <c r="B539" s="12">
        <f>IF(A539="","",EOMONTH(A539,0))</f>
        <v/>
      </c>
      <c r="C539" s="13" t="n"/>
      <c r="D539" s="13" t="n"/>
      <c r="E539" s="13" t="n"/>
      <c r="F539" s="14">
        <f>IF(E539="","",IF(COUNTIF(lst_Jobs,E539&amp;"")&gt;0,"OK","CHECK"))</f>
        <v/>
      </c>
      <c r="G539" s="13" t="n"/>
      <c r="H539" s="13" t="n"/>
      <c r="I539" s="13" t="n"/>
      <c r="J539" s="13" t="n"/>
      <c r="K539" s="13" t="n"/>
      <c r="L539" s="15" t="n"/>
      <c r="M539" s="16">
        <f>IF(L539="","",IF(K539="GST 10%",ROUND(L539*0.1,2),0))</f>
        <v/>
      </c>
      <c r="N539" s="16">
        <f>IF(L539="","",L539+M539)</f>
        <v/>
      </c>
      <c r="O539" s="13" t="n"/>
      <c r="P539" s="13" t="n"/>
      <c r="Q539" s="13" t="n"/>
      <c r="R539" s="13" t="n"/>
      <c r="S539" s="13" t="n"/>
      <c r="T539" s="14">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row>
    <row r="540" ht="15" customHeight="1">
      <c r="A540" s="11" t="n"/>
      <c r="B540" s="12">
        <f>IF(A540="","",EOMONTH(A540,0))</f>
        <v/>
      </c>
      <c r="C540" s="13" t="n"/>
      <c r="D540" s="13" t="n"/>
      <c r="E540" s="13" t="n"/>
      <c r="F540" s="14">
        <f>IF(E540="","",IF(COUNTIF(lst_Jobs,E540&amp;"")&gt;0,"OK","CHECK"))</f>
        <v/>
      </c>
      <c r="G540" s="13" t="n"/>
      <c r="H540" s="13" t="n"/>
      <c r="I540" s="13" t="n"/>
      <c r="J540" s="13" t="n"/>
      <c r="K540" s="13" t="n"/>
      <c r="L540" s="15" t="n"/>
      <c r="M540" s="16">
        <f>IF(L540="","",IF(K540="GST 10%",ROUND(L540*0.1,2),0))</f>
        <v/>
      </c>
      <c r="N540" s="16">
        <f>IF(L540="","",L540+M540)</f>
        <v/>
      </c>
      <c r="O540" s="13" t="n"/>
      <c r="P540" s="13" t="n"/>
      <c r="Q540" s="13" t="n"/>
      <c r="R540" s="13" t="n"/>
      <c r="S540" s="13" t="n"/>
      <c r="T540" s="14">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row>
    <row r="541" ht="15" customHeight="1">
      <c r="A541" s="11" t="n"/>
      <c r="B541" s="12">
        <f>IF(A541="","",EOMONTH(A541,0))</f>
        <v/>
      </c>
      <c r="C541" s="13" t="n"/>
      <c r="D541" s="13" t="n"/>
      <c r="E541" s="13" t="n"/>
      <c r="F541" s="14">
        <f>IF(E541="","",IF(COUNTIF(lst_Jobs,E541&amp;"")&gt;0,"OK","CHECK"))</f>
        <v/>
      </c>
      <c r="G541" s="13" t="n"/>
      <c r="H541" s="13" t="n"/>
      <c r="I541" s="13" t="n"/>
      <c r="J541" s="13" t="n"/>
      <c r="K541" s="13" t="n"/>
      <c r="L541" s="15" t="n"/>
      <c r="M541" s="16">
        <f>IF(L541="","",IF(K541="GST 10%",ROUND(L541*0.1,2),0))</f>
        <v/>
      </c>
      <c r="N541" s="16">
        <f>IF(L541="","",L541+M541)</f>
        <v/>
      </c>
      <c r="O541" s="13" t="n"/>
      <c r="P541" s="13" t="n"/>
      <c r="Q541" s="13" t="n"/>
      <c r="R541" s="13" t="n"/>
      <c r="S541" s="13" t="n"/>
      <c r="T541" s="14">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row>
    <row r="542" ht="15" customHeight="1">
      <c r="A542" s="11" t="n"/>
      <c r="B542" s="12">
        <f>IF(A542="","",EOMONTH(A542,0))</f>
        <v/>
      </c>
      <c r="C542" s="13" t="n"/>
      <c r="D542" s="13" t="n"/>
      <c r="E542" s="13" t="n"/>
      <c r="F542" s="14">
        <f>IF(E542="","",IF(COUNTIF(lst_Jobs,E542&amp;"")&gt;0,"OK","CHECK"))</f>
        <v/>
      </c>
      <c r="G542" s="13" t="n"/>
      <c r="H542" s="13" t="n"/>
      <c r="I542" s="13" t="n"/>
      <c r="J542" s="13" t="n"/>
      <c r="K542" s="13" t="n"/>
      <c r="L542" s="15" t="n"/>
      <c r="M542" s="16">
        <f>IF(L542="","",IF(K542="GST 10%",ROUND(L542*0.1,2),0))</f>
        <v/>
      </c>
      <c r="N542" s="16">
        <f>IF(L542="","",L542+M542)</f>
        <v/>
      </c>
      <c r="O542" s="13" t="n"/>
      <c r="P542" s="13" t="n"/>
      <c r="Q542" s="13" t="n"/>
      <c r="R542" s="13" t="n"/>
      <c r="S542" s="13" t="n"/>
      <c r="T542" s="14">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row>
    <row r="543" ht="15" customHeight="1">
      <c r="A543" s="11" t="n"/>
      <c r="B543" s="12">
        <f>IF(A543="","",EOMONTH(A543,0))</f>
        <v/>
      </c>
      <c r="C543" s="13" t="n"/>
      <c r="D543" s="13" t="n"/>
      <c r="E543" s="13" t="n"/>
      <c r="F543" s="14">
        <f>IF(E543="","",IF(COUNTIF(lst_Jobs,E543&amp;"")&gt;0,"OK","CHECK"))</f>
        <v/>
      </c>
      <c r="G543" s="13" t="n"/>
      <c r="H543" s="13" t="n"/>
      <c r="I543" s="13" t="n"/>
      <c r="J543" s="13" t="n"/>
      <c r="K543" s="13" t="n"/>
      <c r="L543" s="15" t="n"/>
      <c r="M543" s="16">
        <f>IF(L543="","",IF(K543="GST 10%",ROUND(L543*0.1,2),0))</f>
        <v/>
      </c>
      <c r="N543" s="16">
        <f>IF(L543="","",L543+M543)</f>
        <v/>
      </c>
      <c r="O543" s="13" t="n"/>
      <c r="P543" s="13" t="n"/>
      <c r="Q543" s="13" t="n"/>
      <c r="R543" s="13" t="n"/>
      <c r="S543" s="13" t="n"/>
      <c r="T543" s="14">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row>
    <row r="544" ht="15" customHeight="1">
      <c r="A544" s="11" t="n"/>
      <c r="B544" s="12">
        <f>IF(A544="","",EOMONTH(A544,0))</f>
        <v/>
      </c>
      <c r="C544" s="13" t="n"/>
      <c r="D544" s="13" t="n"/>
      <c r="E544" s="13" t="n"/>
      <c r="F544" s="14">
        <f>IF(E544="","",IF(COUNTIF(lst_Jobs,E544&amp;"")&gt;0,"OK","CHECK"))</f>
        <v/>
      </c>
      <c r="G544" s="13" t="n"/>
      <c r="H544" s="13" t="n"/>
      <c r="I544" s="13" t="n"/>
      <c r="J544" s="13" t="n"/>
      <c r="K544" s="13" t="n"/>
      <c r="L544" s="15" t="n"/>
      <c r="M544" s="16">
        <f>IF(L544="","",IF(K544="GST 10%",ROUND(L544*0.1,2),0))</f>
        <v/>
      </c>
      <c r="N544" s="16">
        <f>IF(L544="","",L544+M544)</f>
        <v/>
      </c>
      <c r="O544" s="13" t="n"/>
      <c r="P544" s="13" t="n"/>
      <c r="Q544" s="13" t="n"/>
      <c r="R544" s="13" t="n"/>
      <c r="S544" s="13" t="n"/>
      <c r="T544" s="14">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row>
    <row r="545" ht="15" customHeight="1">
      <c r="A545" s="11" t="n"/>
      <c r="B545" s="12">
        <f>IF(A545="","",EOMONTH(A545,0))</f>
        <v/>
      </c>
      <c r="C545" s="13" t="n"/>
      <c r="D545" s="13" t="n"/>
      <c r="E545" s="13" t="n"/>
      <c r="F545" s="14">
        <f>IF(E545="","",IF(COUNTIF(lst_Jobs,E545&amp;"")&gt;0,"OK","CHECK"))</f>
        <v/>
      </c>
      <c r="G545" s="13" t="n"/>
      <c r="H545" s="13" t="n"/>
      <c r="I545" s="13" t="n"/>
      <c r="J545" s="13" t="n"/>
      <c r="K545" s="13" t="n"/>
      <c r="L545" s="15" t="n"/>
      <c r="M545" s="16">
        <f>IF(L545="","",IF(K545="GST 10%",ROUND(L545*0.1,2),0))</f>
        <v/>
      </c>
      <c r="N545" s="16">
        <f>IF(L545="","",L545+M545)</f>
        <v/>
      </c>
      <c r="O545" s="13" t="n"/>
      <c r="P545" s="13" t="n"/>
      <c r="Q545" s="13" t="n"/>
      <c r="R545" s="13" t="n"/>
      <c r="S545" s="13" t="n"/>
      <c r="T545" s="14">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row>
    <row r="546" ht="15" customHeight="1">
      <c r="A546" s="11" t="n"/>
      <c r="B546" s="12">
        <f>IF(A546="","",EOMONTH(A546,0))</f>
        <v/>
      </c>
      <c r="C546" s="13" t="n"/>
      <c r="D546" s="13" t="n"/>
      <c r="E546" s="13" t="n"/>
      <c r="F546" s="14">
        <f>IF(E546="","",IF(COUNTIF(lst_Jobs,E546&amp;"")&gt;0,"OK","CHECK"))</f>
        <v/>
      </c>
      <c r="G546" s="13" t="n"/>
      <c r="H546" s="13" t="n"/>
      <c r="I546" s="13" t="n"/>
      <c r="J546" s="13" t="n"/>
      <c r="K546" s="13" t="n"/>
      <c r="L546" s="15" t="n"/>
      <c r="M546" s="16">
        <f>IF(L546="","",IF(K546="GST 10%",ROUND(L546*0.1,2),0))</f>
        <v/>
      </c>
      <c r="N546" s="16">
        <f>IF(L546="","",L546+M546)</f>
        <v/>
      </c>
      <c r="O546" s="13" t="n"/>
      <c r="P546" s="13" t="n"/>
      <c r="Q546" s="13" t="n"/>
      <c r="R546" s="13" t="n"/>
      <c r="S546" s="13" t="n"/>
      <c r="T546" s="14">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row>
    <row r="547" ht="15" customHeight="1">
      <c r="A547" s="11" t="n"/>
      <c r="B547" s="12">
        <f>IF(A547="","",EOMONTH(A547,0))</f>
        <v/>
      </c>
      <c r="C547" s="13" t="n"/>
      <c r="D547" s="13" t="n"/>
      <c r="E547" s="13" t="n"/>
      <c r="F547" s="14">
        <f>IF(E547="","",IF(COUNTIF(lst_Jobs,E547&amp;"")&gt;0,"OK","CHECK"))</f>
        <v/>
      </c>
      <c r="G547" s="13" t="n"/>
      <c r="H547" s="13" t="n"/>
      <c r="I547" s="13" t="n"/>
      <c r="J547" s="13" t="n"/>
      <c r="K547" s="13" t="n"/>
      <c r="L547" s="15" t="n"/>
      <c r="M547" s="16">
        <f>IF(L547="","",IF(K547="GST 10%",ROUND(L547*0.1,2),0))</f>
        <v/>
      </c>
      <c r="N547" s="16">
        <f>IF(L547="","",L547+M547)</f>
        <v/>
      </c>
      <c r="O547" s="13" t="n"/>
      <c r="P547" s="13" t="n"/>
      <c r="Q547" s="13" t="n"/>
      <c r="R547" s="13" t="n"/>
      <c r="S547" s="13" t="n"/>
      <c r="T547" s="14">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row>
    <row r="548" ht="15" customHeight="1">
      <c r="A548" s="11" t="n"/>
      <c r="B548" s="12">
        <f>IF(A548="","",EOMONTH(A548,0))</f>
        <v/>
      </c>
      <c r="C548" s="13" t="n"/>
      <c r="D548" s="13" t="n"/>
      <c r="E548" s="13" t="n"/>
      <c r="F548" s="14">
        <f>IF(E548="","",IF(COUNTIF(lst_Jobs,E548&amp;"")&gt;0,"OK","CHECK"))</f>
        <v/>
      </c>
      <c r="G548" s="13" t="n"/>
      <c r="H548" s="13" t="n"/>
      <c r="I548" s="13" t="n"/>
      <c r="J548" s="13" t="n"/>
      <c r="K548" s="13" t="n"/>
      <c r="L548" s="15" t="n"/>
      <c r="M548" s="16">
        <f>IF(L548="","",IF(K548="GST 10%",ROUND(L548*0.1,2),0))</f>
        <v/>
      </c>
      <c r="N548" s="16">
        <f>IF(L548="","",L548+M548)</f>
        <v/>
      </c>
      <c r="O548" s="13" t="n"/>
      <c r="P548" s="13" t="n"/>
      <c r="Q548" s="13" t="n"/>
      <c r="R548" s="13" t="n"/>
      <c r="S548" s="13" t="n"/>
      <c r="T548" s="14">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row>
    <row r="549" ht="15" customHeight="1">
      <c r="A549" s="11" t="n"/>
      <c r="B549" s="12">
        <f>IF(A549="","",EOMONTH(A549,0))</f>
        <v/>
      </c>
      <c r="C549" s="13" t="n"/>
      <c r="D549" s="13" t="n"/>
      <c r="E549" s="13" t="n"/>
      <c r="F549" s="14">
        <f>IF(E549="","",IF(COUNTIF(lst_Jobs,E549&amp;"")&gt;0,"OK","CHECK"))</f>
        <v/>
      </c>
      <c r="G549" s="13" t="n"/>
      <c r="H549" s="13" t="n"/>
      <c r="I549" s="13" t="n"/>
      <c r="J549" s="13" t="n"/>
      <c r="K549" s="13" t="n"/>
      <c r="L549" s="15" t="n"/>
      <c r="M549" s="16">
        <f>IF(L549="","",IF(K549="GST 10%",ROUND(L549*0.1,2),0))</f>
        <v/>
      </c>
      <c r="N549" s="16">
        <f>IF(L549="","",L549+M549)</f>
        <v/>
      </c>
      <c r="O549" s="13" t="n"/>
      <c r="P549" s="13" t="n"/>
      <c r="Q549" s="13" t="n"/>
      <c r="R549" s="13" t="n"/>
      <c r="S549" s="13" t="n"/>
      <c r="T549" s="14">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row>
    <row r="550" ht="15" customHeight="1">
      <c r="A550" s="11" t="n"/>
      <c r="B550" s="12">
        <f>IF(A550="","",EOMONTH(A550,0))</f>
        <v/>
      </c>
      <c r="C550" s="13" t="n"/>
      <c r="D550" s="13" t="n"/>
      <c r="E550" s="13" t="n"/>
      <c r="F550" s="14">
        <f>IF(E550="","",IF(COUNTIF(lst_Jobs,E550&amp;"")&gt;0,"OK","CHECK"))</f>
        <v/>
      </c>
      <c r="G550" s="13" t="n"/>
      <c r="H550" s="13" t="n"/>
      <c r="I550" s="13" t="n"/>
      <c r="J550" s="13" t="n"/>
      <c r="K550" s="13" t="n"/>
      <c r="L550" s="15" t="n"/>
      <c r="M550" s="16">
        <f>IF(L550="","",IF(K550="GST 10%",ROUND(L550*0.1,2),0))</f>
        <v/>
      </c>
      <c r="N550" s="16">
        <f>IF(L550="","",L550+M550)</f>
        <v/>
      </c>
      <c r="O550" s="13" t="n"/>
      <c r="P550" s="13" t="n"/>
      <c r="Q550" s="13" t="n"/>
      <c r="R550" s="13" t="n"/>
      <c r="S550" s="13" t="n"/>
      <c r="T550" s="14">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row>
    <row r="551" ht="15" customHeight="1">
      <c r="A551" s="11" t="n"/>
      <c r="B551" s="12">
        <f>IF(A551="","",EOMONTH(A551,0))</f>
        <v/>
      </c>
      <c r="C551" s="13" t="n"/>
      <c r="D551" s="13" t="n"/>
      <c r="E551" s="13" t="n"/>
      <c r="F551" s="14">
        <f>IF(E551="","",IF(COUNTIF(lst_Jobs,E551&amp;"")&gt;0,"OK","CHECK"))</f>
        <v/>
      </c>
      <c r="G551" s="13" t="n"/>
      <c r="H551" s="13" t="n"/>
      <c r="I551" s="13" t="n"/>
      <c r="J551" s="13" t="n"/>
      <c r="K551" s="13" t="n"/>
      <c r="L551" s="15" t="n"/>
      <c r="M551" s="16">
        <f>IF(L551="","",IF(K551="GST 10%",ROUND(L551*0.1,2),0))</f>
        <v/>
      </c>
      <c r="N551" s="16">
        <f>IF(L551="","",L551+M551)</f>
        <v/>
      </c>
      <c r="O551" s="13" t="n"/>
      <c r="P551" s="13" t="n"/>
      <c r="Q551" s="13" t="n"/>
      <c r="R551" s="13" t="n"/>
      <c r="S551" s="13" t="n"/>
      <c r="T551" s="14">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row>
    <row r="552" ht="15" customHeight="1">
      <c r="A552" s="11" t="n"/>
      <c r="B552" s="12">
        <f>IF(A552="","",EOMONTH(A552,0))</f>
        <v/>
      </c>
      <c r="C552" s="13" t="n"/>
      <c r="D552" s="13" t="n"/>
      <c r="E552" s="13" t="n"/>
      <c r="F552" s="14">
        <f>IF(E552="","",IF(COUNTIF(lst_Jobs,E552&amp;"")&gt;0,"OK","CHECK"))</f>
        <v/>
      </c>
      <c r="G552" s="13" t="n"/>
      <c r="H552" s="13" t="n"/>
      <c r="I552" s="13" t="n"/>
      <c r="J552" s="13" t="n"/>
      <c r="K552" s="13" t="n"/>
      <c r="L552" s="15" t="n"/>
      <c r="M552" s="16">
        <f>IF(L552="","",IF(K552="GST 10%",ROUND(L552*0.1,2),0))</f>
        <v/>
      </c>
      <c r="N552" s="16">
        <f>IF(L552="","",L552+M552)</f>
        <v/>
      </c>
      <c r="O552" s="13" t="n"/>
      <c r="P552" s="13" t="n"/>
      <c r="Q552" s="13" t="n"/>
      <c r="R552" s="13" t="n"/>
      <c r="S552" s="13" t="n"/>
      <c r="T552" s="14">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row>
    <row r="553" ht="15" customHeight="1">
      <c r="A553" s="11" t="n"/>
      <c r="B553" s="12">
        <f>IF(A553="","",EOMONTH(A553,0))</f>
        <v/>
      </c>
      <c r="C553" s="13" t="n"/>
      <c r="D553" s="13" t="n"/>
      <c r="E553" s="13" t="n"/>
      <c r="F553" s="14">
        <f>IF(E553="","",IF(COUNTIF(lst_Jobs,E553&amp;"")&gt;0,"OK","CHECK"))</f>
        <v/>
      </c>
      <c r="G553" s="13" t="n"/>
      <c r="H553" s="13" t="n"/>
      <c r="I553" s="13" t="n"/>
      <c r="J553" s="13" t="n"/>
      <c r="K553" s="13" t="n"/>
      <c r="L553" s="15" t="n"/>
      <c r="M553" s="16">
        <f>IF(L553="","",IF(K553="GST 10%",ROUND(L553*0.1,2),0))</f>
        <v/>
      </c>
      <c r="N553" s="16">
        <f>IF(L553="","",L553+M553)</f>
        <v/>
      </c>
      <c r="O553" s="13" t="n"/>
      <c r="P553" s="13" t="n"/>
      <c r="Q553" s="13" t="n"/>
      <c r="R553" s="13" t="n"/>
      <c r="S553" s="13" t="n"/>
      <c r="T553" s="14">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row>
    <row r="554" ht="15" customHeight="1">
      <c r="A554" s="11" t="n"/>
      <c r="B554" s="12">
        <f>IF(A554="","",EOMONTH(A554,0))</f>
        <v/>
      </c>
      <c r="C554" s="13" t="n"/>
      <c r="D554" s="13" t="n"/>
      <c r="E554" s="13" t="n"/>
      <c r="F554" s="14">
        <f>IF(E554="","",IF(COUNTIF(lst_Jobs,E554&amp;"")&gt;0,"OK","CHECK"))</f>
        <v/>
      </c>
      <c r="G554" s="13" t="n"/>
      <c r="H554" s="13" t="n"/>
      <c r="I554" s="13" t="n"/>
      <c r="J554" s="13" t="n"/>
      <c r="K554" s="13" t="n"/>
      <c r="L554" s="15" t="n"/>
      <c r="M554" s="16">
        <f>IF(L554="","",IF(K554="GST 10%",ROUND(L554*0.1,2),0))</f>
        <v/>
      </c>
      <c r="N554" s="16">
        <f>IF(L554="","",L554+M554)</f>
        <v/>
      </c>
      <c r="O554" s="13" t="n"/>
      <c r="P554" s="13" t="n"/>
      <c r="Q554" s="13" t="n"/>
      <c r="R554" s="13" t="n"/>
      <c r="S554" s="13" t="n"/>
      <c r="T554" s="14">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row>
    <row r="555" ht="15" customHeight="1">
      <c r="A555" s="11" t="n"/>
      <c r="B555" s="12">
        <f>IF(A555="","",EOMONTH(A555,0))</f>
        <v/>
      </c>
      <c r="C555" s="13" t="n"/>
      <c r="D555" s="13" t="n"/>
      <c r="E555" s="13" t="n"/>
      <c r="F555" s="14">
        <f>IF(E555="","",IF(COUNTIF(lst_Jobs,E555&amp;"")&gt;0,"OK","CHECK"))</f>
        <v/>
      </c>
      <c r="G555" s="13" t="n"/>
      <c r="H555" s="13" t="n"/>
      <c r="I555" s="13" t="n"/>
      <c r="J555" s="13" t="n"/>
      <c r="K555" s="13" t="n"/>
      <c r="L555" s="15" t="n"/>
      <c r="M555" s="16">
        <f>IF(L555="","",IF(K555="GST 10%",ROUND(L555*0.1,2),0))</f>
        <v/>
      </c>
      <c r="N555" s="16">
        <f>IF(L555="","",L555+M555)</f>
        <v/>
      </c>
      <c r="O555" s="13" t="n"/>
      <c r="P555" s="13" t="n"/>
      <c r="Q555" s="13" t="n"/>
      <c r="R555" s="13" t="n"/>
      <c r="S555" s="13" t="n"/>
      <c r="T555" s="14">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row>
    <row r="556" ht="15" customHeight="1">
      <c r="A556" s="11" t="n"/>
      <c r="B556" s="12">
        <f>IF(A556="","",EOMONTH(A556,0))</f>
        <v/>
      </c>
      <c r="C556" s="13" t="n"/>
      <c r="D556" s="13" t="n"/>
      <c r="E556" s="13" t="n"/>
      <c r="F556" s="14">
        <f>IF(E556="","",IF(COUNTIF(lst_Jobs,E556&amp;"")&gt;0,"OK","CHECK"))</f>
        <v/>
      </c>
      <c r="G556" s="13" t="n"/>
      <c r="H556" s="13" t="n"/>
      <c r="I556" s="13" t="n"/>
      <c r="J556" s="13" t="n"/>
      <c r="K556" s="13" t="n"/>
      <c r="L556" s="15" t="n"/>
      <c r="M556" s="16">
        <f>IF(L556="","",IF(K556="GST 10%",ROUND(L556*0.1,2),0))</f>
        <v/>
      </c>
      <c r="N556" s="16">
        <f>IF(L556="","",L556+M556)</f>
        <v/>
      </c>
      <c r="O556" s="13" t="n"/>
      <c r="P556" s="13" t="n"/>
      <c r="Q556" s="13" t="n"/>
      <c r="R556" s="13" t="n"/>
      <c r="S556" s="13" t="n"/>
      <c r="T556" s="14">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row>
    <row r="557" ht="15" customHeight="1">
      <c r="A557" s="11" t="n"/>
      <c r="B557" s="12">
        <f>IF(A557="","",EOMONTH(A557,0))</f>
        <v/>
      </c>
      <c r="C557" s="13" t="n"/>
      <c r="D557" s="13" t="n"/>
      <c r="E557" s="13" t="n"/>
      <c r="F557" s="14">
        <f>IF(E557="","",IF(COUNTIF(lst_Jobs,E557&amp;"")&gt;0,"OK","CHECK"))</f>
        <v/>
      </c>
      <c r="G557" s="13" t="n"/>
      <c r="H557" s="13" t="n"/>
      <c r="I557" s="13" t="n"/>
      <c r="J557" s="13" t="n"/>
      <c r="K557" s="13" t="n"/>
      <c r="L557" s="15" t="n"/>
      <c r="M557" s="16">
        <f>IF(L557="","",IF(K557="GST 10%",ROUND(L557*0.1,2),0))</f>
        <v/>
      </c>
      <c r="N557" s="16">
        <f>IF(L557="","",L557+M557)</f>
        <v/>
      </c>
      <c r="O557" s="13" t="n"/>
      <c r="P557" s="13" t="n"/>
      <c r="Q557" s="13" t="n"/>
      <c r="R557" s="13" t="n"/>
      <c r="S557" s="13" t="n"/>
      <c r="T557" s="14">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row>
    <row r="558" ht="15" customHeight="1">
      <c r="A558" s="11" t="n"/>
      <c r="B558" s="12">
        <f>IF(A558="","",EOMONTH(A558,0))</f>
        <v/>
      </c>
      <c r="C558" s="13" t="n"/>
      <c r="D558" s="13" t="n"/>
      <c r="E558" s="13" t="n"/>
      <c r="F558" s="14">
        <f>IF(E558="","",IF(COUNTIF(lst_Jobs,E558&amp;"")&gt;0,"OK","CHECK"))</f>
        <v/>
      </c>
      <c r="G558" s="13" t="n"/>
      <c r="H558" s="13" t="n"/>
      <c r="I558" s="13" t="n"/>
      <c r="J558" s="13" t="n"/>
      <c r="K558" s="13" t="n"/>
      <c r="L558" s="15" t="n"/>
      <c r="M558" s="16">
        <f>IF(L558="","",IF(K558="GST 10%",ROUND(L558*0.1,2),0))</f>
        <v/>
      </c>
      <c r="N558" s="16">
        <f>IF(L558="","",L558+M558)</f>
        <v/>
      </c>
      <c r="O558" s="13" t="n"/>
      <c r="P558" s="13" t="n"/>
      <c r="Q558" s="13" t="n"/>
      <c r="R558" s="13" t="n"/>
      <c r="S558" s="13" t="n"/>
      <c r="T558" s="14">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row>
    <row r="559" ht="15" customHeight="1">
      <c r="A559" s="11" t="n"/>
      <c r="B559" s="12">
        <f>IF(A559="","",EOMONTH(A559,0))</f>
        <v/>
      </c>
      <c r="C559" s="13" t="n"/>
      <c r="D559" s="13" t="n"/>
      <c r="E559" s="13" t="n"/>
      <c r="F559" s="14">
        <f>IF(E559="","",IF(COUNTIF(lst_Jobs,E559&amp;"")&gt;0,"OK","CHECK"))</f>
        <v/>
      </c>
      <c r="G559" s="13" t="n"/>
      <c r="H559" s="13" t="n"/>
      <c r="I559" s="13" t="n"/>
      <c r="J559" s="13" t="n"/>
      <c r="K559" s="13" t="n"/>
      <c r="L559" s="15" t="n"/>
      <c r="M559" s="16">
        <f>IF(L559="","",IF(K559="GST 10%",ROUND(L559*0.1,2),0))</f>
        <v/>
      </c>
      <c r="N559" s="16">
        <f>IF(L559="","",L559+M559)</f>
        <v/>
      </c>
      <c r="O559" s="13" t="n"/>
      <c r="P559" s="13" t="n"/>
      <c r="Q559" s="13" t="n"/>
      <c r="R559" s="13" t="n"/>
      <c r="S559" s="13" t="n"/>
      <c r="T559" s="14">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row>
    <row r="560" ht="15" customHeight="1">
      <c r="A560" s="11" t="n"/>
      <c r="B560" s="12">
        <f>IF(A560="","",EOMONTH(A560,0))</f>
        <v/>
      </c>
      <c r="C560" s="13" t="n"/>
      <c r="D560" s="13" t="n"/>
      <c r="E560" s="13" t="n"/>
      <c r="F560" s="14">
        <f>IF(E560="","",IF(COUNTIF(lst_Jobs,E560&amp;"")&gt;0,"OK","CHECK"))</f>
        <v/>
      </c>
      <c r="G560" s="13" t="n"/>
      <c r="H560" s="13" t="n"/>
      <c r="I560" s="13" t="n"/>
      <c r="J560" s="13" t="n"/>
      <c r="K560" s="13" t="n"/>
      <c r="L560" s="15" t="n"/>
      <c r="M560" s="16">
        <f>IF(L560="","",IF(K560="GST 10%",ROUND(L560*0.1,2),0))</f>
        <v/>
      </c>
      <c r="N560" s="16">
        <f>IF(L560="","",L560+M560)</f>
        <v/>
      </c>
      <c r="O560" s="13" t="n"/>
      <c r="P560" s="13" t="n"/>
      <c r="Q560" s="13" t="n"/>
      <c r="R560" s="13" t="n"/>
      <c r="S560" s="13" t="n"/>
      <c r="T560" s="14">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row>
    <row r="561" ht="15" customHeight="1">
      <c r="A561" s="11" t="n"/>
      <c r="B561" s="12">
        <f>IF(A561="","",EOMONTH(A561,0))</f>
        <v/>
      </c>
      <c r="C561" s="13" t="n"/>
      <c r="D561" s="13" t="n"/>
      <c r="E561" s="13" t="n"/>
      <c r="F561" s="14">
        <f>IF(E561="","",IF(COUNTIF(lst_Jobs,E561&amp;"")&gt;0,"OK","CHECK"))</f>
        <v/>
      </c>
      <c r="G561" s="13" t="n"/>
      <c r="H561" s="13" t="n"/>
      <c r="I561" s="13" t="n"/>
      <c r="J561" s="13" t="n"/>
      <c r="K561" s="13" t="n"/>
      <c r="L561" s="15" t="n"/>
      <c r="M561" s="16">
        <f>IF(L561="","",IF(K561="GST 10%",ROUND(L561*0.1,2),0))</f>
        <v/>
      </c>
      <c r="N561" s="16">
        <f>IF(L561="","",L561+M561)</f>
        <v/>
      </c>
      <c r="O561" s="13" t="n"/>
      <c r="P561" s="13" t="n"/>
      <c r="Q561" s="13" t="n"/>
      <c r="R561" s="13" t="n"/>
      <c r="S561" s="13" t="n"/>
      <c r="T561" s="14">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row>
    <row r="562" ht="15" customHeight="1">
      <c r="A562" s="11" t="n"/>
      <c r="B562" s="12">
        <f>IF(A562="","",EOMONTH(A562,0))</f>
        <v/>
      </c>
      <c r="C562" s="13" t="n"/>
      <c r="D562" s="13" t="n"/>
      <c r="E562" s="13" t="n"/>
      <c r="F562" s="14">
        <f>IF(E562="","",IF(COUNTIF(lst_Jobs,E562&amp;"")&gt;0,"OK","CHECK"))</f>
        <v/>
      </c>
      <c r="G562" s="13" t="n"/>
      <c r="H562" s="13" t="n"/>
      <c r="I562" s="13" t="n"/>
      <c r="J562" s="13" t="n"/>
      <c r="K562" s="13" t="n"/>
      <c r="L562" s="15" t="n"/>
      <c r="M562" s="16">
        <f>IF(L562="","",IF(K562="GST 10%",ROUND(L562*0.1,2),0))</f>
        <v/>
      </c>
      <c r="N562" s="16">
        <f>IF(L562="","",L562+M562)</f>
        <v/>
      </c>
      <c r="O562" s="13" t="n"/>
      <c r="P562" s="13" t="n"/>
      <c r="Q562" s="13" t="n"/>
      <c r="R562" s="13" t="n"/>
      <c r="S562" s="13" t="n"/>
      <c r="T562" s="14">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row>
    <row r="563" ht="15" customHeight="1">
      <c r="A563" s="11" t="n"/>
      <c r="B563" s="12">
        <f>IF(A563="","",EOMONTH(A563,0))</f>
        <v/>
      </c>
      <c r="C563" s="13" t="n"/>
      <c r="D563" s="13" t="n"/>
      <c r="E563" s="13" t="n"/>
      <c r="F563" s="14">
        <f>IF(E563="","",IF(COUNTIF(lst_Jobs,E563&amp;"")&gt;0,"OK","CHECK"))</f>
        <v/>
      </c>
      <c r="G563" s="13" t="n"/>
      <c r="H563" s="13" t="n"/>
      <c r="I563" s="13" t="n"/>
      <c r="J563" s="13" t="n"/>
      <c r="K563" s="13" t="n"/>
      <c r="L563" s="15" t="n"/>
      <c r="M563" s="16">
        <f>IF(L563="","",IF(K563="GST 10%",ROUND(L563*0.1,2),0))</f>
        <v/>
      </c>
      <c r="N563" s="16">
        <f>IF(L563="","",L563+M563)</f>
        <v/>
      </c>
      <c r="O563" s="13" t="n"/>
      <c r="P563" s="13" t="n"/>
      <c r="Q563" s="13" t="n"/>
      <c r="R563" s="13" t="n"/>
      <c r="S563" s="13" t="n"/>
      <c r="T563" s="14">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row>
    <row r="564" ht="15" customHeight="1">
      <c r="A564" s="11" t="n"/>
      <c r="B564" s="12">
        <f>IF(A564="","",EOMONTH(A564,0))</f>
        <v/>
      </c>
      <c r="C564" s="13" t="n"/>
      <c r="D564" s="13" t="n"/>
      <c r="E564" s="13" t="n"/>
      <c r="F564" s="14">
        <f>IF(E564="","",IF(COUNTIF(lst_Jobs,E564&amp;"")&gt;0,"OK","CHECK"))</f>
        <v/>
      </c>
      <c r="G564" s="13" t="n"/>
      <c r="H564" s="13" t="n"/>
      <c r="I564" s="13" t="n"/>
      <c r="J564" s="13" t="n"/>
      <c r="K564" s="13" t="n"/>
      <c r="L564" s="15" t="n"/>
      <c r="M564" s="16">
        <f>IF(L564="","",IF(K564="GST 10%",ROUND(L564*0.1,2),0))</f>
        <v/>
      </c>
      <c r="N564" s="16">
        <f>IF(L564="","",L564+M564)</f>
        <v/>
      </c>
      <c r="O564" s="13" t="n"/>
      <c r="P564" s="13" t="n"/>
      <c r="Q564" s="13" t="n"/>
      <c r="R564" s="13" t="n"/>
      <c r="S564" s="13" t="n"/>
      <c r="T564" s="14">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row>
    <row r="565" ht="15" customHeight="1">
      <c r="A565" s="11" t="n"/>
      <c r="B565" s="12">
        <f>IF(A565="","",EOMONTH(A565,0))</f>
        <v/>
      </c>
      <c r="C565" s="13" t="n"/>
      <c r="D565" s="13" t="n"/>
      <c r="E565" s="13" t="n"/>
      <c r="F565" s="14">
        <f>IF(E565="","",IF(COUNTIF(lst_Jobs,E565&amp;"")&gt;0,"OK","CHECK"))</f>
        <v/>
      </c>
      <c r="G565" s="13" t="n"/>
      <c r="H565" s="13" t="n"/>
      <c r="I565" s="13" t="n"/>
      <c r="J565" s="13" t="n"/>
      <c r="K565" s="13" t="n"/>
      <c r="L565" s="15" t="n"/>
      <c r="M565" s="16">
        <f>IF(L565="","",IF(K565="GST 10%",ROUND(L565*0.1,2),0))</f>
        <v/>
      </c>
      <c r="N565" s="16">
        <f>IF(L565="","",L565+M565)</f>
        <v/>
      </c>
      <c r="O565" s="13" t="n"/>
      <c r="P565" s="13" t="n"/>
      <c r="Q565" s="13" t="n"/>
      <c r="R565" s="13" t="n"/>
      <c r="S565" s="13" t="n"/>
      <c r="T565" s="14">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row>
    <row r="566" ht="15" customHeight="1">
      <c r="A566" s="11" t="n"/>
      <c r="B566" s="12">
        <f>IF(A566="","",EOMONTH(A566,0))</f>
        <v/>
      </c>
      <c r="C566" s="13" t="n"/>
      <c r="D566" s="13" t="n"/>
      <c r="E566" s="13" t="n"/>
      <c r="F566" s="14">
        <f>IF(E566="","",IF(COUNTIF(lst_Jobs,E566&amp;"")&gt;0,"OK","CHECK"))</f>
        <v/>
      </c>
      <c r="G566" s="13" t="n"/>
      <c r="H566" s="13" t="n"/>
      <c r="I566" s="13" t="n"/>
      <c r="J566" s="13" t="n"/>
      <c r="K566" s="13" t="n"/>
      <c r="L566" s="15" t="n"/>
      <c r="M566" s="16">
        <f>IF(L566="","",IF(K566="GST 10%",ROUND(L566*0.1,2),0))</f>
        <v/>
      </c>
      <c r="N566" s="16">
        <f>IF(L566="","",L566+M566)</f>
        <v/>
      </c>
      <c r="O566" s="13" t="n"/>
      <c r="P566" s="13" t="n"/>
      <c r="Q566" s="13" t="n"/>
      <c r="R566" s="13" t="n"/>
      <c r="S566" s="13" t="n"/>
      <c r="T566" s="14">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row>
    <row r="567" ht="15" customHeight="1">
      <c r="A567" s="11" t="n"/>
      <c r="B567" s="12">
        <f>IF(A567="","",EOMONTH(A567,0))</f>
        <v/>
      </c>
      <c r="C567" s="13" t="n"/>
      <c r="D567" s="13" t="n"/>
      <c r="E567" s="13" t="n"/>
      <c r="F567" s="14">
        <f>IF(E567="","",IF(COUNTIF(lst_Jobs,E567&amp;"")&gt;0,"OK","CHECK"))</f>
        <v/>
      </c>
      <c r="G567" s="13" t="n"/>
      <c r="H567" s="13" t="n"/>
      <c r="I567" s="13" t="n"/>
      <c r="J567" s="13" t="n"/>
      <c r="K567" s="13" t="n"/>
      <c r="L567" s="15" t="n"/>
      <c r="M567" s="16">
        <f>IF(L567="","",IF(K567="GST 10%",ROUND(L567*0.1,2),0))</f>
        <v/>
      </c>
      <c r="N567" s="16">
        <f>IF(L567="","",L567+M567)</f>
        <v/>
      </c>
      <c r="O567" s="13" t="n"/>
      <c r="P567" s="13" t="n"/>
      <c r="Q567" s="13" t="n"/>
      <c r="R567" s="13" t="n"/>
      <c r="S567" s="13" t="n"/>
      <c r="T567" s="14">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row>
    <row r="568" ht="15" customHeight="1">
      <c r="A568" s="11" t="n"/>
      <c r="B568" s="12">
        <f>IF(A568="","",EOMONTH(A568,0))</f>
        <v/>
      </c>
      <c r="C568" s="13" t="n"/>
      <c r="D568" s="13" t="n"/>
      <c r="E568" s="13" t="n"/>
      <c r="F568" s="14">
        <f>IF(E568="","",IF(COUNTIF(lst_Jobs,E568&amp;"")&gt;0,"OK","CHECK"))</f>
        <v/>
      </c>
      <c r="G568" s="13" t="n"/>
      <c r="H568" s="13" t="n"/>
      <c r="I568" s="13" t="n"/>
      <c r="J568" s="13" t="n"/>
      <c r="K568" s="13" t="n"/>
      <c r="L568" s="15" t="n"/>
      <c r="M568" s="16">
        <f>IF(L568="","",IF(K568="GST 10%",ROUND(L568*0.1,2),0))</f>
        <v/>
      </c>
      <c r="N568" s="16">
        <f>IF(L568="","",L568+M568)</f>
        <v/>
      </c>
      <c r="O568" s="13" t="n"/>
      <c r="P568" s="13" t="n"/>
      <c r="Q568" s="13" t="n"/>
      <c r="R568" s="13" t="n"/>
      <c r="S568" s="13" t="n"/>
      <c r="T568" s="14">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row>
    <row r="569" ht="15" customHeight="1">
      <c r="A569" s="11" t="n"/>
      <c r="B569" s="12">
        <f>IF(A569="","",EOMONTH(A569,0))</f>
        <v/>
      </c>
      <c r="C569" s="13" t="n"/>
      <c r="D569" s="13" t="n"/>
      <c r="E569" s="13" t="n"/>
      <c r="F569" s="14">
        <f>IF(E569="","",IF(COUNTIF(lst_Jobs,E569&amp;"")&gt;0,"OK","CHECK"))</f>
        <v/>
      </c>
      <c r="G569" s="13" t="n"/>
      <c r="H569" s="13" t="n"/>
      <c r="I569" s="13" t="n"/>
      <c r="J569" s="13" t="n"/>
      <c r="K569" s="13" t="n"/>
      <c r="L569" s="15" t="n"/>
      <c r="M569" s="16">
        <f>IF(L569="","",IF(K569="GST 10%",ROUND(L569*0.1,2),0))</f>
        <v/>
      </c>
      <c r="N569" s="16">
        <f>IF(L569="","",L569+M569)</f>
        <v/>
      </c>
      <c r="O569" s="13" t="n"/>
      <c r="P569" s="13" t="n"/>
      <c r="Q569" s="13" t="n"/>
      <c r="R569" s="13" t="n"/>
      <c r="S569" s="13" t="n"/>
      <c r="T569" s="14">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row>
    <row r="570" ht="15" customHeight="1">
      <c r="A570" s="11" t="n"/>
      <c r="B570" s="12">
        <f>IF(A570="","",EOMONTH(A570,0))</f>
        <v/>
      </c>
      <c r="C570" s="13" t="n"/>
      <c r="D570" s="13" t="n"/>
      <c r="E570" s="13" t="n"/>
      <c r="F570" s="14">
        <f>IF(E570="","",IF(COUNTIF(lst_Jobs,E570&amp;"")&gt;0,"OK","CHECK"))</f>
        <v/>
      </c>
      <c r="G570" s="13" t="n"/>
      <c r="H570" s="13" t="n"/>
      <c r="I570" s="13" t="n"/>
      <c r="J570" s="13" t="n"/>
      <c r="K570" s="13" t="n"/>
      <c r="L570" s="15" t="n"/>
      <c r="M570" s="16">
        <f>IF(L570="","",IF(K570="GST 10%",ROUND(L570*0.1,2),0))</f>
        <v/>
      </c>
      <c r="N570" s="16">
        <f>IF(L570="","",L570+M570)</f>
        <v/>
      </c>
      <c r="O570" s="13" t="n"/>
      <c r="P570" s="13" t="n"/>
      <c r="Q570" s="13" t="n"/>
      <c r="R570" s="13" t="n"/>
      <c r="S570" s="13" t="n"/>
      <c r="T570" s="14">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row>
    <row r="571" ht="15" customHeight="1">
      <c r="A571" s="11" t="n"/>
      <c r="B571" s="12">
        <f>IF(A571="","",EOMONTH(A571,0))</f>
        <v/>
      </c>
      <c r="C571" s="13" t="n"/>
      <c r="D571" s="13" t="n"/>
      <c r="E571" s="13" t="n"/>
      <c r="F571" s="14">
        <f>IF(E571="","",IF(COUNTIF(lst_Jobs,E571&amp;"")&gt;0,"OK","CHECK"))</f>
        <v/>
      </c>
      <c r="G571" s="13" t="n"/>
      <c r="H571" s="13" t="n"/>
      <c r="I571" s="13" t="n"/>
      <c r="J571" s="13" t="n"/>
      <c r="K571" s="13" t="n"/>
      <c r="L571" s="15" t="n"/>
      <c r="M571" s="16">
        <f>IF(L571="","",IF(K571="GST 10%",ROUND(L571*0.1,2),0))</f>
        <v/>
      </c>
      <c r="N571" s="16">
        <f>IF(L571="","",L571+M571)</f>
        <v/>
      </c>
      <c r="O571" s="13" t="n"/>
      <c r="P571" s="13" t="n"/>
      <c r="Q571" s="13" t="n"/>
      <c r="R571" s="13" t="n"/>
      <c r="S571" s="13" t="n"/>
      <c r="T571" s="14">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row>
    <row r="572" ht="15" customHeight="1">
      <c r="A572" s="11" t="n"/>
      <c r="B572" s="12">
        <f>IF(A572="","",EOMONTH(A572,0))</f>
        <v/>
      </c>
      <c r="C572" s="13" t="n"/>
      <c r="D572" s="13" t="n"/>
      <c r="E572" s="13" t="n"/>
      <c r="F572" s="14">
        <f>IF(E572="","",IF(COUNTIF(lst_Jobs,E572&amp;"")&gt;0,"OK","CHECK"))</f>
        <v/>
      </c>
      <c r="G572" s="13" t="n"/>
      <c r="H572" s="13" t="n"/>
      <c r="I572" s="13" t="n"/>
      <c r="J572" s="13" t="n"/>
      <c r="K572" s="13" t="n"/>
      <c r="L572" s="15" t="n"/>
      <c r="M572" s="16">
        <f>IF(L572="","",IF(K572="GST 10%",ROUND(L572*0.1,2),0))</f>
        <v/>
      </c>
      <c r="N572" s="16">
        <f>IF(L572="","",L572+M572)</f>
        <v/>
      </c>
      <c r="O572" s="13" t="n"/>
      <c r="P572" s="13" t="n"/>
      <c r="Q572" s="13" t="n"/>
      <c r="R572" s="13" t="n"/>
      <c r="S572" s="13" t="n"/>
      <c r="T572" s="14">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row>
    <row r="573" ht="15" customHeight="1">
      <c r="A573" s="11" t="n"/>
      <c r="B573" s="12">
        <f>IF(A573="","",EOMONTH(A573,0))</f>
        <v/>
      </c>
      <c r="C573" s="13" t="n"/>
      <c r="D573" s="13" t="n"/>
      <c r="E573" s="13" t="n"/>
      <c r="F573" s="14">
        <f>IF(E573="","",IF(COUNTIF(lst_Jobs,E573&amp;"")&gt;0,"OK","CHECK"))</f>
        <v/>
      </c>
      <c r="G573" s="13" t="n"/>
      <c r="H573" s="13" t="n"/>
      <c r="I573" s="13" t="n"/>
      <c r="J573" s="13" t="n"/>
      <c r="K573" s="13" t="n"/>
      <c r="L573" s="15" t="n"/>
      <c r="M573" s="16">
        <f>IF(L573="","",IF(K573="GST 10%",ROUND(L573*0.1,2),0))</f>
        <v/>
      </c>
      <c r="N573" s="16">
        <f>IF(L573="","",L573+M573)</f>
        <v/>
      </c>
      <c r="O573" s="13" t="n"/>
      <c r="P573" s="13" t="n"/>
      <c r="Q573" s="13" t="n"/>
      <c r="R573" s="13" t="n"/>
      <c r="S573" s="13" t="n"/>
      <c r="T573" s="14">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row>
    <row r="574" ht="15" customHeight="1">
      <c r="A574" s="11" t="n"/>
      <c r="B574" s="12">
        <f>IF(A574="","",EOMONTH(A574,0))</f>
        <v/>
      </c>
      <c r="C574" s="13" t="n"/>
      <c r="D574" s="13" t="n"/>
      <c r="E574" s="13" t="n"/>
      <c r="F574" s="14">
        <f>IF(E574="","",IF(COUNTIF(lst_Jobs,E574&amp;"")&gt;0,"OK","CHECK"))</f>
        <v/>
      </c>
      <c r="G574" s="13" t="n"/>
      <c r="H574" s="13" t="n"/>
      <c r="I574" s="13" t="n"/>
      <c r="J574" s="13" t="n"/>
      <c r="K574" s="13" t="n"/>
      <c r="L574" s="15" t="n"/>
      <c r="M574" s="16">
        <f>IF(L574="","",IF(K574="GST 10%",ROUND(L574*0.1,2),0))</f>
        <v/>
      </c>
      <c r="N574" s="16">
        <f>IF(L574="","",L574+M574)</f>
        <v/>
      </c>
      <c r="O574" s="13" t="n"/>
      <c r="P574" s="13" t="n"/>
      <c r="Q574" s="13" t="n"/>
      <c r="R574" s="13" t="n"/>
      <c r="S574" s="13" t="n"/>
      <c r="T574" s="14">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row>
    <row r="575" ht="15" customHeight="1">
      <c r="A575" s="11" t="n"/>
      <c r="B575" s="12">
        <f>IF(A575="","",EOMONTH(A575,0))</f>
        <v/>
      </c>
      <c r="C575" s="13" t="n"/>
      <c r="D575" s="13" t="n"/>
      <c r="E575" s="13" t="n"/>
      <c r="F575" s="14">
        <f>IF(E575="","",IF(COUNTIF(lst_Jobs,E575&amp;"")&gt;0,"OK","CHECK"))</f>
        <v/>
      </c>
      <c r="G575" s="13" t="n"/>
      <c r="H575" s="13" t="n"/>
      <c r="I575" s="13" t="n"/>
      <c r="J575" s="13" t="n"/>
      <c r="K575" s="13" t="n"/>
      <c r="L575" s="15" t="n"/>
      <c r="M575" s="16">
        <f>IF(L575="","",IF(K575="GST 10%",ROUND(L575*0.1,2),0))</f>
        <v/>
      </c>
      <c r="N575" s="16">
        <f>IF(L575="","",L575+M575)</f>
        <v/>
      </c>
      <c r="O575" s="13" t="n"/>
      <c r="P575" s="13" t="n"/>
      <c r="Q575" s="13" t="n"/>
      <c r="R575" s="13" t="n"/>
      <c r="S575" s="13" t="n"/>
      <c r="T575" s="14">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row>
    <row r="576" ht="15" customHeight="1">
      <c r="A576" s="11" t="n"/>
      <c r="B576" s="12">
        <f>IF(A576="","",EOMONTH(A576,0))</f>
        <v/>
      </c>
      <c r="C576" s="13" t="n"/>
      <c r="D576" s="13" t="n"/>
      <c r="E576" s="13" t="n"/>
      <c r="F576" s="14">
        <f>IF(E576="","",IF(COUNTIF(lst_Jobs,E576&amp;"")&gt;0,"OK","CHECK"))</f>
        <v/>
      </c>
      <c r="G576" s="13" t="n"/>
      <c r="H576" s="13" t="n"/>
      <c r="I576" s="13" t="n"/>
      <c r="J576" s="13" t="n"/>
      <c r="K576" s="13" t="n"/>
      <c r="L576" s="15" t="n"/>
      <c r="M576" s="16">
        <f>IF(L576="","",IF(K576="GST 10%",ROUND(L576*0.1,2),0))</f>
        <v/>
      </c>
      <c r="N576" s="16">
        <f>IF(L576="","",L576+M576)</f>
        <v/>
      </c>
      <c r="O576" s="13" t="n"/>
      <c r="P576" s="13" t="n"/>
      <c r="Q576" s="13" t="n"/>
      <c r="R576" s="13" t="n"/>
      <c r="S576" s="13" t="n"/>
      <c r="T576" s="14">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row>
    <row r="577" ht="15" customHeight="1">
      <c r="A577" s="11" t="n"/>
      <c r="B577" s="12">
        <f>IF(A577="","",EOMONTH(A577,0))</f>
        <v/>
      </c>
      <c r="C577" s="13" t="n"/>
      <c r="D577" s="13" t="n"/>
      <c r="E577" s="13" t="n"/>
      <c r="F577" s="14">
        <f>IF(E577="","",IF(COUNTIF(lst_Jobs,E577&amp;"")&gt;0,"OK","CHECK"))</f>
        <v/>
      </c>
      <c r="G577" s="13" t="n"/>
      <c r="H577" s="13" t="n"/>
      <c r="I577" s="13" t="n"/>
      <c r="J577" s="13" t="n"/>
      <c r="K577" s="13" t="n"/>
      <c r="L577" s="15" t="n"/>
      <c r="M577" s="16">
        <f>IF(L577="","",IF(K577="GST 10%",ROUND(L577*0.1,2),0))</f>
        <v/>
      </c>
      <c r="N577" s="16">
        <f>IF(L577="","",L577+M577)</f>
        <v/>
      </c>
      <c r="O577" s="13" t="n"/>
      <c r="P577" s="13" t="n"/>
      <c r="Q577" s="13" t="n"/>
      <c r="R577" s="13" t="n"/>
      <c r="S577" s="13" t="n"/>
      <c r="T577" s="14">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row>
  </sheetData>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T5:T5000">
    <cfRule type="expression" priority="3" dxfId="1" stopIfTrue="0">
      <formula>T5&lt;&gt;""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2E6B4F"/>
    <outlinePr summaryBelow="1" summaryRight="1"/>
    <pageSetUpPr/>
  </sheetPr>
  <dimension ref="A1:I5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8" t="inlineStr">
        <is>
          <t>Month-End Revenue Close</t>
        </is>
      </c>
    </row>
    <row r="2" ht="16" customHeight="1">
      <c r="A2" s="2" t="inlineStr">
        <is>
          <t>Pick the month, type the Xero figures into the yellow cells, and work down. Everything white or grey calculates itself.</t>
        </is>
      </c>
    </row>
    <row r="3" ht="6" customHeight="1"/>
    <row r="4">
      <c r="A4" s="17" t="inlineStr">
        <is>
          <t>Month being closed</t>
        </is>
      </c>
      <c r="C4" s="18" t="n">
        <v>46265</v>
      </c>
      <c r="D4" s="19" t="inlineStr">
        <is>
          <t>&lt;- month end date</t>
        </is>
      </c>
    </row>
    <row r="6" ht="20" customHeight="1">
      <c r="A6" s="3" t="inlineStr">
        <is>
          <t>1.  REVENUE BY COST CENTRE  -  tracker vs Xero</t>
        </is>
      </c>
    </row>
    <row r="7" ht="30" customHeight="1">
      <c r="A7" s="20" t="inlineStr">
        <is>
          <t>Cost Centre</t>
        </is>
      </c>
      <c r="B7" s="20" t="inlineStr">
        <is>
          <t>Invoiced Ex GST</t>
        </is>
      </c>
      <c r="C7" s="20" t="inlineStr">
        <is>
          <t>GST</t>
        </is>
      </c>
      <c r="D7" s="20" t="inlineStr">
        <is>
          <t>Inc GST</t>
        </is>
      </c>
      <c r="E7" s="20" t="inlineStr">
        <is>
          <t>WIP Movement</t>
        </is>
      </c>
      <c r="F7" s="20" t="inlineStr">
        <is>
          <t>Revenue Recognised</t>
        </is>
      </c>
      <c r="G7" s="20" t="inlineStr">
        <is>
          <t>Xero Revenue (type in)</t>
        </is>
      </c>
      <c r="H7" s="20" t="inlineStr">
        <is>
          <t>Variance</t>
        </is>
      </c>
      <c r="I7" s="20" t="inlineStr">
        <is>
          <t>Check</t>
        </is>
      </c>
    </row>
    <row r="8">
      <c r="A8" s="21" t="inlineStr">
        <is>
          <t>ONSITE</t>
        </is>
      </c>
      <c r="B8" s="22">
        <f>SUMIFS(tbl_Finance[Ex GST],tbl_Finance[Month],$C$4,tbl_Finance[Cost Centre],$A8)</f>
        <v/>
      </c>
      <c r="C8" s="22">
        <f>SUMIFS(tbl_Finance[GST],tbl_Finance[Month],$C$4,tbl_Finance[Cost Centre],$A8)</f>
        <v/>
      </c>
      <c r="D8" s="23">
        <f>B8+C8</f>
        <v/>
      </c>
      <c r="E8" s="22">
        <f>SUMIFS(tbl_WIP[Amount],tbl_WIP[Month],$C$4,tbl_WIP[Cost Centre],$A8)</f>
        <v/>
      </c>
      <c r="F8" s="23">
        <f>B8+E8</f>
        <v/>
      </c>
      <c r="G8" s="24" t="n"/>
      <c r="H8" s="23">
        <f>IF($G8="","",$F8-$G8)</f>
        <v/>
      </c>
      <c r="I8" s="25">
        <f>IF($G8="","Enter Xero figure",IF(ROUND($H8,2)=0,"Reconciled","CHECK - "&amp;TEXT($H8,"$#,##0.00")))</f>
        <v/>
      </c>
    </row>
    <row r="9">
      <c r="A9" s="21" t="inlineStr">
        <is>
          <t>PRODUCTION</t>
        </is>
      </c>
      <c r="B9" s="22">
        <f>SUMIFS(tbl_Finance[Ex GST],tbl_Finance[Month],$C$4,tbl_Finance[Cost Centre],$A9)</f>
        <v/>
      </c>
      <c r="C9" s="22">
        <f>SUMIFS(tbl_Finance[GST],tbl_Finance[Month],$C$4,tbl_Finance[Cost Centre],$A9)</f>
        <v/>
      </c>
      <c r="D9" s="23">
        <f>B9+C9</f>
        <v/>
      </c>
      <c r="E9" s="22">
        <f>SUMIFS(tbl_WIP[Amount],tbl_WIP[Month],$C$4,tbl_WIP[Cost Centre],$A9)</f>
        <v/>
      </c>
      <c r="F9" s="23">
        <f>B9+E9</f>
        <v/>
      </c>
      <c r="G9" s="24" t="n"/>
      <c r="H9" s="23">
        <f>IF($G9="","",$F9-$G9)</f>
        <v/>
      </c>
      <c r="I9" s="25">
        <f>IF($G9="","Enter Xero figure",IF(ROUND($H9,2)=0,"Reconciled","CHECK - "&amp;TEXT($H9,"$#,##0.00")))</f>
        <v/>
      </c>
    </row>
    <row r="10">
      <c r="A10" s="21" t="inlineStr">
        <is>
          <t>VIDEO</t>
        </is>
      </c>
      <c r="B10" s="22">
        <f>SUMIFS(tbl_Finance[Ex GST],tbl_Finance[Month],$C$4,tbl_Finance[Cost Centre],$A10)</f>
        <v/>
      </c>
      <c r="C10" s="22">
        <f>SUMIFS(tbl_Finance[GST],tbl_Finance[Month],$C$4,tbl_Finance[Cost Centre],$A10)</f>
        <v/>
      </c>
      <c r="D10" s="23">
        <f>B10+C10</f>
        <v/>
      </c>
      <c r="E10" s="22">
        <f>SUMIFS(tbl_WIP[Amount],tbl_WIP[Month],$C$4,tbl_WIP[Cost Centre],$A10)</f>
        <v/>
      </c>
      <c r="F10" s="23">
        <f>B10+E10</f>
        <v/>
      </c>
      <c r="G10" s="24" t="n"/>
      <c r="H10" s="23">
        <f>IF($G10="","",$F10-$G10)</f>
        <v/>
      </c>
      <c r="I10" s="25">
        <f>IF($G10="","Enter Xero figure",IF(ROUND($H10,2)=0,"Reconciled","CHECK - "&amp;TEXT($H10,"$#,##0.00")))</f>
        <v/>
      </c>
    </row>
    <row r="11">
      <c r="A11" s="21" t="inlineStr">
        <is>
          <t>INTEGRATION</t>
        </is>
      </c>
      <c r="B11" s="22">
        <f>SUMIFS(tbl_Finance[Ex GST],tbl_Finance[Month],$C$4,tbl_Finance[Cost Centre],$A11)</f>
        <v/>
      </c>
      <c r="C11" s="22">
        <f>SUMIFS(tbl_Finance[GST],tbl_Finance[Month],$C$4,tbl_Finance[Cost Centre],$A11)</f>
        <v/>
      </c>
      <c r="D11" s="23">
        <f>B11+C11</f>
        <v/>
      </c>
      <c r="E11" s="22">
        <f>SUMIFS(tbl_WIP[Amount],tbl_WIP[Month],$C$4,tbl_WIP[Cost Centre],$A11)</f>
        <v/>
      </c>
      <c r="F11" s="23">
        <f>B11+E11</f>
        <v/>
      </c>
      <c r="G11" s="24" t="n"/>
      <c r="H11" s="23">
        <f>IF($G11="","",$F11-$G11)</f>
        <v/>
      </c>
      <c r="I11" s="25">
        <f>IF($G11="","Enter Xero figure",IF(ROUND($H11,2)=0,"Reconciled","CHECK - "&amp;TEXT($H11,"$#,##0.00")))</f>
        <v/>
      </c>
    </row>
    <row r="12">
      <c r="A12" s="21" t="inlineStr">
        <is>
          <t>CONSULTING</t>
        </is>
      </c>
      <c r="B12" s="22">
        <f>SUMIFS(tbl_Finance[Ex GST],tbl_Finance[Month],$C$4,tbl_Finance[Cost Centre],$A12)</f>
        <v/>
      </c>
      <c r="C12" s="22">
        <f>SUMIFS(tbl_Finance[GST],tbl_Finance[Month],$C$4,tbl_Finance[Cost Centre],$A12)</f>
        <v/>
      </c>
      <c r="D12" s="23">
        <f>B12+C12</f>
        <v/>
      </c>
      <c r="E12" s="22">
        <f>SUMIFS(tbl_WIP[Amount],tbl_WIP[Month],$C$4,tbl_WIP[Cost Centre],$A12)</f>
        <v/>
      </c>
      <c r="F12" s="23">
        <f>B12+E12</f>
        <v/>
      </c>
      <c r="G12" s="24" t="n"/>
      <c r="H12" s="23">
        <f>IF($G12="","",$F12-$G12)</f>
        <v/>
      </c>
      <c r="I12" s="25">
        <f>IF($G12="","Enter Xero figure",IF(ROUND($H12,2)=0,"Reconciled","CHECK - "&amp;TEXT($H12,"$#,##0.00")))</f>
        <v/>
      </c>
    </row>
    <row r="13">
      <c r="A13" s="21" t="inlineStr">
        <is>
          <t>CTS</t>
        </is>
      </c>
      <c r="B13" s="22">
        <f>SUMIFS(tbl_Finance[Ex GST],tbl_Finance[Month],$C$4,tbl_Finance[Cost Centre],$A13)</f>
        <v/>
      </c>
      <c r="C13" s="22">
        <f>SUMIFS(tbl_Finance[GST],tbl_Finance[Month],$C$4,tbl_Finance[Cost Centre],$A13)</f>
        <v/>
      </c>
      <c r="D13" s="23">
        <f>B13+C13</f>
        <v/>
      </c>
      <c r="E13" s="22">
        <f>SUMIFS(tbl_WIP[Amount],tbl_WIP[Month],$C$4,tbl_WIP[Cost Centre],$A13)</f>
        <v/>
      </c>
      <c r="F13" s="23">
        <f>B13+E13</f>
        <v/>
      </c>
      <c r="G13" s="24" t="n"/>
      <c r="H13" s="23">
        <f>IF($G13="","",$F13-$G13)</f>
        <v/>
      </c>
      <c r="I13" s="25">
        <f>IF($G13="","Enter Xero figure",IF(ROUND($H13,2)=0,"Reconciled","CHECK - "&amp;TEXT($H13,"$#,##0.00")))</f>
        <v/>
      </c>
    </row>
    <row r="14">
      <c r="A14" s="26" t="inlineStr">
        <is>
          <t>TOTAL</t>
        </is>
      </c>
      <c r="B14" s="27">
        <f>SUM(B8:B13)</f>
        <v/>
      </c>
      <c r="C14" s="27">
        <f>SUM(C8:C13)</f>
        <v/>
      </c>
      <c r="D14" s="27">
        <f>SUM(D8:D13)</f>
        <v/>
      </c>
      <c r="E14" s="27">
        <f>SUM(E8:E13)</f>
        <v/>
      </c>
      <c r="F14" s="27">
        <f>SUM(F8:F13)</f>
        <v/>
      </c>
      <c r="G14" s="27">
        <f>SUM(G8:G13)</f>
        <v/>
      </c>
      <c r="H14" s="27">
        <f>SUM(H8:H13)</f>
        <v/>
      </c>
      <c r="I14" s="26">
        <f>IF(COUNT($G8:$G13)=0,"Enter Xero figures",IF(ROUND($H14,2)=0,"Reconciled","CHECK - "&amp;TEXT($H14,"$#,##0.00")))</f>
        <v/>
      </c>
    </row>
    <row r="15">
      <c r="A15" s="19" t="inlineStr">
        <is>
          <t>Every line on the Finance sheet carries one cost centre, so these add to the month's invoicing exactly.</t>
        </is>
      </c>
    </row>
    <row r="17" ht="20" customHeight="1">
      <c r="A17" s="3" t="inlineStr">
        <is>
          <t>2.  WORK IN PROGRESS  -  GL 11300</t>
        </is>
      </c>
    </row>
    <row r="18" ht="30" customHeight="1">
      <c r="A18" s="20" t="inlineStr"/>
      <c r="B18" s="20" t="inlineStr">
        <is>
          <t>Amount</t>
        </is>
      </c>
      <c r="C18" s="20" t="inlineStr"/>
      <c r="D18" s="20" t="inlineStr"/>
      <c r="E18" s="20" t="inlineStr"/>
      <c r="F18" s="20" t="inlineStr"/>
      <c r="G18" s="20" t="inlineStr"/>
      <c r="H18" s="20" t="inlineStr"/>
      <c r="I18" s="20" t="inlineStr">
        <is>
          <t>Check</t>
        </is>
      </c>
    </row>
    <row r="19">
      <c r="A19" s="28" t="inlineStr">
        <is>
          <t>Opening WIP balance (all months before this one)</t>
        </is>
      </c>
      <c r="B19" s="23">
        <f>SUMIFS(tbl_WIP[Amount],tbl_WIP[Month],"&lt;&gt;",tbl_WIP[Month],"&lt;"&amp;$C$4)</f>
        <v/>
      </c>
      <c r="I19" s="29" t="n"/>
    </row>
    <row r="20">
      <c r="A20" s="28" t="inlineStr">
        <is>
          <t>Movement this month</t>
        </is>
      </c>
      <c r="B20" s="23">
        <f>SUMIFS(tbl_WIP[Amount],tbl_WIP[Month],$C$4)</f>
        <v/>
      </c>
      <c r="I20" s="29" t="n"/>
    </row>
    <row r="21">
      <c r="A21" s="30" t="inlineStr">
        <is>
          <t>Closing WIP balance per this tracker</t>
        </is>
      </c>
      <c r="B21" s="31">
        <f>B19+B20</f>
        <v/>
      </c>
      <c r="I21" s="29" t="n"/>
    </row>
    <row r="22">
      <c r="A22" s="28" t="inlineStr">
        <is>
          <t>Closing balance per the WIP Schedule file</t>
        </is>
      </c>
      <c r="B22" s="24" t="n"/>
      <c r="I22" s="29" t="n"/>
    </row>
    <row r="23">
      <c r="A23" s="30" t="inlineStr">
        <is>
          <t>Variance - tracker vs WIP Schedule</t>
        </is>
      </c>
      <c r="B23" s="32">
        <f>IF(B22="","",B21-B22)</f>
        <v/>
      </c>
      <c r="I23" s="33">
        <f>IF(B22="","Enter WIP Schedule figure",IF(ROUND(B23,2)=0,"Reconciled","CHECK"))</f>
        <v/>
      </c>
    </row>
    <row r="24">
      <c r="A24" s="28" t="inlineStr">
        <is>
          <t>Closing balance per Xero GL 11300</t>
        </is>
      </c>
      <c r="B24" s="24" t="n"/>
      <c r="I24" s="29" t="n"/>
    </row>
    <row r="25">
      <c r="A25" s="30" t="inlineStr">
        <is>
          <t>Variance - tracker vs Xero</t>
        </is>
      </c>
      <c r="B25" s="32">
        <f>IF(B24="","",B21-B24)</f>
        <v/>
      </c>
      <c r="I25" s="33">
        <f>IF(B24="","Enter Xero 11300 balance",IF(ROUND(B25,2)=0,"Reconciled","CHECK"))</f>
        <v/>
      </c>
    </row>
    <row r="26">
      <c r="A26" s="19"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20" t="inlineStr">
        <is>
          <t>Check</t>
        </is>
      </c>
      <c r="B29" s="20" t="inlineStr">
        <is>
          <t>Count</t>
        </is>
      </c>
      <c r="C29" s="20" t="inlineStr"/>
      <c r="D29" s="20" t="inlineStr"/>
      <c r="E29" s="20" t="inlineStr"/>
      <c r="F29" s="20" t="inlineStr"/>
      <c r="G29" s="20" t="inlineStr"/>
      <c r="H29" s="20" t="inlineStr"/>
      <c r="I29" s="20" t="inlineStr">
        <is>
          <t>Status</t>
        </is>
      </c>
    </row>
    <row r="30">
      <c r="A30" s="28" t="inlineStr">
        <is>
          <t>Invoice lines with an amount but no date</t>
        </is>
      </c>
      <c r="B30" s="34">
        <f>SUMPRODUCT(--(tbl_Finance[Date]=""),--(tbl_Finance[Ex GST]&lt;&gt;""))</f>
        <v/>
      </c>
      <c r="I30" s="33">
        <f>IF(B30=0,"Clear","REVIEW")</f>
        <v/>
      </c>
    </row>
    <row r="31">
      <c r="A31" s="28" t="inlineStr">
        <is>
          <t>Invoice lines with an amount but no job number</t>
        </is>
      </c>
      <c r="B31" s="34">
        <f>COUNTIFS(tbl_Finance[Ex GST],"&lt;&gt;",tbl_Finance[Job Number],"")</f>
        <v/>
      </c>
      <c r="I31" s="33">
        <f>IF(B31=0,"Clear","REVIEW")</f>
        <v/>
      </c>
    </row>
    <row r="32">
      <c r="A32" s="28" t="inlineStr">
        <is>
          <t>Job numbers not found in the Xero job list</t>
        </is>
      </c>
      <c r="B32" s="34">
        <f>COUNTIF(tbl_Finance[Job in Xero?],"CHECK")</f>
        <v/>
      </c>
      <c r="I32" s="33">
        <f>IF(B32=0,"Clear","REVIEW")</f>
        <v/>
      </c>
    </row>
    <row r="33">
      <c r="A33" s="28" t="inlineStr">
        <is>
          <t>Marked posted to Xero but no invoice number</t>
        </is>
      </c>
      <c r="B33" s="34">
        <f>COUNTIFS(tbl_Finance[Posted to Xero],"Y",tbl_Finance[Xero Invoice No],"")</f>
        <v/>
      </c>
      <c r="I33" s="33">
        <f>IF(B33=0,"Clear","REVIEW")</f>
        <v/>
      </c>
    </row>
    <row r="34">
      <c r="A34" s="28" t="inlineStr">
        <is>
          <t>Invoice lines with an amount but no cost centre</t>
        </is>
      </c>
      <c r="B34" s="34">
        <f>COUNTIFS(tbl_Finance[Ex GST],"&lt;&gt;",tbl_Finance[Cost Centre],"")</f>
        <v/>
      </c>
      <c r="I34" s="33">
        <f>IF(B34=0,"Clear","REVIEW")</f>
        <v/>
      </c>
    </row>
    <row r="35">
      <c r="A35" s="28" t="inlineStr">
        <is>
          <t>Invoice lines with an amount but no tax code</t>
        </is>
      </c>
      <c r="B35" s="34">
        <f>COUNTIFS(tbl_Finance[Ex GST],"&lt;&gt;",tbl_Finance[Tax Code],"")</f>
        <v/>
      </c>
      <c r="I35" s="33">
        <f>IF(B35=0,"Clear","REVIEW")</f>
        <v/>
      </c>
    </row>
    <row r="36">
      <c r="A36" s="28" t="inlineStr">
        <is>
          <t>Invoice lines with an amount but no revenue GL code</t>
        </is>
      </c>
      <c r="B36" s="34">
        <f>COUNTIFS(tbl_Finance[Ex GST],"&lt;&gt;",tbl_Finance[Revenue GL],"")</f>
        <v/>
      </c>
      <c r="I36" s="33">
        <f>IF(B36=0,"Clear","REVIEW")</f>
        <v/>
      </c>
    </row>
    <row r="37">
      <c r="A37" s="28" t="inlineStr">
        <is>
          <t>Anything flagged in the Issue column</t>
        </is>
      </c>
      <c r="B37" s="34">
        <f>COUNTIF(tbl_Finance[Issue],"?*")</f>
        <v/>
      </c>
      <c r="I37" s="33">
        <f>IF(B37=0,"Clear","REVIEW")</f>
        <v/>
      </c>
    </row>
    <row r="38">
      <c r="A38" s="28" t="inlineStr">
        <is>
          <t>Flagged "To WIP = Y" but no matching WIP movement</t>
        </is>
      </c>
      <c r="B38" s="34">
        <f>SUMPRODUCT(--(tbl_Finance[To WIP]="Y"),--(tbl_Finance[Xero Invoice No]&lt;&gt;""),--(COUNTIF(tbl_WIP[Xero Invoice No],tbl_Finance[Xero Invoice No]&amp;"")=0))</f>
        <v/>
      </c>
      <c r="I38" s="33">
        <f>IF(B38=0,"Clear","REVIEW")</f>
        <v/>
      </c>
    </row>
    <row r="39">
      <c r="A39" s="28" t="inlineStr">
        <is>
          <t>WIP movements with an amount but no month or no job</t>
        </is>
      </c>
      <c r="B39" s="34">
        <f>COUNTIFS(tbl_WIP[Month],"",tbl_WIP[Amount],"&lt;&gt;")+COUNTIFS(tbl_WIP[Job Number],"",tbl_WIP[Amount],"&lt;&gt;")</f>
        <v/>
      </c>
      <c r="I39" s="33">
        <f>IF(B39=0,"Clear","REVIEW")</f>
        <v/>
      </c>
    </row>
    <row r="40">
      <c r="A40" s="28" t="inlineStr">
        <is>
          <t>WIP job numbers not found in the Xero job list</t>
        </is>
      </c>
      <c r="B40" s="34">
        <f>COUNTIF(tbl_WIP[Job in Xero?],"CHECK")</f>
        <v/>
      </c>
      <c r="I40" s="33">
        <f>IF(B40=0,"Clear","REVIEW")</f>
        <v/>
      </c>
    </row>
    <row r="41">
      <c r="A41" s="28" t="inlineStr">
        <is>
          <t>Consulting revenue split does not equal the job revenue</t>
        </is>
      </c>
      <c r="B41" s="34">
        <f>COUNTIF(tbl_Consulting[Revenue Split Check],"MISMATCH")</f>
        <v/>
      </c>
      <c r="I41" s="33">
        <f>IF(B41=0,"Clear","REVIEW")</f>
        <v/>
      </c>
    </row>
    <row r="42">
      <c r="A42" s="28" t="inlineStr">
        <is>
          <t>Jobs on a department sheet with no invoice yet</t>
        </is>
      </c>
      <c r="B42" s="34">
        <f>COUNTIFS(tbl_Onsite[Job Number],"&lt;&gt;",tbl_Onsite[Invoices],0)+COUNTIFS(tbl_Production[Job Number],"&lt;&gt;",tbl_Production[Invoices],0)+COUNTIFS(tbl_Consulting[Job Number],"&lt;&gt;",tbl_Consulting[Invoices],0)</f>
        <v/>
      </c>
      <c r="I42" s="33">
        <f>IF(B42=0,"Clear","REVIEW")</f>
        <v/>
      </c>
    </row>
    <row r="43">
      <c r="A43" s="28" t="inlineStr">
        <is>
          <t>Still sitting at "To Invoice" for the selected month</t>
        </is>
      </c>
      <c r="B43" s="34">
        <f>COUNTIFS(tbl_Finance[Month],$C$4,tbl_Finance[Status],"To Invoice")</f>
        <v/>
      </c>
      <c r="I43" s="33">
        <f>IF(B43=0,"Clear","REVIEW")</f>
        <v/>
      </c>
    </row>
    <row r="44">
      <c r="A44" s="30" t="inlineStr">
        <is>
          <t>Value of invoice lines with no date (excluded from every month)</t>
        </is>
      </c>
      <c r="B44" s="35">
        <f>SUMPRODUCT(--(tbl_Finance[Date]=""),IFERROR(tbl_Finance[Ex GST]*1,0))</f>
        <v/>
      </c>
      <c r="I44" s="33">
        <f>IF(ROUND(B44,2)=0,"Clear","REVIEW")</f>
        <v/>
      </c>
    </row>
    <row r="46" ht="20" customHeight="1">
      <c r="A46" s="3" t="inlineStr">
        <is>
          <t>4.  SIGN-OFF</t>
        </is>
      </c>
    </row>
    <row r="47">
      <c r="A47" s="30" t="inlineStr">
        <is>
          <t>Prepared by</t>
        </is>
      </c>
      <c r="B47" s="36" t="n"/>
      <c r="C47" s="37" t="n"/>
      <c r="D47" s="38" t="n"/>
      <c r="E47" s="19" t="inlineStr">
        <is>
          <t>Accounts Assistant</t>
        </is>
      </c>
    </row>
    <row r="48">
      <c r="A48" s="30" t="inlineStr">
        <is>
          <t>Reviewed by</t>
        </is>
      </c>
      <c r="B48" s="36" t="n"/>
      <c r="C48" s="37" t="n"/>
      <c r="D48" s="38" t="n"/>
      <c r="E48" s="19" t="inlineStr">
        <is>
          <t>Finance Operations Manager</t>
        </is>
      </c>
    </row>
    <row r="49">
      <c r="A49" s="30" t="inlineStr">
        <is>
          <t>Date closed</t>
        </is>
      </c>
      <c r="B49" s="36" t="n"/>
      <c r="C49" s="37" t="n"/>
      <c r="D49" s="38" t="n"/>
    </row>
    <row r="50">
      <c r="A50" s="30" t="inlineStr">
        <is>
          <t>Notes / carried forward items</t>
        </is>
      </c>
      <c r="B50" s="36" t="n"/>
      <c r="C50" s="37" t="n"/>
      <c r="D50" s="38" t="n"/>
    </row>
  </sheetData>
  <mergeCells count="8">
    <mergeCell ref="A28:I28"/>
    <mergeCell ref="A46:I46"/>
    <mergeCell ref="B49:D49"/>
    <mergeCell ref="B50:D50"/>
    <mergeCell ref="A17:I17"/>
    <mergeCell ref="A6:I6"/>
    <mergeCell ref="B47:D47"/>
    <mergeCell ref="B48:D48"/>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4">
    <cfRule type="expression" priority="5" dxfId="1">
      <formula>I30="REVIEW"</formula>
    </cfRule>
    <cfRule type="expression" priority="6" dxfId="2">
      <formula>I30="Clear"</formula>
    </cfRule>
  </conditionalFormatting>
  <conditionalFormatting sqref="B30:B43">
    <cfRule type="cellIs" priority="7" operator="greaterThan" dxfId="0">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17" t="inlineStr">
        <is>
          <t>Month</t>
        </is>
      </c>
      <c r="C4" s="39">
        <f>'Month-End'!C4</f>
        <v/>
      </c>
      <c r="D4" s="19" t="inlineStr">
        <is>
          <t>&lt;- set this on the Month-End sheet</t>
        </is>
      </c>
    </row>
    <row r="6">
      <c r="A6" s="30" t="inlineStr">
        <is>
          <t>Opening total</t>
        </is>
      </c>
      <c r="B6" s="40">
        <f>SUMIFS(tbl_WIP[Amount],tbl_WIP[Month],"&lt;&gt;",tbl_WIP[Month],"&lt;"&amp;$C$4)</f>
        <v/>
      </c>
    </row>
    <row r="7">
      <c r="A7" s="30" t="inlineStr">
        <is>
          <t>Movement this month</t>
        </is>
      </c>
      <c r="B7" s="40">
        <f>SUMIFS(tbl_WIP[Amount],tbl_WIP[Month],$C$4)</f>
        <v/>
      </c>
    </row>
    <row r="8">
      <c r="A8" s="30" t="inlineStr">
        <is>
          <t>Closing total</t>
        </is>
      </c>
      <c r="B8" s="31">
        <f>B6+B7</f>
        <v/>
      </c>
    </row>
    <row r="9">
      <c r="A9" s="30" t="inlineStr">
        <is>
          <t>Of which is on a job Xero does not have</t>
        </is>
      </c>
      <c r="B9" s="40">
        <f>SUMIFS(tbl_WIP[Amount],tbl_WIP[Job in Xero?],"CHECK",tbl_WIP[Month],"&lt;="&amp;$C$4)</f>
        <v/>
      </c>
    </row>
    <row r="11" ht="30" customHeight="1">
      <c r="A11" s="20" t="inlineStr">
        <is>
          <t>Job Number</t>
        </is>
      </c>
      <c r="B11" s="20" t="inlineStr">
        <is>
          <t>Job Name (Xero)</t>
        </is>
      </c>
      <c r="C11" s="20" t="inlineStr">
        <is>
          <t>Opening</t>
        </is>
      </c>
      <c r="D11" s="20" t="inlineStr">
        <is>
          <t>Movement</t>
        </is>
      </c>
      <c r="E11" s="20" t="inlineStr">
        <is>
          <t>Closing</t>
        </is>
      </c>
      <c r="F11" s="20" t="inlineStr">
        <is>
          <t>Any balance?</t>
        </is>
      </c>
      <c r="G11" s="20" t="inlineStr">
        <is>
          <t>Per WIP Schedule (paste in)</t>
        </is>
      </c>
      <c r="H11" s="20" t="inlineStr">
        <is>
          <t>Variance</t>
        </is>
      </c>
    </row>
    <row r="12">
      <c r="A12" s="13" t="inlineStr">
        <is>
          <t>1144</t>
        </is>
      </c>
      <c r="B12" s="13" t="inlineStr">
        <is>
          <t>Bankwest PER Half Tech</t>
        </is>
      </c>
      <c r="C12" s="41">
        <f>SUMIFS(tbl_WIP[Amount],tbl_WIP[Job Number],$A12,tbl_WIP[Month],"&lt;&gt;",tbl_WIP[Month],"&lt;"&amp;$C$4)</f>
        <v/>
      </c>
      <c r="D12" s="41">
        <f>SUMIFS(tbl_WIP[Amount],tbl_WIP[Job Number],$A12,tbl_WIP[Month],$C$4)</f>
        <v/>
      </c>
      <c r="E12" s="41">
        <f>C12+D12</f>
        <v/>
      </c>
      <c r="F12" s="42">
        <f>IF(ROUND(C12,2)+ROUND(D12,2)=0,"","yes")</f>
        <v/>
      </c>
      <c r="G12" s="43" t="n"/>
      <c r="H12" s="41">
        <f>IF($G12="","",$E12-$G12)</f>
        <v/>
      </c>
    </row>
    <row r="13">
      <c r="A13" s="13" t="inlineStr">
        <is>
          <t>1350</t>
        </is>
      </c>
      <c r="B13" s="13" t="inlineStr">
        <is>
          <t>CBA Brisbane ONS</t>
        </is>
      </c>
      <c r="C13" s="41">
        <f>SUMIFS(tbl_WIP[Amount],tbl_WIP[Job Number],$A13,tbl_WIP[Month],"&lt;&gt;",tbl_WIP[Month],"&lt;"&amp;$C$4)</f>
        <v/>
      </c>
      <c r="D13" s="41">
        <f>SUMIFS(tbl_WIP[Amount],tbl_WIP[Job Number],$A13,tbl_WIP[Month],$C$4)</f>
        <v/>
      </c>
      <c r="E13" s="41">
        <f>C13+D13</f>
        <v/>
      </c>
      <c r="F13" s="42">
        <f>IF(ROUND(C13,2)+ROUND(D13,2)=0,"","yes")</f>
        <v/>
      </c>
      <c r="G13" s="43" t="n"/>
      <c r="H13" s="41">
        <f>IF($G13="","",$E13-$G13)</f>
        <v/>
      </c>
    </row>
    <row r="14">
      <c r="A14" s="13" t="inlineStr">
        <is>
          <t>1400</t>
        </is>
      </c>
      <c r="B14" s="13" t="inlineStr">
        <is>
          <t>DTTL Mel Tech FT 2</t>
        </is>
      </c>
      <c r="C14" s="41">
        <f>SUMIFS(tbl_WIP[Amount],tbl_WIP[Job Number],$A14,tbl_WIP[Month],"&lt;&gt;",tbl_WIP[Month],"&lt;"&amp;$C$4)</f>
        <v/>
      </c>
      <c r="D14" s="41">
        <f>SUMIFS(tbl_WIP[Amount],tbl_WIP[Job Number],$A14,tbl_WIP[Month],$C$4)</f>
        <v/>
      </c>
      <c r="E14" s="41">
        <f>C14+D14</f>
        <v/>
      </c>
      <c r="F14" s="42">
        <f>IF(ROUND(C14,2)+ROUND(D14,2)=0,"","yes")</f>
        <v/>
      </c>
      <c r="G14" s="43" t="n"/>
      <c r="H14" s="41">
        <f>IF($G14="","",$E14-$G14)</f>
        <v/>
      </c>
    </row>
    <row r="15">
      <c r="A15" s="13" t="inlineStr">
        <is>
          <t>1401</t>
        </is>
      </c>
      <c r="B15" s="13" t="inlineStr">
        <is>
          <t>DTTL SYD FT Tech 2</t>
        </is>
      </c>
      <c r="C15" s="41">
        <f>SUMIFS(tbl_WIP[Amount],tbl_WIP[Job Number],$A15,tbl_WIP[Month],"&lt;&gt;",tbl_WIP[Month],"&lt;"&amp;$C$4)</f>
        <v/>
      </c>
      <c r="D15" s="41">
        <f>SUMIFS(tbl_WIP[Amount],tbl_WIP[Job Number],$A15,tbl_WIP[Month],$C$4)</f>
        <v/>
      </c>
      <c r="E15" s="41">
        <f>C15+D15</f>
        <v/>
      </c>
      <c r="F15" s="42">
        <f>IF(ROUND(C15,2)+ROUND(D15,2)=0,"","yes")</f>
        <v/>
      </c>
      <c r="G15" s="43" t="n"/>
      <c r="H15" s="41">
        <f>IF($G15="","",$E15-$G15)</f>
        <v/>
      </c>
    </row>
    <row r="16">
      <c r="A16" s="13" t="inlineStr">
        <is>
          <t>1530</t>
        </is>
      </c>
      <c r="B16" s="13" t="inlineStr">
        <is>
          <t>DTTL BNE Onsite</t>
        </is>
      </c>
      <c r="C16" s="41">
        <f>SUMIFS(tbl_WIP[Amount],tbl_WIP[Job Number],$A16,tbl_WIP[Month],"&lt;&gt;",tbl_WIP[Month],"&lt;"&amp;$C$4)</f>
        <v/>
      </c>
      <c r="D16" s="41">
        <f>SUMIFS(tbl_WIP[Amount],tbl_WIP[Job Number],$A16,tbl_WIP[Month],$C$4)</f>
        <v/>
      </c>
      <c r="E16" s="41">
        <f>C16+D16</f>
        <v/>
      </c>
      <c r="F16" s="42">
        <f>IF(ROUND(C16,2)+ROUND(D16,2)=0,"","yes")</f>
        <v/>
      </c>
      <c r="G16" s="43" t="n"/>
      <c r="H16" s="41">
        <f>IF($G16="","",$E16-$G16)</f>
        <v/>
      </c>
    </row>
    <row r="17">
      <c r="A17" s="13" t="inlineStr">
        <is>
          <t>1668</t>
        </is>
      </c>
      <c r="B17" s="13" t="inlineStr">
        <is>
          <t>CBA Dedicated Tech</t>
        </is>
      </c>
      <c r="C17" s="41">
        <f>SUMIFS(tbl_WIP[Amount],tbl_WIP[Job Number],$A17,tbl_WIP[Month],"&lt;&gt;",tbl_WIP[Month],"&lt;"&amp;$C$4)</f>
        <v/>
      </c>
      <c r="D17" s="41">
        <f>SUMIFS(tbl_WIP[Amount],tbl_WIP[Job Number],$A17,tbl_WIP[Month],$C$4)</f>
        <v/>
      </c>
      <c r="E17" s="41">
        <f>C17+D17</f>
        <v/>
      </c>
      <c r="F17" s="42">
        <f>IF(ROUND(C17,2)+ROUND(D17,2)=0,"","yes")</f>
        <v/>
      </c>
      <c r="G17" s="43" t="n"/>
      <c r="H17" s="41">
        <f>IF($G17="","",$E17-$G17)</f>
        <v/>
      </c>
    </row>
    <row r="18">
      <c r="A18" s="13" t="inlineStr">
        <is>
          <t>1750</t>
        </is>
      </c>
      <c r="B18" s="13" t="inlineStr">
        <is>
          <t>Bankwest Spotify</t>
        </is>
      </c>
      <c r="C18" s="41">
        <f>SUMIFS(tbl_WIP[Amount],tbl_WIP[Job Number],$A18,tbl_WIP[Month],"&lt;&gt;",tbl_WIP[Month],"&lt;"&amp;$C$4)</f>
        <v/>
      </c>
      <c r="D18" s="41">
        <f>SUMIFS(tbl_WIP[Amount],tbl_WIP[Job Number],$A18,tbl_WIP[Month],$C$4)</f>
        <v/>
      </c>
      <c r="E18" s="41">
        <f>C18+D18</f>
        <v/>
      </c>
      <c r="F18" s="42">
        <f>IF(ROUND(C18,2)+ROUND(D18,2)=0,"","yes")</f>
        <v/>
      </c>
      <c r="G18" s="43" t="n"/>
      <c r="H18" s="41">
        <f>IF($G18="","",$E18-$G18)</f>
        <v/>
      </c>
    </row>
    <row r="19">
      <c r="A19" s="13" t="inlineStr">
        <is>
          <t>1755</t>
        </is>
      </c>
      <c r="B19" s="13" t="inlineStr">
        <is>
          <t>CBA Spotify</t>
        </is>
      </c>
      <c r="C19" s="41">
        <f>SUMIFS(tbl_WIP[Amount],tbl_WIP[Job Number],$A19,tbl_WIP[Month],"&lt;&gt;",tbl_WIP[Month],"&lt;"&amp;$C$4)</f>
        <v/>
      </c>
      <c r="D19" s="41">
        <f>SUMIFS(tbl_WIP[Amount],tbl_WIP[Job Number],$A19,tbl_WIP[Month],$C$4)</f>
        <v/>
      </c>
      <c r="E19" s="41">
        <f>C19+D19</f>
        <v/>
      </c>
      <c r="F19" s="42">
        <f>IF(ROUND(C19,2)+ROUND(D19,2)=0,"","yes")</f>
        <v/>
      </c>
      <c r="G19" s="43" t="n"/>
      <c r="H19" s="41">
        <f>IF($G19="","",$E19-$G19)</f>
        <v/>
      </c>
    </row>
    <row r="20">
      <c r="A20" s="13" t="inlineStr">
        <is>
          <t>1771</t>
        </is>
      </c>
      <c r="B20" s="13" t="inlineStr">
        <is>
          <t>Integration - Training</t>
        </is>
      </c>
      <c r="C20" s="41">
        <f>SUMIFS(tbl_WIP[Amount],tbl_WIP[Job Number],$A20,tbl_WIP[Month],"&lt;&gt;",tbl_WIP[Month],"&lt;"&amp;$C$4)</f>
        <v/>
      </c>
      <c r="D20" s="41">
        <f>SUMIFS(tbl_WIP[Amount],tbl_WIP[Job Number],$A20,tbl_WIP[Month],$C$4)</f>
        <v/>
      </c>
      <c r="E20" s="41">
        <f>C20+D20</f>
        <v/>
      </c>
      <c r="F20" s="42">
        <f>IF(ROUND(C20,2)+ROUND(D20,2)=0,"","yes")</f>
        <v/>
      </c>
      <c r="G20" s="43" t="n"/>
      <c r="H20" s="41">
        <f>IF($G20="","",$E20-$G20)</f>
        <v/>
      </c>
    </row>
    <row r="21">
      <c r="A21" s="13" t="inlineStr">
        <is>
          <t>1862</t>
        </is>
      </c>
      <c r="B21" s="13" t="inlineStr">
        <is>
          <t>DTTL ADL Onsite</t>
        </is>
      </c>
      <c r="C21" s="41">
        <f>SUMIFS(tbl_WIP[Amount],tbl_WIP[Job Number],$A21,tbl_WIP[Month],"&lt;&gt;",tbl_WIP[Month],"&lt;"&amp;$C$4)</f>
        <v/>
      </c>
      <c r="D21" s="41">
        <f>SUMIFS(tbl_WIP[Amount],tbl_WIP[Job Number],$A21,tbl_WIP[Month],$C$4)</f>
        <v/>
      </c>
      <c r="E21" s="41">
        <f>C21+D21</f>
        <v/>
      </c>
      <c r="F21" s="42">
        <f>IF(ROUND(C21,2)+ROUND(D21,2)=0,"","yes")</f>
        <v/>
      </c>
      <c r="G21" s="43" t="n"/>
      <c r="H21" s="41">
        <f>IF($G21="","",$E21-$G21)</f>
        <v/>
      </c>
    </row>
    <row r="22">
      <c r="A22" s="13" t="inlineStr">
        <is>
          <t>20250731</t>
        </is>
      </c>
      <c r="B22" s="13" t="inlineStr">
        <is>
          <t>PWC National Pool of Hours</t>
        </is>
      </c>
      <c r="C22" s="41">
        <f>SUMIFS(tbl_WIP[Amount],tbl_WIP[Job Number],$A22,tbl_WIP[Month],"&lt;&gt;",tbl_WIP[Month],"&lt;"&amp;$C$4)</f>
        <v/>
      </c>
      <c r="D22" s="41">
        <f>SUMIFS(tbl_WIP[Amount],tbl_WIP[Job Number],$A22,tbl_WIP[Month],$C$4)</f>
        <v/>
      </c>
      <c r="E22" s="41">
        <f>C22+D22</f>
        <v/>
      </c>
      <c r="F22" s="42">
        <f>IF(ROUND(C22,2)+ROUND(D22,2)=0,"","yes")</f>
        <v/>
      </c>
      <c r="G22" s="43" t="n"/>
      <c r="H22" s="41">
        <f>IF($G22="","",$E22-$G22)</f>
        <v/>
      </c>
    </row>
    <row r="23">
      <c r="A23" s="13" t="inlineStr">
        <is>
          <t>2026021101</t>
        </is>
      </c>
      <c r="B23" s="13" t="inlineStr">
        <is>
          <t>AusPayNet Quarterly AV Support &amp; Maintenance 2026</t>
        </is>
      </c>
      <c r="C23" s="41">
        <f>SUMIFS(tbl_WIP[Amount],tbl_WIP[Job Number],$A23,tbl_WIP[Month],"&lt;&gt;",tbl_WIP[Month],"&lt;"&amp;$C$4)</f>
        <v/>
      </c>
      <c r="D23" s="41">
        <f>SUMIFS(tbl_WIP[Amount],tbl_WIP[Job Number],$A23,tbl_WIP[Month],$C$4)</f>
        <v/>
      </c>
      <c r="E23" s="41">
        <f>C23+D23</f>
        <v/>
      </c>
      <c r="F23" s="42">
        <f>IF(ROUND(C23,2)+ROUND(D23,2)=0,"","yes")</f>
        <v/>
      </c>
      <c r="G23" s="43" t="n"/>
      <c r="H23" s="41">
        <f>IF($G23="","",$E23-$G23)</f>
        <v/>
      </c>
    </row>
    <row r="24">
      <c r="A24" s="13" t="inlineStr">
        <is>
          <t>20260801</t>
        </is>
      </c>
      <c r="B24" s="13" t="inlineStr">
        <is>
          <t>CTS Day 2026</t>
        </is>
      </c>
      <c r="C24" s="41">
        <f>SUMIFS(tbl_WIP[Amount],tbl_WIP[Job Number],$A24,tbl_WIP[Month],"&lt;&gt;",tbl_WIP[Month],"&lt;"&amp;$C$4)</f>
        <v/>
      </c>
      <c r="D24" s="41">
        <f>SUMIFS(tbl_WIP[Amount],tbl_WIP[Job Number],$A24,tbl_WIP[Month],$C$4)</f>
        <v/>
      </c>
      <c r="E24" s="41">
        <f>C24+D24</f>
        <v/>
      </c>
      <c r="F24" s="42">
        <f>IF(ROUND(C24,2)+ROUND(D24,2)=0,"","yes")</f>
        <v/>
      </c>
      <c r="G24" s="43" t="n"/>
      <c r="H24" s="41">
        <f>IF($G24="","",$E24-$G24)</f>
        <v/>
      </c>
    </row>
    <row r="25">
      <c r="A25" s="13" t="inlineStr">
        <is>
          <t>2192</t>
        </is>
      </c>
      <c r="B25" s="13" t="inlineStr">
        <is>
          <t>Bankwest Additional Tech</t>
        </is>
      </c>
      <c r="C25" s="41">
        <f>SUMIFS(tbl_WIP[Amount],tbl_WIP[Job Number],$A25,tbl_WIP[Month],"&lt;&gt;",tbl_WIP[Month],"&lt;"&amp;$C$4)</f>
        <v/>
      </c>
      <c r="D25" s="41">
        <f>SUMIFS(tbl_WIP[Amount],tbl_WIP[Job Number],$A25,tbl_WIP[Month],$C$4)</f>
        <v/>
      </c>
      <c r="E25" s="41">
        <f>C25+D25</f>
        <v/>
      </c>
      <c r="F25" s="42">
        <f>IF(ROUND(C25,2)+ROUND(D25,2)=0,"","yes")</f>
        <v/>
      </c>
      <c r="G25" s="43" t="n"/>
      <c r="H25" s="41">
        <f>IF($G25="","",$E25-$G25)</f>
        <v/>
      </c>
    </row>
    <row r="26">
      <c r="A26" s="13" t="inlineStr">
        <is>
          <t>2347</t>
        </is>
      </c>
      <c r="B26" s="13" t="inlineStr">
        <is>
          <t>DTTL Dedicated Tech</t>
        </is>
      </c>
      <c r="C26" s="41">
        <f>SUMIFS(tbl_WIP[Amount],tbl_WIP[Job Number],$A26,tbl_WIP[Month],"&lt;&gt;",tbl_WIP[Month],"&lt;"&amp;$C$4)</f>
        <v/>
      </c>
      <c r="D26" s="41">
        <f>SUMIFS(tbl_WIP[Amount],tbl_WIP[Job Number],$A26,tbl_WIP[Month],$C$4)</f>
        <v/>
      </c>
      <c r="E26" s="41">
        <f>C26+D26</f>
        <v/>
      </c>
      <c r="F26" s="42">
        <f>IF(ROUND(C26,2)+ROUND(D26,2)=0,"","yes")</f>
        <v/>
      </c>
      <c r="G26" s="43" t="n"/>
      <c r="H26" s="41">
        <f>IF($G26="","",$E26-$G26)</f>
        <v/>
      </c>
    </row>
    <row r="27">
      <c r="A27" s="13" t="inlineStr">
        <is>
          <t>2392</t>
        </is>
      </c>
      <c r="B27" s="13" t="inlineStr">
        <is>
          <t>PWC – MEL Technician</t>
        </is>
      </c>
      <c r="C27" s="41">
        <f>SUMIFS(tbl_WIP[Amount],tbl_WIP[Job Number],$A27,tbl_WIP[Month],"&lt;&gt;",tbl_WIP[Month],"&lt;"&amp;$C$4)</f>
        <v/>
      </c>
      <c r="D27" s="41">
        <f>SUMIFS(tbl_WIP[Amount],tbl_WIP[Job Number],$A27,tbl_WIP[Month],$C$4)</f>
        <v/>
      </c>
      <c r="E27" s="41">
        <f>C27+D27</f>
        <v/>
      </c>
      <c r="F27" s="42">
        <f>IF(ROUND(C27,2)+ROUND(D27,2)=0,"","yes")</f>
        <v/>
      </c>
      <c r="G27" s="43" t="n"/>
      <c r="H27" s="41">
        <f>IF($G27="","",$E27-$G27)</f>
        <v/>
      </c>
    </row>
    <row r="28">
      <c r="A28" s="13" t="inlineStr">
        <is>
          <t>2402</t>
        </is>
      </c>
      <c r="B28" s="13" t="inlineStr">
        <is>
          <t>DTTL SYD FT Tech 1</t>
        </is>
      </c>
      <c r="C28" s="41">
        <f>SUMIFS(tbl_WIP[Amount],tbl_WIP[Job Number],$A28,tbl_WIP[Month],"&lt;&gt;",tbl_WIP[Month],"&lt;"&amp;$C$4)</f>
        <v/>
      </c>
      <c r="D28" s="41">
        <f>SUMIFS(tbl_WIP[Amount],tbl_WIP[Job Number],$A28,tbl_WIP[Month],$C$4)</f>
        <v/>
      </c>
      <c r="E28" s="41">
        <f>C28+D28</f>
        <v/>
      </c>
      <c r="F28" s="42">
        <f>IF(ROUND(C28,2)+ROUND(D28,2)=0,"","yes")</f>
        <v/>
      </c>
      <c r="G28" s="43" t="n"/>
      <c r="H28" s="41">
        <f>IF($G28="","",$E28-$G28)</f>
        <v/>
      </c>
    </row>
    <row r="29">
      <c r="A29" s="13" t="inlineStr">
        <is>
          <t>2407312</t>
        </is>
      </c>
      <c r="B29" s="13" t="inlineStr">
        <is>
          <t>Hills Performance Centre</t>
        </is>
      </c>
      <c r="C29" s="41">
        <f>SUMIFS(tbl_WIP[Amount],tbl_WIP[Job Number],$A29,tbl_WIP[Month],"&lt;&gt;",tbl_WIP[Month],"&lt;"&amp;$C$4)</f>
        <v/>
      </c>
      <c r="D29" s="41">
        <f>SUMIFS(tbl_WIP[Amount],tbl_WIP[Job Number],$A29,tbl_WIP[Month],$C$4)</f>
        <v/>
      </c>
      <c r="E29" s="41">
        <f>C29+D29</f>
        <v/>
      </c>
      <c r="F29" s="42">
        <f>IF(ROUND(C29,2)+ROUND(D29,2)=0,"","yes")</f>
        <v/>
      </c>
      <c r="G29" s="43" t="n"/>
      <c r="H29" s="41">
        <f>IF($G29="","",$E29-$G29)</f>
        <v/>
      </c>
    </row>
    <row r="30">
      <c r="A30" s="13" t="inlineStr">
        <is>
          <t>24102501</t>
        </is>
      </c>
      <c r="B30" s="13" t="inlineStr">
        <is>
          <t>PWC - MEL Tech 12Months</t>
        </is>
      </c>
      <c r="C30" s="41">
        <f>SUMIFS(tbl_WIP[Amount],tbl_WIP[Job Number],$A30,tbl_WIP[Month],"&lt;&gt;",tbl_WIP[Month],"&lt;"&amp;$C$4)</f>
        <v/>
      </c>
      <c r="D30" s="41">
        <f>SUMIFS(tbl_WIP[Amount],tbl_WIP[Job Number],$A30,tbl_WIP[Month],$C$4)</f>
        <v/>
      </c>
      <c r="E30" s="41">
        <f>C30+D30</f>
        <v/>
      </c>
      <c r="F30" s="42">
        <f>IF(ROUND(C30,2)+ROUND(D30,2)=0,"","yes")</f>
        <v/>
      </c>
      <c r="G30" s="43" t="n"/>
      <c r="H30" s="41">
        <f>IF($G30="","",$E30-$G30)</f>
        <v/>
      </c>
    </row>
    <row r="31">
      <c r="A31" s="13" t="inlineStr">
        <is>
          <t>24121001</t>
        </is>
      </c>
      <c r="B31" s="13" t="inlineStr">
        <is>
          <t>BW PER Studio Equipment Supply</t>
        </is>
      </c>
      <c r="C31" s="41">
        <f>SUMIFS(tbl_WIP[Amount],tbl_WIP[Job Number],$A31,tbl_WIP[Month],"&lt;&gt;",tbl_WIP[Month],"&lt;"&amp;$C$4)</f>
        <v/>
      </c>
      <c r="D31" s="41">
        <f>SUMIFS(tbl_WIP[Amount],tbl_WIP[Job Number],$A31,tbl_WIP[Month],$C$4)</f>
        <v/>
      </c>
      <c r="E31" s="41">
        <f>C31+D31</f>
        <v/>
      </c>
      <c r="F31" s="42">
        <f>IF(ROUND(C31,2)+ROUND(D31,2)=0,"","yes")</f>
        <v/>
      </c>
      <c r="G31" s="43" t="n"/>
      <c r="H31" s="41">
        <f>IF($G31="","",$E31-$G31)</f>
        <v/>
      </c>
    </row>
    <row r="32">
      <c r="A32" s="13" t="inlineStr">
        <is>
          <t>2479</t>
        </is>
      </c>
      <c r="B32" s="13" t="inlineStr">
        <is>
          <t>CONSULTING - Quotes</t>
        </is>
      </c>
      <c r="C32" s="41">
        <f>SUMIFS(tbl_WIP[Amount],tbl_WIP[Job Number],$A32,tbl_WIP[Month],"&lt;&gt;",tbl_WIP[Month],"&lt;"&amp;$C$4)</f>
        <v/>
      </c>
      <c r="D32" s="41">
        <f>SUMIFS(tbl_WIP[Amount],tbl_WIP[Job Number],$A32,tbl_WIP[Month],$C$4)</f>
        <v/>
      </c>
      <c r="E32" s="41">
        <f>C32+D32</f>
        <v/>
      </c>
      <c r="F32" s="42">
        <f>IF(ROUND(C32,2)+ROUND(D32,2)=0,"","yes")</f>
        <v/>
      </c>
      <c r="G32" s="43" t="n"/>
      <c r="H32" s="41">
        <f>IF($G32="","",$E32-$G32)</f>
        <v/>
      </c>
    </row>
    <row r="33">
      <c r="A33" s="13" t="inlineStr">
        <is>
          <t>2480</t>
        </is>
      </c>
      <c r="B33" s="13" t="inlineStr">
        <is>
          <t>ONSITE - Quotes</t>
        </is>
      </c>
      <c r="C33" s="41">
        <f>SUMIFS(tbl_WIP[Amount],tbl_WIP[Job Number],$A33,tbl_WIP[Month],"&lt;&gt;",tbl_WIP[Month],"&lt;"&amp;$C$4)</f>
        <v/>
      </c>
      <c r="D33" s="41">
        <f>SUMIFS(tbl_WIP[Amount],tbl_WIP[Job Number],$A33,tbl_WIP[Month],$C$4)</f>
        <v/>
      </c>
      <c r="E33" s="41">
        <f>C33+D33</f>
        <v/>
      </c>
      <c r="F33" s="42">
        <f>IF(ROUND(C33,2)+ROUND(D33,2)=0,"","yes")</f>
        <v/>
      </c>
      <c r="G33" s="43" t="n"/>
      <c r="H33" s="41">
        <f>IF($G33="","",$E33-$G33)</f>
        <v/>
      </c>
    </row>
    <row r="34">
      <c r="A34" s="13" t="inlineStr">
        <is>
          <t>2481</t>
        </is>
      </c>
      <c r="B34" s="13" t="inlineStr">
        <is>
          <t>Production - Quotes</t>
        </is>
      </c>
      <c r="C34" s="41">
        <f>SUMIFS(tbl_WIP[Amount],tbl_WIP[Job Number],$A34,tbl_WIP[Month],"&lt;&gt;",tbl_WIP[Month],"&lt;"&amp;$C$4)</f>
        <v/>
      </c>
      <c r="D34" s="41">
        <f>SUMIFS(tbl_WIP[Amount],tbl_WIP[Job Number],$A34,tbl_WIP[Month],$C$4)</f>
        <v/>
      </c>
      <c r="E34" s="41">
        <f>C34+D34</f>
        <v/>
      </c>
      <c r="F34" s="42">
        <f>IF(ROUND(C34,2)+ROUND(D34,2)=0,"","yes")</f>
        <v/>
      </c>
      <c r="G34" s="43" t="n"/>
      <c r="H34" s="41">
        <f>IF($G34="","",$E34-$G34)</f>
        <v/>
      </c>
    </row>
    <row r="35">
      <c r="A35" s="13" t="inlineStr">
        <is>
          <t>2482</t>
        </is>
      </c>
      <c r="B35" s="13" t="inlineStr">
        <is>
          <t>VIDEO - Quotes</t>
        </is>
      </c>
      <c r="C35" s="41">
        <f>SUMIFS(tbl_WIP[Amount],tbl_WIP[Job Number],$A35,tbl_WIP[Month],"&lt;&gt;",tbl_WIP[Month],"&lt;"&amp;$C$4)</f>
        <v/>
      </c>
      <c r="D35" s="41">
        <f>SUMIFS(tbl_WIP[Amount],tbl_WIP[Job Number],$A35,tbl_WIP[Month],$C$4)</f>
        <v/>
      </c>
      <c r="E35" s="41">
        <f>C35+D35</f>
        <v/>
      </c>
      <c r="F35" s="42">
        <f>IF(ROUND(C35,2)+ROUND(D35,2)=0,"","yes")</f>
        <v/>
      </c>
      <c r="G35" s="43" t="n"/>
      <c r="H35" s="41">
        <f>IF($G35="","",$E35-$G35)</f>
        <v/>
      </c>
    </row>
    <row r="36">
      <c r="A36" s="13" t="inlineStr">
        <is>
          <t>2488</t>
        </is>
      </c>
      <c r="B36" s="13" t="inlineStr">
        <is>
          <t>PWC IT P/T BNE</t>
        </is>
      </c>
      <c r="C36" s="41">
        <f>SUMIFS(tbl_WIP[Amount],tbl_WIP[Job Number],$A36,tbl_WIP[Month],"&lt;&gt;",tbl_WIP[Month],"&lt;"&amp;$C$4)</f>
        <v/>
      </c>
      <c r="D36" s="41">
        <f>SUMIFS(tbl_WIP[Amount],tbl_WIP[Job Number],$A36,tbl_WIP[Month],$C$4)</f>
        <v/>
      </c>
      <c r="E36" s="41">
        <f>C36+D36</f>
        <v/>
      </c>
      <c r="F36" s="42">
        <f>IF(ROUND(C36,2)+ROUND(D36,2)=0,"","yes")</f>
        <v/>
      </c>
      <c r="G36" s="43" t="n"/>
      <c r="H36" s="41">
        <f>IF($G36="","",$E36-$G36)</f>
        <v/>
      </c>
    </row>
    <row r="37">
      <c r="A37" s="13" t="inlineStr">
        <is>
          <t>25011601</t>
        </is>
      </c>
      <c r="B37" s="13" t="inlineStr">
        <is>
          <t>DTTL Hobart ITS AV Ref</t>
        </is>
      </c>
      <c r="C37" s="41">
        <f>SUMIFS(tbl_WIP[Amount],tbl_WIP[Job Number],$A37,tbl_WIP[Month],"&lt;&gt;",tbl_WIP[Month],"&lt;"&amp;$C$4)</f>
        <v/>
      </c>
      <c r="D37" s="41">
        <f>SUMIFS(tbl_WIP[Amount],tbl_WIP[Job Number],$A37,tbl_WIP[Month],$C$4)</f>
        <v/>
      </c>
      <c r="E37" s="41">
        <f>C37+D37</f>
        <v/>
      </c>
      <c r="F37" s="42">
        <f>IF(ROUND(C37,2)+ROUND(D37,2)=0,"","yes")</f>
        <v/>
      </c>
      <c r="G37" s="43" t="n"/>
      <c r="H37" s="41">
        <f>IF($G37="","",$E37-$G37)</f>
        <v/>
      </c>
    </row>
    <row r="38">
      <c r="A38" s="13" t="inlineStr">
        <is>
          <t>2501738</t>
        </is>
      </c>
      <c r="B38" s="13" t="inlineStr">
        <is>
          <t>APA HYR25 &amp; FYR25</t>
        </is>
      </c>
      <c r="C38" s="41">
        <f>SUMIFS(tbl_WIP[Amount],tbl_WIP[Job Number],$A38,tbl_WIP[Month],"&lt;&gt;",tbl_WIP[Month],"&lt;"&amp;$C$4)</f>
        <v/>
      </c>
      <c r="D38" s="41">
        <f>SUMIFS(tbl_WIP[Amount],tbl_WIP[Job Number],$A38,tbl_WIP[Month],$C$4)</f>
        <v/>
      </c>
      <c r="E38" s="41">
        <f>C38+D38</f>
        <v/>
      </c>
      <c r="F38" s="42">
        <f>IF(ROUND(C38,2)+ROUND(D38,2)=0,"","yes")</f>
        <v/>
      </c>
      <c r="G38" s="43" t="n"/>
      <c r="H38" s="41">
        <f>IF($G38="","",$E38-$G38)</f>
        <v/>
      </c>
    </row>
    <row r="39">
      <c r="A39" s="13" t="inlineStr">
        <is>
          <t>2502</t>
        </is>
      </c>
      <c r="B39" s="13" t="inlineStr">
        <is>
          <t>ONS CBA (non-chargeable)</t>
        </is>
      </c>
      <c r="C39" s="41">
        <f>SUMIFS(tbl_WIP[Amount],tbl_WIP[Job Number],$A39,tbl_WIP[Month],"&lt;&gt;",tbl_WIP[Month],"&lt;"&amp;$C$4)</f>
        <v/>
      </c>
      <c r="D39" s="41">
        <f>SUMIFS(tbl_WIP[Amount],tbl_WIP[Job Number],$A39,tbl_WIP[Month],$C$4)</f>
        <v/>
      </c>
      <c r="E39" s="41">
        <f>C39+D39</f>
        <v/>
      </c>
      <c r="F39" s="42">
        <f>IF(ROUND(C39,2)+ROUND(D39,2)=0,"","yes")</f>
        <v/>
      </c>
      <c r="G39" s="43" t="n"/>
      <c r="H39" s="41">
        <f>IF($G39="","",$E39-$G39)</f>
        <v/>
      </c>
    </row>
    <row r="40">
      <c r="A40" s="13" t="inlineStr">
        <is>
          <t>25021901</t>
        </is>
      </c>
      <c r="B40" s="13" t="inlineStr">
        <is>
          <t>DAFF Technology Standard</t>
        </is>
      </c>
      <c r="C40" s="41">
        <f>SUMIFS(tbl_WIP[Amount],tbl_WIP[Job Number],$A40,tbl_WIP[Month],"&lt;&gt;",tbl_WIP[Month],"&lt;"&amp;$C$4)</f>
        <v/>
      </c>
      <c r="D40" s="41">
        <f>SUMIFS(tbl_WIP[Amount],tbl_WIP[Job Number],$A40,tbl_WIP[Month],$C$4)</f>
        <v/>
      </c>
      <c r="E40" s="41">
        <f>C40+D40</f>
        <v/>
      </c>
      <c r="F40" s="42">
        <f>IF(ROUND(C40,2)+ROUND(D40,2)=0,"","yes")</f>
        <v/>
      </c>
      <c r="G40" s="43" t="n"/>
      <c r="H40" s="41">
        <f>IF($G40="","",$E40-$G40)</f>
        <v/>
      </c>
    </row>
    <row r="41">
      <c r="A41" s="13" t="inlineStr">
        <is>
          <t>2503</t>
        </is>
      </c>
      <c r="B41" s="13" t="inlineStr">
        <is>
          <t>ONS DTTL (non-chargeable)</t>
        </is>
      </c>
      <c r="C41" s="41">
        <f>SUMIFS(tbl_WIP[Amount],tbl_WIP[Job Number],$A41,tbl_WIP[Month],"&lt;&gt;",tbl_WIP[Month],"&lt;"&amp;$C$4)</f>
        <v/>
      </c>
      <c r="D41" s="41">
        <f>SUMIFS(tbl_WIP[Amount],tbl_WIP[Job Number],$A41,tbl_WIP[Month],$C$4)</f>
        <v/>
      </c>
      <c r="E41" s="41">
        <f>C41+D41</f>
        <v/>
      </c>
      <c r="F41" s="42">
        <f>IF(ROUND(C41,2)+ROUND(D41,2)=0,"","yes")</f>
        <v/>
      </c>
      <c r="G41" s="43" t="n"/>
      <c r="H41" s="41">
        <f>IF($G41="","",$E41-$G41)</f>
        <v/>
      </c>
    </row>
    <row r="42">
      <c r="A42" s="13" t="inlineStr">
        <is>
          <t>25032701</t>
        </is>
      </c>
      <c r="B42" s="13" t="inlineStr">
        <is>
          <t>St Catherines Chargeable</t>
        </is>
      </c>
      <c r="C42" s="41">
        <f>SUMIFS(tbl_WIP[Amount],tbl_WIP[Job Number],$A42,tbl_WIP[Month],"&lt;&gt;",tbl_WIP[Month],"&lt;"&amp;$C$4)</f>
        <v/>
      </c>
      <c r="D42" s="41">
        <f>SUMIFS(tbl_WIP[Amount],tbl_WIP[Job Number],$A42,tbl_WIP[Month],$C$4)</f>
        <v/>
      </c>
      <c r="E42" s="41">
        <f>C42+D42</f>
        <v/>
      </c>
      <c r="F42" s="42">
        <f>IF(ROUND(C42,2)+ROUND(D42,2)=0,"","yes")</f>
        <v/>
      </c>
      <c r="G42" s="43" t="n"/>
      <c r="H42" s="41">
        <f>IF($G42="","",$E42-$G42)</f>
        <v/>
      </c>
    </row>
    <row r="43">
      <c r="A43" s="13" t="inlineStr">
        <is>
          <t>25032701NC</t>
        </is>
      </c>
      <c r="B43" s="13" t="inlineStr">
        <is>
          <t>St Catherines Non-Chgble</t>
        </is>
      </c>
      <c r="C43" s="41">
        <f>SUMIFS(tbl_WIP[Amount],tbl_WIP[Job Number],$A43,tbl_WIP[Month],"&lt;&gt;",tbl_WIP[Month],"&lt;"&amp;$C$4)</f>
        <v/>
      </c>
      <c r="D43" s="41">
        <f>SUMIFS(tbl_WIP[Amount],tbl_WIP[Job Number],$A43,tbl_WIP[Month],$C$4)</f>
        <v/>
      </c>
      <c r="E43" s="41">
        <f>C43+D43</f>
        <v/>
      </c>
      <c r="F43" s="42">
        <f>IF(ROUND(C43,2)+ROUND(D43,2)=0,"","yes")</f>
        <v/>
      </c>
      <c r="G43" s="43" t="n"/>
      <c r="H43" s="41">
        <f>IF($G43="","",$E43-$G43)</f>
        <v/>
      </c>
    </row>
    <row r="44">
      <c r="A44" s="13" t="inlineStr">
        <is>
          <t>2504</t>
        </is>
      </c>
      <c r="B44" s="13" t="inlineStr">
        <is>
          <t>ONS WBC (non-chargeable)</t>
        </is>
      </c>
      <c r="C44" s="41">
        <f>SUMIFS(tbl_WIP[Amount],tbl_WIP[Job Number],$A44,tbl_WIP[Month],"&lt;&gt;",tbl_WIP[Month],"&lt;"&amp;$C$4)</f>
        <v/>
      </c>
      <c r="D44" s="41">
        <f>SUMIFS(tbl_WIP[Amount],tbl_WIP[Job Number],$A44,tbl_WIP[Month],$C$4)</f>
        <v/>
      </c>
      <c r="E44" s="41">
        <f>C44+D44</f>
        <v/>
      </c>
      <c r="F44" s="42">
        <f>IF(ROUND(C44,2)+ROUND(D44,2)=0,"","yes")</f>
        <v/>
      </c>
      <c r="G44" s="43" t="n"/>
      <c r="H44" s="41">
        <f>IF($G44="","",$E44-$G44)</f>
        <v/>
      </c>
    </row>
    <row r="45">
      <c r="A45" s="13" t="inlineStr">
        <is>
          <t>25041502</t>
        </is>
      </c>
      <c r="B45" s="13" t="inlineStr">
        <is>
          <t>PDNSW DB License Ext</t>
        </is>
      </c>
      <c r="C45" s="41">
        <f>SUMIFS(tbl_WIP[Amount],tbl_WIP[Job Number],$A45,tbl_WIP[Month],"&lt;&gt;",tbl_WIP[Month],"&lt;"&amp;$C$4)</f>
        <v/>
      </c>
      <c r="D45" s="41">
        <f>SUMIFS(tbl_WIP[Amount],tbl_WIP[Job Number],$A45,tbl_WIP[Month],$C$4)</f>
        <v/>
      </c>
      <c r="E45" s="41">
        <f>C45+D45</f>
        <v/>
      </c>
      <c r="F45" s="42">
        <f>IF(ROUND(C45,2)+ROUND(D45,2)=0,"","yes")</f>
        <v/>
      </c>
      <c r="G45" s="43" t="n"/>
      <c r="H45" s="41">
        <f>IF($G45="","",$E45-$G45)</f>
        <v/>
      </c>
    </row>
    <row r="46">
      <c r="A46" s="13" t="inlineStr">
        <is>
          <t>2505</t>
        </is>
      </c>
      <c r="B46" s="13" t="inlineStr">
        <is>
          <t>ONS PWC (non-chargeable)</t>
        </is>
      </c>
      <c r="C46" s="41">
        <f>SUMIFS(tbl_WIP[Amount],tbl_WIP[Job Number],$A46,tbl_WIP[Month],"&lt;&gt;",tbl_WIP[Month],"&lt;"&amp;$C$4)</f>
        <v/>
      </c>
      <c r="D46" s="41">
        <f>SUMIFS(tbl_WIP[Amount],tbl_WIP[Job Number],$A46,tbl_WIP[Month],$C$4)</f>
        <v/>
      </c>
      <c r="E46" s="41">
        <f>C46+D46</f>
        <v/>
      </c>
      <c r="F46" s="42">
        <f>IF(ROUND(C46,2)+ROUND(D46,2)=0,"","yes")</f>
        <v/>
      </c>
      <c r="G46" s="43" t="n"/>
      <c r="H46" s="41">
        <f>IF($G46="","",$E46-$G46)</f>
        <v/>
      </c>
    </row>
    <row r="47">
      <c r="A47" s="13" t="inlineStr">
        <is>
          <t>25051302</t>
        </is>
      </c>
      <c r="B47" s="13" t="inlineStr">
        <is>
          <t>NSW Prop Bradfield Desk Booking + Penrith Additional</t>
        </is>
      </c>
      <c r="C47" s="41">
        <f>SUMIFS(tbl_WIP[Amount],tbl_WIP[Job Number],$A47,tbl_WIP[Month],"&lt;&gt;",tbl_WIP[Month],"&lt;"&amp;$C$4)</f>
        <v/>
      </c>
      <c r="D47" s="41">
        <f>SUMIFS(tbl_WIP[Amount],tbl_WIP[Job Number],$A47,tbl_WIP[Month],$C$4)</f>
        <v/>
      </c>
      <c r="E47" s="41">
        <f>C47+D47</f>
        <v/>
      </c>
      <c r="F47" s="42">
        <f>IF(ROUND(C47,2)+ROUND(D47,2)=0,"","yes")</f>
        <v/>
      </c>
      <c r="G47" s="43" t="n"/>
      <c r="H47" s="41">
        <f>IF($G47="","",$E47-$G47)</f>
        <v/>
      </c>
    </row>
    <row r="48">
      <c r="A48" s="13" t="inlineStr">
        <is>
          <t>25051403</t>
        </is>
      </c>
      <c r="B48" s="13" t="inlineStr">
        <is>
          <t>DTTL SYD Tech Supp TMT AP</t>
        </is>
      </c>
      <c r="C48" s="41">
        <f>SUMIFS(tbl_WIP[Amount],tbl_WIP[Job Number],$A48,tbl_WIP[Month],"&lt;&gt;",tbl_WIP[Month],"&lt;"&amp;$C$4)</f>
        <v/>
      </c>
      <c r="D48" s="41">
        <f>SUMIFS(tbl_WIP[Amount],tbl_WIP[Job Number],$A48,tbl_WIP[Month],$C$4)</f>
        <v/>
      </c>
      <c r="E48" s="41">
        <f>C48+D48</f>
        <v/>
      </c>
      <c r="F48" s="42">
        <f>IF(ROUND(C48,2)+ROUND(D48,2)=0,"","yes")</f>
        <v/>
      </c>
      <c r="G48" s="43" t="n"/>
      <c r="H48" s="41">
        <f>IF($G48="","",$E48-$G48)</f>
        <v/>
      </c>
    </row>
    <row r="49">
      <c r="A49" s="13" t="inlineStr">
        <is>
          <t>25052802</t>
        </is>
      </c>
      <c r="B49" s="13" t="inlineStr">
        <is>
          <t>Aus Retirement Trust Members Meeting 2025</t>
        </is>
      </c>
      <c r="C49" s="41">
        <f>SUMIFS(tbl_WIP[Amount],tbl_WIP[Job Number],$A49,tbl_WIP[Month],"&lt;&gt;",tbl_WIP[Month],"&lt;"&amp;$C$4)</f>
        <v/>
      </c>
      <c r="D49" s="41">
        <f>SUMIFS(tbl_WIP[Amount],tbl_WIP[Job Number],$A49,tbl_WIP[Month],$C$4)</f>
        <v/>
      </c>
      <c r="E49" s="41">
        <f>C49+D49</f>
        <v/>
      </c>
      <c r="F49" s="42">
        <f>IF(ROUND(C49,2)+ROUND(D49,2)=0,"","yes")</f>
        <v/>
      </c>
      <c r="G49" s="43" t="n"/>
      <c r="H49" s="41">
        <f>IF($G49="","",$E49-$G49)</f>
        <v/>
      </c>
    </row>
    <row r="50">
      <c r="A50" s="13" t="inlineStr">
        <is>
          <t>2505901</t>
        </is>
      </c>
      <c r="B50" s="13" t="inlineStr">
        <is>
          <t>COS Projector Lens Supply</t>
        </is>
      </c>
      <c r="C50" s="41">
        <f>SUMIFS(tbl_WIP[Amount],tbl_WIP[Job Number],$A50,tbl_WIP[Month],"&lt;&gt;",tbl_WIP[Month],"&lt;"&amp;$C$4)</f>
        <v/>
      </c>
      <c r="D50" s="41">
        <f>SUMIFS(tbl_WIP[Amount],tbl_WIP[Job Number],$A50,tbl_WIP[Month],$C$4)</f>
        <v/>
      </c>
      <c r="E50" s="41">
        <f>C50+D50</f>
        <v/>
      </c>
      <c r="F50" s="42">
        <f>IF(ROUND(C50,2)+ROUND(D50,2)=0,"","yes")</f>
        <v/>
      </c>
      <c r="G50" s="43" t="n"/>
      <c r="H50" s="41">
        <f>IF($G50="","",$E50-$G50)</f>
        <v/>
      </c>
    </row>
    <row r="51">
      <c r="A51" s="13" t="inlineStr">
        <is>
          <t>2506</t>
        </is>
      </c>
      <c r="B51" s="13" t="inlineStr">
        <is>
          <t>ONS BWEST (non-chargeable)</t>
        </is>
      </c>
      <c r="C51" s="41">
        <f>SUMIFS(tbl_WIP[Amount],tbl_WIP[Job Number],$A51,tbl_WIP[Month],"&lt;&gt;",tbl_WIP[Month],"&lt;"&amp;$C$4)</f>
        <v/>
      </c>
      <c r="D51" s="41">
        <f>SUMIFS(tbl_WIP[Amount],tbl_WIP[Job Number],$A51,tbl_WIP[Month],$C$4)</f>
        <v/>
      </c>
      <c r="E51" s="41">
        <f>C51+D51</f>
        <v/>
      </c>
      <c r="F51" s="42">
        <f>IF(ROUND(C51,2)+ROUND(D51,2)=0,"","yes")</f>
        <v/>
      </c>
      <c r="G51" s="43" t="n"/>
      <c r="H51" s="41">
        <f>IF($G51="","",$E51-$G51)</f>
        <v/>
      </c>
    </row>
    <row r="52">
      <c r="A52" s="13" t="inlineStr">
        <is>
          <t>25060301</t>
        </is>
      </c>
      <c r="B52" s="13" t="inlineStr">
        <is>
          <t>6PSQ L12 Desk Booking</t>
        </is>
      </c>
      <c r="C52" s="41">
        <f>SUMIFS(tbl_WIP[Amount],tbl_WIP[Job Number],$A52,tbl_WIP[Month],"&lt;&gt;",tbl_WIP[Month],"&lt;"&amp;$C$4)</f>
        <v/>
      </c>
      <c r="D52" s="41">
        <f>SUMIFS(tbl_WIP[Amount],tbl_WIP[Job Number],$A52,tbl_WIP[Month],$C$4)</f>
        <v/>
      </c>
      <c r="E52" s="41">
        <f>C52+D52</f>
        <v/>
      </c>
      <c r="F52" s="42">
        <f>IF(ROUND(C52,2)+ROUND(D52,2)=0,"","yes")</f>
        <v/>
      </c>
      <c r="G52" s="43" t="n"/>
      <c r="H52" s="41">
        <f>IF($G52="","",$E52-$G52)</f>
        <v/>
      </c>
    </row>
    <row r="53">
      <c r="A53" s="13" t="inlineStr">
        <is>
          <t>25060307</t>
        </is>
      </c>
      <c r="B53" s="13" t="inlineStr">
        <is>
          <t>DPIE Molesworth St D/B</t>
        </is>
      </c>
      <c r="C53" s="41">
        <f>SUMIFS(tbl_WIP[Amount],tbl_WIP[Job Number],$A53,tbl_WIP[Month],"&lt;&gt;",tbl_WIP[Month],"&lt;"&amp;$C$4)</f>
        <v/>
      </c>
      <c r="D53" s="41">
        <f>SUMIFS(tbl_WIP[Amount],tbl_WIP[Job Number],$A53,tbl_WIP[Month],$C$4)</f>
        <v/>
      </c>
      <c r="E53" s="41">
        <f>C53+D53</f>
        <v/>
      </c>
      <c r="F53" s="42">
        <f>IF(ROUND(C53,2)+ROUND(D53,2)=0,"","yes")</f>
        <v/>
      </c>
      <c r="G53" s="43" t="n"/>
      <c r="H53" s="41">
        <f>IF($G53="","",$E53-$G53)</f>
        <v/>
      </c>
    </row>
    <row r="54">
      <c r="A54" s="13" t="inlineStr">
        <is>
          <t>2506208</t>
        </is>
      </c>
      <c r="B54" s="13" t="inlineStr">
        <is>
          <t>CBA AGM 2026</t>
        </is>
      </c>
      <c r="C54" s="41">
        <f>SUMIFS(tbl_WIP[Amount],tbl_WIP[Job Number],$A54,tbl_WIP[Month],"&lt;&gt;",tbl_WIP[Month],"&lt;"&amp;$C$4)</f>
        <v/>
      </c>
      <c r="D54" s="41">
        <f>SUMIFS(tbl_WIP[Amount],tbl_WIP[Job Number],$A54,tbl_WIP[Month],$C$4)</f>
        <v/>
      </c>
      <c r="E54" s="41">
        <f>C54+D54</f>
        <v/>
      </c>
      <c r="F54" s="42">
        <f>IF(ROUND(C54,2)+ROUND(D54,2)=0,"","yes")</f>
        <v/>
      </c>
      <c r="G54" s="43" t="n"/>
      <c r="H54" s="41">
        <f>IF($G54="","",$E54-$G54)</f>
        <v/>
      </c>
    </row>
    <row r="55">
      <c r="A55" s="13" t="inlineStr">
        <is>
          <t>2506208V</t>
        </is>
      </c>
      <c r="B55" s="13" t="inlineStr">
        <is>
          <t>CBA AGM 2026</t>
        </is>
      </c>
      <c r="C55" s="41">
        <f>SUMIFS(tbl_WIP[Amount],tbl_WIP[Job Number],$A55,tbl_WIP[Month],"&lt;&gt;",tbl_WIP[Month],"&lt;"&amp;$C$4)</f>
        <v/>
      </c>
      <c r="D55" s="41">
        <f>SUMIFS(tbl_WIP[Amount],tbl_WIP[Job Number],$A55,tbl_WIP[Month],$C$4)</f>
        <v/>
      </c>
      <c r="E55" s="41">
        <f>C55+D55</f>
        <v/>
      </c>
      <c r="F55" s="42">
        <f>IF(ROUND(C55,2)+ROUND(D55,2)=0,"","yes")</f>
        <v/>
      </c>
      <c r="G55" s="43" t="n"/>
      <c r="H55" s="41">
        <f>IF($G55="","",$E55-$G55)</f>
        <v/>
      </c>
    </row>
    <row r="56">
      <c r="A56" s="13" t="inlineStr">
        <is>
          <t>25063001V</t>
        </is>
      </c>
      <c r="B56" s="13" t="inlineStr">
        <is>
          <t>APA All Hands Staff</t>
        </is>
      </c>
      <c r="C56" s="41">
        <f>SUMIFS(tbl_WIP[Amount],tbl_WIP[Job Number],$A56,tbl_WIP[Month],"&lt;&gt;",tbl_WIP[Month],"&lt;"&amp;$C$4)</f>
        <v/>
      </c>
      <c r="D56" s="41">
        <f>SUMIFS(tbl_WIP[Amount],tbl_WIP[Job Number],$A56,tbl_WIP[Month],$C$4)</f>
        <v/>
      </c>
      <c r="E56" s="41">
        <f>C56+D56</f>
        <v/>
      </c>
      <c r="F56" s="42">
        <f>IF(ROUND(C56,2)+ROUND(D56,2)=0,"","yes")</f>
        <v/>
      </c>
      <c r="G56" s="43" t="n"/>
      <c r="H56" s="41">
        <f>IF($G56="","",$E56-$G56)</f>
        <v/>
      </c>
    </row>
    <row r="57">
      <c r="A57" s="13" t="inlineStr">
        <is>
          <t>25070702</t>
        </is>
      </c>
      <c r="B57" s="13" t="inlineStr">
        <is>
          <t>APA VMS Brisbane &amp; Darwin</t>
        </is>
      </c>
      <c r="C57" s="41">
        <f>SUMIFS(tbl_WIP[Amount],tbl_WIP[Job Number],$A57,tbl_WIP[Month],"&lt;&gt;",tbl_WIP[Month],"&lt;"&amp;$C$4)</f>
        <v/>
      </c>
      <c r="D57" s="41">
        <f>SUMIFS(tbl_WIP[Amount],tbl_WIP[Job Number],$A57,tbl_WIP[Month],$C$4)</f>
        <v/>
      </c>
      <c r="E57" s="41">
        <f>C57+D57</f>
        <v/>
      </c>
      <c r="F57" s="42">
        <f>IF(ROUND(C57,2)+ROUND(D57,2)=0,"","yes")</f>
        <v/>
      </c>
      <c r="G57" s="43" t="n"/>
      <c r="H57" s="41">
        <f>IF($G57="","",$E57-$G57)</f>
        <v/>
      </c>
    </row>
    <row r="58">
      <c r="A58" s="13" t="inlineStr">
        <is>
          <t>2507203</t>
        </is>
      </c>
      <c r="B58" s="13" t="inlineStr">
        <is>
          <t>Hills Grammar Airmedia Supply</t>
        </is>
      </c>
      <c r="C58" s="41">
        <f>SUMIFS(tbl_WIP[Amount],tbl_WIP[Job Number],$A58,tbl_WIP[Month],"&lt;&gt;",tbl_WIP[Month],"&lt;"&amp;$C$4)</f>
        <v/>
      </c>
      <c r="D58" s="41">
        <f>SUMIFS(tbl_WIP[Amount],tbl_WIP[Job Number],$A58,tbl_WIP[Month],$C$4)</f>
        <v/>
      </c>
      <c r="E58" s="41">
        <f>C58+D58</f>
        <v/>
      </c>
      <c r="F58" s="42">
        <f>IF(ROUND(C58,2)+ROUND(D58,2)=0,"","yes")</f>
        <v/>
      </c>
      <c r="G58" s="43" t="n"/>
      <c r="H58" s="41">
        <f>IF($G58="","",$E58-$G58)</f>
        <v/>
      </c>
    </row>
    <row r="59">
      <c r="A59" s="13" t="inlineStr">
        <is>
          <t>25081402</t>
        </is>
      </c>
      <c r="B59" s="13" t="inlineStr">
        <is>
          <t>Hills Grammar Loan Airmedia Purchase</t>
        </is>
      </c>
      <c r="C59" s="41">
        <f>SUMIFS(tbl_WIP[Amount],tbl_WIP[Job Number],$A59,tbl_WIP[Month],"&lt;&gt;",tbl_WIP[Month],"&lt;"&amp;$C$4)</f>
        <v/>
      </c>
      <c r="D59" s="41">
        <f>SUMIFS(tbl_WIP[Amount],tbl_WIP[Job Number],$A59,tbl_WIP[Month],$C$4)</f>
        <v/>
      </c>
      <c r="E59" s="41">
        <f>C59+D59</f>
        <v/>
      </c>
      <c r="F59" s="42">
        <f>IF(ROUND(C59,2)+ROUND(D59,2)=0,"","yes")</f>
        <v/>
      </c>
      <c r="G59" s="43" t="n"/>
      <c r="H59" s="41">
        <f>IF($G59="","",$E59-$G59)</f>
        <v/>
      </c>
    </row>
    <row r="60">
      <c r="A60" s="13" t="inlineStr">
        <is>
          <t>25082501</t>
        </is>
      </c>
      <c r="B60" s="13" t="inlineStr">
        <is>
          <t>APA Sydney Tablet Brackets</t>
        </is>
      </c>
      <c r="C60" s="41">
        <f>SUMIFS(tbl_WIP[Amount],tbl_WIP[Job Number],$A60,tbl_WIP[Month],"&lt;&gt;",tbl_WIP[Month],"&lt;"&amp;$C$4)</f>
        <v/>
      </c>
      <c r="D60" s="41">
        <f>SUMIFS(tbl_WIP[Amount],tbl_WIP[Job Number],$A60,tbl_WIP[Month],$C$4)</f>
        <v/>
      </c>
      <c r="E60" s="41">
        <f>C60+D60</f>
        <v/>
      </c>
      <c r="F60" s="42">
        <f>IF(ROUND(C60,2)+ROUND(D60,2)=0,"","yes")</f>
        <v/>
      </c>
      <c r="G60" s="43" t="n"/>
      <c r="H60" s="41">
        <f>IF($G60="","",$E60-$G60)</f>
        <v/>
      </c>
    </row>
    <row r="61">
      <c r="A61" s="13" t="inlineStr">
        <is>
          <t>25091703</t>
        </is>
      </c>
      <c r="B61" s="13" t="inlineStr">
        <is>
          <t>Scentre Group Marion Superscreen (D10396) Test and Cert</t>
        </is>
      </c>
      <c r="C61" s="41">
        <f>SUMIFS(tbl_WIP[Amount],tbl_WIP[Job Number],$A61,tbl_WIP[Month],"&lt;&gt;",tbl_WIP[Month],"&lt;"&amp;$C$4)</f>
        <v/>
      </c>
      <c r="D61" s="41">
        <f>SUMIFS(tbl_WIP[Amount],tbl_WIP[Job Number],$A61,tbl_WIP[Month],$C$4)</f>
        <v/>
      </c>
      <c r="E61" s="41">
        <f>C61+D61</f>
        <v/>
      </c>
      <c r="F61" s="42">
        <f>IF(ROUND(C61,2)+ROUND(D61,2)=0,"","yes")</f>
        <v/>
      </c>
      <c r="G61" s="43" t="n"/>
      <c r="H61" s="41">
        <f>IF($G61="","",$E61-$G61)</f>
        <v/>
      </c>
    </row>
    <row r="62">
      <c r="A62" s="13" t="inlineStr">
        <is>
          <t>25101301</t>
        </is>
      </c>
      <c r="B62" s="13" t="inlineStr">
        <is>
          <t>PWC IT Support – Melbourne</t>
        </is>
      </c>
      <c r="C62" s="41">
        <f>SUMIFS(tbl_WIP[Amount],tbl_WIP[Job Number],$A62,tbl_WIP[Month],"&lt;&gt;",tbl_WIP[Month],"&lt;"&amp;$C$4)</f>
        <v/>
      </c>
      <c r="D62" s="41">
        <f>SUMIFS(tbl_WIP[Amount],tbl_WIP[Job Number],$A62,tbl_WIP[Month],$C$4)</f>
        <v/>
      </c>
      <c r="E62" s="41">
        <f>C62+D62</f>
        <v/>
      </c>
      <c r="F62" s="42">
        <f>IF(ROUND(C62,2)+ROUND(D62,2)=0,"","yes")</f>
        <v/>
      </c>
      <c r="G62" s="43" t="n"/>
      <c r="H62" s="41">
        <f>IF($G62="","",$E62-$G62)</f>
        <v/>
      </c>
    </row>
    <row r="63">
      <c r="A63" s="13" t="inlineStr">
        <is>
          <t>25101301B</t>
        </is>
      </c>
      <c r="B63" s="13" t="inlineStr">
        <is>
          <t>PWC IT Support – Sydney</t>
        </is>
      </c>
      <c r="C63" s="41">
        <f>SUMIFS(tbl_WIP[Amount],tbl_WIP[Job Number],$A63,tbl_WIP[Month],"&lt;&gt;",tbl_WIP[Month],"&lt;"&amp;$C$4)</f>
        <v/>
      </c>
      <c r="D63" s="41">
        <f>SUMIFS(tbl_WIP[Amount],tbl_WIP[Job Number],$A63,tbl_WIP[Month],$C$4)</f>
        <v/>
      </c>
      <c r="E63" s="41">
        <f>C63+D63</f>
        <v/>
      </c>
      <c r="F63" s="42">
        <f>IF(ROUND(C63,2)+ROUND(D63,2)=0,"","yes")</f>
        <v/>
      </c>
      <c r="G63" s="43" t="n"/>
      <c r="H63" s="41">
        <f>IF($G63="","",$E63-$G63)</f>
        <v/>
      </c>
    </row>
    <row r="64">
      <c r="A64" s="13" t="inlineStr">
        <is>
          <t>2510202</t>
        </is>
      </c>
      <c r="B64" s="13" t="inlineStr">
        <is>
          <t>HP Poly Room Assessment</t>
        </is>
      </c>
      <c r="C64" s="41">
        <f>SUMIFS(tbl_WIP[Amount],tbl_WIP[Job Number],$A64,tbl_WIP[Month],"&lt;&gt;",tbl_WIP[Month],"&lt;"&amp;$C$4)</f>
        <v/>
      </c>
      <c r="D64" s="41">
        <f>SUMIFS(tbl_WIP[Amount],tbl_WIP[Job Number],$A64,tbl_WIP[Month],$C$4)</f>
        <v/>
      </c>
      <c r="E64" s="41">
        <f>C64+D64</f>
        <v/>
      </c>
      <c r="F64" s="42">
        <f>IF(ROUND(C64,2)+ROUND(D64,2)=0,"","yes")</f>
        <v/>
      </c>
      <c r="G64" s="43" t="n"/>
      <c r="H64" s="41">
        <f>IF($G64="","",$E64-$G64)</f>
        <v/>
      </c>
    </row>
    <row r="65">
      <c r="A65" s="13" t="inlineStr">
        <is>
          <t>2510205</t>
        </is>
      </c>
      <c r="B65" s="13" t="inlineStr">
        <is>
          <t>NSW Property RGB Desk Booking</t>
        </is>
      </c>
      <c r="C65" s="41">
        <f>SUMIFS(tbl_WIP[Amount],tbl_WIP[Job Number],$A65,tbl_WIP[Month],"&lt;&gt;",tbl_WIP[Month],"&lt;"&amp;$C$4)</f>
        <v/>
      </c>
      <c r="D65" s="41">
        <f>SUMIFS(tbl_WIP[Amount],tbl_WIP[Job Number],$A65,tbl_WIP[Month],$C$4)</f>
        <v/>
      </c>
      <c r="E65" s="41">
        <f>C65+D65</f>
        <v/>
      </c>
      <c r="F65" s="42">
        <f>IF(ROUND(C65,2)+ROUND(D65,2)=0,"","yes")</f>
        <v/>
      </c>
      <c r="G65" s="43" t="n"/>
      <c r="H65" s="41">
        <f>IF($G65="","",$E65-$G65)</f>
        <v/>
      </c>
    </row>
    <row r="66">
      <c r="A66" s="13" t="inlineStr">
        <is>
          <t>2510210</t>
        </is>
      </c>
      <c r="B66" s="13" t="inlineStr">
        <is>
          <t>Scentre Group Westfield Bondi Screen Tests</t>
        </is>
      </c>
      <c r="C66" s="41">
        <f>SUMIFS(tbl_WIP[Amount],tbl_WIP[Job Number],$A66,tbl_WIP[Month],"&lt;&gt;",tbl_WIP[Month],"&lt;"&amp;$C$4)</f>
        <v/>
      </c>
      <c r="D66" s="41">
        <f>SUMIFS(tbl_WIP[Amount],tbl_WIP[Job Number],$A66,tbl_WIP[Month],$C$4)</f>
        <v/>
      </c>
      <c r="E66" s="41">
        <f>C66+D66</f>
        <v/>
      </c>
      <c r="F66" s="42">
        <f>IF(ROUND(C66,2)+ROUND(D66,2)=0,"","yes")</f>
        <v/>
      </c>
      <c r="G66" s="43" t="n"/>
      <c r="H66" s="41">
        <f>IF($G66="","",$E66-$G66)</f>
        <v/>
      </c>
    </row>
    <row r="67">
      <c r="A67" s="13" t="inlineStr">
        <is>
          <t>25102701</t>
        </is>
      </c>
      <c r="B67" s="13" t="inlineStr">
        <is>
          <t>DEWR - Studio Upgrade - Consulting, Design</t>
        </is>
      </c>
      <c r="C67" s="41">
        <f>SUMIFS(tbl_WIP[Amount],tbl_WIP[Job Number],$A67,tbl_WIP[Month],"&lt;&gt;",tbl_WIP[Month],"&lt;"&amp;$C$4)</f>
        <v/>
      </c>
      <c r="D67" s="41">
        <f>SUMIFS(tbl_WIP[Amount],tbl_WIP[Job Number],$A67,tbl_WIP[Month],$C$4)</f>
        <v/>
      </c>
      <c r="E67" s="41">
        <f>C67+D67</f>
        <v/>
      </c>
      <c r="F67" s="42">
        <f>IF(ROUND(C67,2)+ROUND(D67,2)=0,"","yes")</f>
        <v/>
      </c>
      <c r="G67" s="43" t="n"/>
      <c r="H67" s="41">
        <f>IF($G67="","",$E67-$G67)</f>
        <v/>
      </c>
    </row>
    <row r="68">
      <c r="A68" s="13" t="inlineStr">
        <is>
          <t>25102801</t>
        </is>
      </c>
      <c r="B68" s="13" t="inlineStr">
        <is>
          <t>DTTL SYD QQT Additional Mics Install in L45 Seminar Space</t>
        </is>
      </c>
      <c r="C68" s="41">
        <f>SUMIFS(tbl_WIP[Amount],tbl_WIP[Job Number],$A68,tbl_WIP[Month],"&lt;&gt;",tbl_WIP[Month],"&lt;"&amp;$C$4)</f>
        <v/>
      </c>
      <c r="D68" s="41">
        <f>SUMIFS(tbl_WIP[Amount],tbl_WIP[Job Number],$A68,tbl_WIP[Month],$C$4)</f>
        <v/>
      </c>
      <c r="E68" s="41">
        <f>C68+D68</f>
        <v/>
      </c>
      <c r="F68" s="42">
        <f>IF(ROUND(C68,2)+ROUND(D68,2)=0,"","yes")</f>
        <v/>
      </c>
      <c r="G68" s="43" t="n"/>
      <c r="H68" s="41">
        <f>IF($G68="","",$E68-$G68)</f>
        <v/>
      </c>
    </row>
    <row r="69">
      <c r="A69" s="13" t="inlineStr">
        <is>
          <t>25102802</t>
        </is>
      </c>
      <c r="B69" s="13" t="inlineStr">
        <is>
          <t>Novigi Meeting Space Inspection</t>
        </is>
      </c>
      <c r="C69" s="41">
        <f>SUMIFS(tbl_WIP[Amount],tbl_WIP[Job Number],$A69,tbl_WIP[Month],"&lt;&gt;",tbl_WIP[Month],"&lt;"&amp;$C$4)</f>
        <v/>
      </c>
      <c r="D69" s="41">
        <f>SUMIFS(tbl_WIP[Amount],tbl_WIP[Job Number],$A69,tbl_WIP[Month],$C$4)</f>
        <v/>
      </c>
      <c r="E69" s="41">
        <f>C69+D69</f>
        <v/>
      </c>
      <c r="F69" s="42">
        <f>IF(ROUND(C69,2)+ROUND(D69,2)=0,"","yes")</f>
        <v/>
      </c>
      <c r="G69" s="43" t="n"/>
      <c r="H69" s="41">
        <f>IF($G69="","",$E69-$G69)</f>
        <v/>
      </c>
    </row>
    <row r="70">
      <c r="A70" s="13" t="inlineStr">
        <is>
          <t>2510804</t>
        </is>
      </c>
      <c r="B70" s="13" t="inlineStr">
        <is>
          <t>CommSecurity Presynct QLD Desk Booking</t>
        </is>
      </c>
      <c r="C70" s="41">
        <f>SUMIFS(tbl_WIP[Amount],tbl_WIP[Job Number],$A70,tbl_WIP[Month],"&lt;&gt;",tbl_WIP[Month],"&lt;"&amp;$C$4)</f>
        <v/>
      </c>
      <c r="D70" s="41">
        <f>SUMIFS(tbl_WIP[Amount],tbl_WIP[Job Number],$A70,tbl_WIP[Month],$C$4)</f>
        <v/>
      </c>
      <c r="E70" s="41">
        <f>C70+D70</f>
        <v/>
      </c>
      <c r="F70" s="42">
        <f>IF(ROUND(C70,2)+ROUND(D70,2)=0,"","yes")</f>
        <v/>
      </c>
      <c r="G70" s="43" t="n"/>
      <c r="H70" s="41">
        <f>IF($G70="","",$E70-$G70)</f>
        <v/>
      </c>
    </row>
    <row r="71">
      <c r="A71" s="13" t="inlineStr">
        <is>
          <t>2510805</t>
        </is>
      </c>
      <c r="B71" s="13" t="inlineStr">
        <is>
          <t>PNSW Reconstruction Authority Newcastle</t>
        </is>
      </c>
      <c r="C71" s="41">
        <f>SUMIFS(tbl_WIP[Amount],tbl_WIP[Job Number],$A71,tbl_WIP[Month],"&lt;&gt;",tbl_WIP[Month],"&lt;"&amp;$C$4)</f>
        <v/>
      </c>
      <c r="D71" s="41">
        <f>SUMIFS(tbl_WIP[Amount],tbl_WIP[Job Number],$A71,tbl_WIP[Month],$C$4)</f>
        <v/>
      </c>
      <c r="E71" s="41">
        <f>C71+D71</f>
        <v/>
      </c>
      <c r="F71" s="42">
        <f>IF(ROUND(C71,2)+ROUND(D71,2)=0,"","yes")</f>
        <v/>
      </c>
      <c r="G71" s="43" t="n"/>
      <c r="H71" s="41">
        <f>IF($G71="","",$E71-$G71)</f>
        <v/>
      </c>
    </row>
    <row r="72">
      <c r="A72" s="13" t="inlineStr">
        <is>
          <t>25111203</t>
        </is>
      </c>
      <c r="B72" s="13" t="inlineStr">
        <is>
          <t>CoS | Barco E3 Sale</t>
        </is>
      </c>
      <c r="C72" s="41">
        <f>SUMIFS(tbl_WIP[Amount],tbl_WIP[Job Number],$A72,tbl_WIP[Month],"&lt;&gt;",tbl_WIP[Month],"&lt;"&amp;$C$4)</f>
        <v/>
      </c>
      <c r="D72" s="41">
        <f>SUMIFS(tbl_WIP[Amount],tbl_WIP[Job Number],$A72,tbl_WIP[Month],$C$4)</f>
        <v/>
      </c>
      <c r="E72" s="41">
        <f>C72+D72</f>
        <v/>
      </c>
      <c r="F72" s="42">
        <f>IF(ROUND(C72,2)+ROUND(D72,2)=0,"","yes")</f>
        <v/>
      </c>
      <c r="G72" s="43" t="n"/>
      <c r="H72" s="41">
        <f>IF($G72="","",$E72-$G72)</f>
        <v/>
      </c>
    </row>
    <row r="73">
      <c r="A73" s="13" t="inlineStr">
        <is>
          <t>25112801</t>
        </is>
      </c>
      <c r="B73" s="13" t="inlineStr">
        <is>
          <t>APA MEL - iPad &amp; Bouncepad Sale</t>
        </is>
      </c>
      <c r="C73" s="41">
        <f>SUMIFS(tbl_WIP[Amount],tbl_WIP[Job Number],$A73,tbl_WIP[Month],"&lt;&gt;",tbl_WIP[Month],"&lt;"&amp;$C$4)</f>
        <v/>
      </c>
      <c r="D73" s="41">
        <f>SUMIFS(tbl_WIP[Amount],tbl_WIP[Job Number],$A73,tbl_WIP[Month],$C$4)</f>
        <v/>
      </c>
      <c r="E73" s="41">
        <f>C73+D73</f>
        <v/>
      </c>
      <c r="F73" s="42">
        <f>IF(ROUND(C73,2)+ROUND(D73,2)=0,"","yes")</f>
        <v/>
      </c>
      <c r="G73" s="43" t="n"/>
      <c r="H73" s="41">
        <f>IF($G73="","",$E73-$G73)</f>
        <v/>
      </c>
    </row>
    <row r="74">
      <c r="A74" s="13" t="inlineStr">
        <is>
          <t>25121001</t>
        </is>
      </c>
      <c r="B74" s="13" t="inlineStr">
        <is>
          <t>HP Poly Mic System Sale and Install at Mission Australia</t>
        </is>
      </c>
      <c r="C74" s="41">
        <f>SUMIFS(tbl_WIP[Amount],tbl_WIP[Job Number],$A74,tbl_WIP[Month],"&lt;&gt;",tbl_WIP[Month],"&lt;"&amp;$C$4)</f>
        <v/>
      </c>
      <c r="D74" s="41">
        <f>SUMIFS(tbl_WIP[Amount],tbl_WIP[Job Number],$A74,tbl_WIP[Month],$C$4)</f>
        <v/>
      </c>
      <c r="E74" s="41">
        <f>C74+D74</f>
        <v/>
      </c>
      <c r="F74" s="42">
        <f>IF(ROUND(C74,2)+ROUND(D74,2)=0,"","yes")</f>
        <v/>
      </c>
      <c r="G74" s="43" t="n"/>
      <c r="H74" s="41">
        <f>IF($G74="","",$E74-$G74)</f>
        <v/>
      </c>
    </row>
    <row r="75">
      <c r="A75" s="13" t="inlineStr">
        <is>
          <t>25121007</t>
        </is>
      </c>
      <c r="B75" s="13" t="inlineStr">
        <is>
          <t>Novigi SYD/MEL boardroom Mic upgrade + Cable Tidy</t>
        </is>
      </c>
      <c r="C75" s="41">
        <f>SUMIFS(tbl_WIP[Amount],tbl_WIP[Job Number],$A75,tbl_WIP[Month],"&lt;&gt;",tbl_WIP[Month],"&lt;"&amp;$C$4)</f>
        <v/>
      </c>
      <c r="D75" s="41">
        <f>SUMIFS(tbl_WIP[Amount],tbl_WIP[Job Number],$A75,tbl_WIP[Month],$C$4)</f>
        <v/>
      </c>
      <c r="E75" s="41">
        <f>C75+D75</f>
        <v/>
      </c>
      <c r="F75" s="42">
        <f>IF(ROUND(C75,2)+ROUND(D75,2)=0,"","yes")</f>
        <v/>
      </c>
      <c r="G75" s="43" t="n"/>
      <c r="H75" s="41">
        <f>IF($G75="","",$E75-$G75)</f>
        <v/>
      </c>
    </row>
    <row r="76">
      <c r="A76" s="13" t="inlineStr">
        <is>
          <t>25121208</t>
        </is>
      </c>
      <c r="B76" s="13" t="inlineStr">
        <is>
          <t>APA HYR &amp; FYR Package 2026</t>
        </is>
      </c>
      <c r="C76" s="41">
        <f>SUMIFS(tbl_WIP[Amount],tbl_WIP[Job Number],$A76,tbl_WIP[Month],"&lt;&gt;",tbl_WIP[Month],"&lt;"&amp;$C$4)</f>
        <v/>
      </c>
      <c r="D76" s="41">
        <f>SUMIFS(tbl_WIP[Amount],tbl_WIP[Job Number],$A76,tbl_WIP[Month],$C$4)</f>
        <v/>
      </c>
      <c r="E76" s="41">
        <f>C76+D76</f>
        <v/>
      </c>
      <c r="F76" s="42">
        <f>IF(ROUND(C76,2)+ROUND(D76,2)=0,"","yes")</f>
        <v/>
      </c>
      <c r="G76" s="43" t="n"/>
      <c r="H76" s="41">
        <f>IF($G76="","",$E76-$G76)</f>
        <v/>
      </c>
    </row>
    <row r="77">
      <c r="A77" s="13" t="inlineStr">
        <is>
          <t>2512503</t>
        </is>
      </c>
      <c r="B77" s="13" t="inlineStr">
        <is>
          <t>Ventia EOY Town Hall 10.12.2025</t>
        </is>
      </c>
      <c r="C77" s="41">
        <f>SUMIFS(tbl_WIP[Amount],tbl_WIP[Job Number],$A77,tbl_WIP[Month],"&lt;&gt;",tbl_WIP[Month],"&lt;"&amp;$C$4)</f>
        <v/>
      </c>
      <c r="D77" s="41">
        <f>SUMIFS(tbl_WIP[Amount],tbl_WIP[Job Number],$A77,tbl_WIP[Month],$C$4)</f>
        <v/>
      </c>
      <c r="E77" s="41">
        <f>C77+D77</f>
        <v/>
      </c>
      <c r="F77" s="42">
        <f>IF(ROUND(C77,2)+ROUND(D77,2)=0,"","yes")</f>
        <v/>
      </c>
      <c r="G77" s="43" t="n"/>
      <c r="H77" s="41">
        <f>IF($G77="","",$E77-$G77)</f>
        <v/>
      </c>
    </row>
    <row r="78">
      <c r="A78" s="13" t="inlineStr">
        <is>
          <t>2512503V</t>
        </is>
      </c>
      <c r="B78" s="13" t="inlineStr">
        <is>
          <t>Ventia EOY Town Hall 10.12.2025</t>
        </is>
      </c>
      <c r="C78" s="41">
        <f>SUMIFS(tbl_WIP[Amount],tbl_WIP[Job Number],$A78,tbl_WIP[Month],"&lt;&gt;",tbl_WIP[Month],"&lt;"&amp;$C$4)</f>
        <v/>
      </c>
      <c r="D78" s="41">
        <f>SUMIFS(tbl_WIP[Amount],tbl_WIP[Job Number],$A78,tbl_WIP[Month],$C$4)</f>
        <v/>
      </c>
      <c r="E78" s="41">
        <f>C78+D78</f>
        <v/>
      </c>
      <c r="F78" s="42">
        <f>IF(ROUND(C78,2)+ROUND(D78,2)=0,"","yes")</f>
        <v/>
      </c>
      <c r="G78" s="43" t="n"/>
      <c r="H78" s="41">
        <f>IF($G78="","",$E78-$G78)</f>
        <v/>
      </c>
    </row>
    <row r="79">
      <c r="A79" s="13" t="inlineStr">
        <is>
          <t>2512804</t>
        </is>
      </c>
      <c r="B79" s="13" t="inlineStr">
        <is>
          <t>RSNSW Ordinary General Meeting 5.8.26</t>
        </is>
      </c>
      <c r="C79" s="41">
        <f>SUMIFS(tbl_WIP[Amount],tbl_WIP[Job Number],$A79,tbl_WIP[Month],"&lt;&gt;",tbl_WIP[Month],"&lt;"&amp;$C$4)</f>
        <v/>
      </c>
      <c r="D79" s="41">
        <f>SUMIFS(tbl_WIP[Amount],tbl_WIP[Job Number],$A79,tbl_WIP[Month],$C$4)</f>
        <v/>
      </c>
      <c r="E79" s="41">
        <f>C79+D79</f>
        <v/>
      </c>
      <c r="F79" s="42">
        <f>IF(ROUND(C79,2)+ROUND(D79,2)=0,"","yes")</f>
        <v/>
      </c>
      <c r="G79" s="43" t="n"/>
      <c r="H79" s="41">
        <f>IF($G79="","",$E79-$G79)</f>
        <v/>
      </c>
    </row>
    <row r="80">
      <c r="A80" s="13" t="inlineStr">
        <is>
          <t>2512804V</t>
        </is>
      </c>
      <c r="B80" s="13" t="inlineStr">
        <is>
          <t>RSNSW Ordinary General Meeting 5.8.26</t>
        </is>
      </c>
      <c r="C80" s="41">
        <f>SUMIFS(tbl_WIP[Amount],tbl_WIP[Job Number],$A80,tbl_WIP[Month],"&lt;&gt;",tbl_WIP[Month],"&lt;"&amp;$C$4)</f>
        <v/>
      </c>
      <c r="D80" s="41">
        <f>SUMIFS(tbl_WIP[Amount],tbl_WIP[Job Number],$A80,tbl_WIP[Month],$C$4)</f>
        <v/>
      </c>
      <c r="E80" s="41">
        <f>C80+D80</f>
        <v/>
      </c>
      <c r="F80" s="42">
        <f>IF(ROUND(C80,2)+ROUND(D80,2)=0,"","yes")</f>
        <v/>
      </c>
      <c r="G80" s="43" t="n"/>
      <c r="H80" s="41">
        <f>IF($G80="","",$E80-$G80)</f>
        <v/>
      </c>
    </row>
    <row r="81">
      <c r="A81" s="13" t="inlineStr">
        <is>
          <t>2512805</t>
        </is>
      </c>
      <c r="B81" s="13" t="inlineStr">
        <is>
          <t>RSNSW Ordinary General Meeting 7.10.2026</t>
        </is>
      </c>
      <c r="C81" s="41">
        <f>SUMIFS(tbl_WIP[Amount],tbl_WIP[Job Number],$A81,tbl_WIP[Month],"&lt;&gt;",tbl_WIP[Month],"&lt;"&amp;$C$4)</f>
        <v/>
      </c>
      <c r="D81" s="41">
        <f>SUMIFS(tbl_WIP[Amount],tbl_WIP[Job Number],$A81,tbl_WIP[Month],$C$4)</f>
        <v/>
      </c>
      <c r="E81" s="41">
        <f>C81+D81</f>
        <v/>
      </c>
      <c r="F81" s="42">
        <f>IF(ROUND(C81,2)+ROUND(D81,2)=0,"","yes")</f>
        <v/>
      </c>
      <c r="G81" s="43" t="n"/>
      <c r="H81" s="41">
        <f>IF($G81="","",$E81-$G81)</f>
        <v/>
      </c>
    </row>
    <row r="82">
      <c r="A82" s="13" t="inlineStr">
        <is>
          <t>2512805V</t>
        </is>
      </c>
      <c r="B82" s="13" t="inlineStr">
        <is>
          <t>RSNSW Ordinary General Meeting 7.10.2026</t>
        </is>
      </c>
      <c r="C82" s="41">
        <f>SUMIFS(tbl_WIP[Amount],tbl_WIP[Job Number],$A82,tbl_WIP[Month],"&lt;&gt;",tbl_WIP[Month],"&lt;"&amp;$C$4)</f>
        <v/>
      </c>
      <c r="D82" s="41">
        <f>SUMIFS(tbl_WIP[Amount],tbl_WIP[Job Number],$A82,tbl_WIP[Month],$C$4)</f>
        <v/>
      </c>
      <c r="E82" s="41">
        <f>C82+D82</f>
        <v/>
      </c>
      <c r="F82" s="42">
        <f>IF(ROUND(C82,2)+ROUND(D82,2)=0,"","yes")</f>
        <v/>
      </c>
      <c r="G82" s="43" t="n"/>
      <c r="H82" s="41">
        <f>IF($G82="","",$E82-$G82)</f>
        <v/>
      </c>
    </row>
    <row r="83">
      <c r="A83" s="13" t="inlineStr">
        <is>
          <t>2512806</t>
        </is>
      </c>
      <c r="B83" s="13" t="inlineStr">
        <is>
          <t>RSNSW Ordinary General Meeting 2.12.26</t>
        </is>
      </c>
      <c r="C83" s="41">
        <f>SUMIFS(tbl_WIP[Amount],tbl_WIP[Job Number],$A83,tbl_WIP[Month],"&lt;&gt;",tbl_WIP[Month],"&lt;"&amp;$C$4)</f>
        <v/>
      </c>
      <c r="D83" s="41">
        <f>SUMIFS(tbl_WIP[Amount],tbl_WIP[Job Number],$A83,tbl_WIP[Month],$C$4)</f>
        <v/>
      </c>
      <c r="E83" s="41">
        <f>C83+D83</f>
        <v/>
      </c>
      <c r="F83" s="42">
        <f>IF(ROUND(C83,2)+ROUND(D83,2)=0,"","yes")</f>
        <v/>
      </c>
      <c r="G83" s="43" t="n"/>
      <c r="H83" s="41">
        <f>IF($G83="","",$E83-$G83)</f>
        <v/>
      </c>
    </row>
    <row r="84">
      <c r="A84" s="13" t="inlineStr">
        <is>
          <t>2512806V</t>
        </is>
      </c>
      <c r="B84" s="13" t="inlineStr">
        <is>
          <t>RSNSW Ordinary General Meeting 2.12.26</t>
        </is>
      </c>
      <c r="C84" s="41">
        <f>SUMIFS(tbl_WIP[Amount],tbl_WIP[Job Number],$A84,tbl_WIP[Month],"&lt;&gt;",tbl_WIP[Month],"&lt;"&amp;$C$4)</f>
        <v/>
      </c>
      <c r="D84" s="41">
        <f>SUMIFS(tbl_WIP[Amount],tbl_WIP[Job Number],$A84,tbl_WIP[Month],$C$4)</f>
        <v/>
      </c>
      <c r="E84" s="41">
        <f>C84+D84</f>
        <v/>
      </c>
      <c r="F84" s="42">
        <f>IF(ROUND(C84,2)+ROUND(D84,2)=0,"","yes")</f>
        <v/>
      </c>
      <c r="G84" s="43" t="n"/>
      <c r="H84" s="41">
        <f>IF($G84="","",$E84-$G84)</f>
        <v/>
      </c>
    </row>
    <row r="85">
      <c r="A85" s="13" t="inlineStr">
        <is>
          <t>2519</t>
        </is>
      </c>
      <c r="B85" s="13" t="inlineStr">
        <is>
          <t>NSW Prop-6PSQ Visitor MG</t>
        </is>
      </c>
      <c r="C85" s="41">
        <f>SUMIFS(tbl_WIP[Amount],tbl_WIP[Job Number],$A85,tbl_WIP[Month],"&lt;&gt;",tbl_WIP[Month],"&lt;"&amp;$C$4)</f>
        <v/>
      </c>
      <c r="D85" s="41">
        <f>SUMIFS(tbl_WIP[Amount],tbl_WIP[Job Number],$A85,tbl_WIP[Month],$C$4)</f>
        <v/>
      </c>
      <c r="E85" s="41">
        <f>C85+D85</f>
        <v/>
      </c>
      <c r="F85" s="42">
        <f>IF(ROUND(C85,2)+ROUND(D85,2)=0,"","yes")</f>
        <v/>
      </c>
      <c r="G85" s="43" t="n"/>
      <c r="H85" s="41">
        <f>IF($G85="","",$E85-$G85)</f>
        <v/>
      </c>
    </row>
    <row r="86">
      <c r="A86" s="13" t="inlineStr">
        <is>
          <t>2521</t>
        </is>
      </c>
      <c r="B86" s="13" t="inlineStr">
        <is>
          <t>PWC - PER Tech</t>
        </is>
      </c>
      <c r="C86" s="41">
        <f>SUMIFS(tbl_WIP[Amount],tbl_WIP[Job Number],$A86,tbl_WIP[Month],"&lt;&gt;",tbl_WIP[Month],"&lt;"&amp;$C$4)</f>
        <v/>
      </c>
      <c r="D86" s="41">
        <f>SUMIFS(tbl_WIP[Amount],tbl_WIP[Job Number],$A86,tbl_WIP[Month],$C$4)</f>
        <v/>
      </c>
      <c r="E86" s="41">
        <f>C86+D86</f>
        <v/>
      </c>
      <c r="F86" s="42">
        <f>IF(ROUND(C86,2)+ROUND(D86,2)=0,"","yes")</f>
        <v/>
      </c>
      <c r="G86" s="43" t="n"/>
      <c r="H86" s="41">
        <f>IF($G86="","",$E86-$G86)</f>
        <v/>
      </c>
    </row>
    <row r="87">
      <c r="A87" s="13" t="inlineStr">
        <is>
          <t>2540</t>
        </is>
      </c>
      <c r="B87" s="13" t="inlineStr">
        <is>
          <t>PWC - SYD Tech</t>
        </is>
      </c>
      <c r="C87" s="41">
        <f>SUMIFS(tbl_WIP[Amount],tbl_WIP[Job Number],$A87,tbl_WIP[Month],"&lt;&gt;",tbl_WIP[Month],"&lt;"&amp;$C$4)</f>
        <v/>
      </c>
      <c r="D87" s="41">
        <f>SUMIFS(tbl_WIP[Amount],tbl_WIP[Job Number],$A87,tbl_WIP[Month],$C$4)</f>
        <v/>
      </c>
      <c r="E87" s="41">
        <f>C87+D87</f>
        <v/>
      </c>
      <c r="F87" s="42">
        <f>IF(ROUND(C87,2)+ROUND(D87,2)=0,"","yes")</f>
        <v/>
      </c>
      <c r="G87" s="43" t="n"/>
      <c r="H87" s="41">
        <f>IF($G87="","",$E87-$G87)</f>
        <v/>
      </c>
    </row>
    <row r="88">
      <c r="A88" s="13" t="inlineStr">
        <is>
          <t>2543</t>
        </is>
      </c>
      <c r="B88" s="13" t="inlineStr">
        <is>
          <t>DTTL MEL Tech (PT)</t>
        </is>
      </c>
      <c r="C88" s="41">
        <f>SUMIFS(tbl_WIP[Amount],tbl_WIP[Job Number],$A88,tbl_WIP[Month],"&lt;&gt;",tbl_WIP[Month],"&lt;"&amp;$C$4)</f>
        <v/>
      </c>
      <c r="D88" s="41">
        <f>SUMIFS(tbl_WIP[Amount],tbl_WIP[Job Number],$A88,tbl_WIP[Month],$C$4)</f>
        <v/>
      </c>
      <c r="E88" s="41">
        <f>C88+D88</f>
        <v/>
      </c>
      <c r="F88" s="42">
        <f>IF(ROUND(C88,2)+ROUND(D88,2)=0,"","yes")</f>
        <v/>
      </c>
      <c r="G88" s="43" t="n"/>
      <c r="H88" s="41">
        <f>IF($G88="","",$E88-$G88)</f>
        <v/>
      </c>
    </row>
    <row r="89">
      <c r="A89" s="13" t="inlineStr">
        <is>
          <t>2591012</t>
        </is>
      </c>
      <c r="B89" s="13" t="inlineStr">
        <is>
          <t>St. Luke's Non-chargeable</t>
        </is>
      </c>
      <c r="C89" s="41">
        <f>SUMIFS(tbl_WIP[Amount],tbl_WIP[Job Number],$A89,tbl_WIP[Month],"&lt;&gt;",tbl_WIP[Month],"&lt;"&amp;$C$4)</f>
        <v/>
      </c>
      <c r="D89" s="41">
        <f>SUMIFS(tbl_WIP[Amount],tbl_WIP[Job Number],$A89,tbl_WIP[Month],$C$4)</f>
        <v/>
      </c>
      <c r="E89" s="41">
        <f>C89+D89</f>
        <v/>
      </c>
      <c r="F89" s="42">
        <f>IF(ROUND(C89,2)+ROUND(D89,2)=0,"","yes")</f>
        <v/>
      </c>
      <c r="G89" s="43" t="n"/>
      <c r="H89" s="41">
        <f>IF($G89="","",$E89-$G89)</f>
        <v/>
      </c>
    </row>
    <row r="90">
      <c r="A90" s="13" t="inlineStr">
        <is>
          <t>2591012C</t>
        </is>
      </c>
      <c r="B90" s="13" t="inlineStr">
        <is>
          <t>St. Luke's Church</t>
        </is>
      </c>
      <c r="C90" s="41">
        <f>SUMIFS(tbl_WIP[Amount],tbl_WIP[Job Number],$A90,tbl_WIP[Month],"&lt;&gt;",tbl_WIP[Month],"&lt;"&amp;$C$4)</f>
        <v/>
      </c>
      <c r="D90" s="41">
        <f>SUMIFS(tbl_WIP[Amount],tbl_WIP[Job Number],$A90,tbl_WIP[Month],$C$4)</f>
        <v/>
      </c>
      <c r="E90" s="41">
        <f>C90+D90</f>
        <v/>
      </c>
      <c r="F90" s="42">
        <f>IF(ROUND(C90,2)+ROUND(D90,2)=0,"","yes")</f>
        <v/>
      </c>
      <c r="G90" s="43" t="n"/>
      <c r="H90" s="41">
        <f>IF($G90="","",$E90-$G90)</f>
        <v/>
      </c>
    </row>
    <row r="91">
      <c r="A91" s="13" t="inlineStr">
        <is>
          <t>2593</t>
        </is>
      </c>
      <c r="B91" s="13" t="inlineStr">
        <is>
          <t>PWC CBR Technician</t>
        </is>
      </c>
      <c r="C91" s="41">
        <f>SUMIFS(tbl_WIP[Amount],tbl_WIP[Job Number],$A91,tbl_WIP[Month],"&lt;&gt;",tbl_WIP[Month],"&lt;"&amp;$C$4)</f>
        <v/>
      </c>
      <c r="D91" s="41">
        <f>SUMIFS(tbl_WIP[Amount],tbl_WIP[Job Number],$A91,tbl_WIP[Month],$C$4)</f>
        <v/>
      </c>
      <c r="E91" s="41">
        <f>C91+D91</f>
        <v/>
      </c>
      <c r="F91" s="42">
        <f>IF(ROUND(C91,2)+ROUND(D91,2)=0,"","yes")</f>
        <v/>
      </c>
      <c r="G91" s="43" t="n"/>
      <c r="H91" s="41">
        <f>IF($G91="","",$E91-$G91)</f>
        <v/>
      </c>
    </row>
    <row r="92">
      <c r="A92" s="13" t="inlineStr">
        <is>
          <t>2598</t>
        </is>
      </c>
      <c r="B92" s="13" t="inlineStr">
        <is>
          <t>DTTL WA Tech</t>
        </is>
      </c>
      <c r="C92" s="41">
        <f>SUMIFS(tbl_WIP[Amount],tbl_WIP[Job Number],$A92,tbl_WIP[Month],"&lt;&gt;",tbl_WIP[Month],"&lt;"&amp;$C$4)</f>
        <v/>
      </c>
      <c r="D92" s="41">
        <f>SUMIFS(tbl_WIP[Amount],tbl_WIP[Job Number],$A92,tbl_WIP[Month],$C$4)</f>
        <v/>
      </c>
      <c r="E92" s="41">
        <f>C92+D92</f>
        <v/>
      </c>
      <c r="F92" s="42">
        <f>IF(ROUND(C92,2)+ROUND(D92,2)=0,"","yes")</f>
        <v/>
      </c>
      <c r="G92" s="43" t="n"/>
      <c r="H92" s="41">
        <f>IF($G92="","",$E92-$G92)</f>
        <v/>
      </c>
    </row>
    <row r="93">
      <c r="A93" s="13" t="inlineStr">
        <is>
          <t>26011404</t>
        </is>
      </c>
      <c r="B93" s="13" t="inlineStr">
        <is>
          <t>ASX CEO Connect (Extended Results) 1.9.26</t>
        </is>
      </c>
      <c r="C93" s="41">
        <f>SUMIFS(tbl_WIP[Amount],tbl_WIP[Job Number],$A93,tbl_WIP[Month],"&lt;&gt;",tbl_WIP[Month],"&lt;"&amp;$C$4)</f>
        <v/>
      </c>
      <c r="D93" s="41">
        <f>SUMIFS(tbl_WIP[Amount],tbl_WIP[Job Number],$A93,tbl_WIP[Month],$C$4)</f>
        <v/>
      </c>
      <c r="E93" s="41">
        <f>C93+D93</f>
        <v/>
      </c>
      <c r="F93" s="42">
        <f>IF(ROUND(C93,2)+ROUND(D93,2)=0,"","yes")</f>
        <v/>
      </c>
      <c r="G93" s="43" t="n"/>
      <c r="H93" s="41">
        <f>IF($G93="","",$E93-$G93)</f>
        <v/>
      </c>
    </row>
    <row r="94">
      <c r="A94" s="13" t="inlineStr">
        <is>
          <t>26011404V</t>
        </is>
      </c>
      <c r="B94" s="13" t="inlineStr">
        <is>
          <t>ASX CEO Connect (Extended Results) 1.9.26</t>
        </is>
      </c>
      <c r="C94" s="41">
        <f>SUMIFS(tbl_WIP[Amount],tbl_WIP[Job Number],$A94,tbl_WIP[Month],"&lt;&gt;",tbl_WIP[Month],"&lt;"&amp;$C$4)</f>
        <v/>
      </c>
      <c r="D94" s="41">
        <f>SUMIFS(tbl_WIP[Amount],tbl_WIP[Job Number],$A94,tbl_WIP[Month],$C$4)</f>
        <v/>
      </c>
      <c r="E94" s="41">
        <f>C94+D94</f>
        <v/>
      </c>
      <c r="F94" s="42">
        <f>IF(ROUND(C94,2)+ROUND(D94,2)=0,"","yes")</f>
        <v/>
      </c>
      <c r="G94" s="43" t="n"/>
      <c r="H94" s="41">
        <f>IF($G94="","",$E94-$G94)</f>
        <v/>
      </c>
    </row>
    <row r="95">
      <c r="A95" s="13" t="inlineStr">
        <is>
          <t>26011407</t>
        </is>
      </c>
      <c r="B95" s="13" t="inlineStr">
        <is>
          <t>ASX CEO Connect 27.10.26</t>
        </is>
      </c>
      <c r="C95" s="41">
        <f>SUMIFS(tbl_WIP[Amount],tbl_WIP[Job Number],$A95,tbl_WIP[Month],"&lt;&gt;",tbl_WIP[Month],"&lt;"&amp;$C$4)</f>
        <v/>
      </c>
      <c r="D95" s="41">
        <f>SUMIFS(tbl_WIP[Amount],tbl_WIP[Job Number],$A95,tbl_WIP[Month],$C$4)</f>
        <v/>
      </c>
      <c r="E95" s="41">
        <f>C95+D95</f>
        <v/>
      </c>
      <c r="F95" s="42">
        <f>IF(ROUND(C95,2)+ROUND(D95,2)=0,"","yes")</f>
        <v/>
      </c>
      <c r="G95" s="43" t="n"/>
      <c r="H95" s="41">
        <f>IF($G95="","",$E95-$G95)</f>
        <v/>
      </c>
    </row>
    <row r="96">
      <c r="A96" s="13" t="inlineStr">
        <is>
          <t>26011407V</t>
        </is>
      </c>
      <c r="B96" s="13" t="inlineStr">
        <is>
          <t>ASX CEO Connect 27.10.26</t>
        </is>
      </c>
      <c r="C96" s="41">
        <f>SUMIFS(tbl_WIP[Amount],tbl_WIP[Job Number],$A96,tbl_WIP[Month],"&lt;&gt;",tbl_WIP[Month],"&lt;"&amp;$C$4)</f>
        <v/>
      </c>
      <c r="D96" s="41">
        <f>SUMIFS(tbl_WIP[Amount],tbl_WIP[Job Number],$A96,tbl_WIP[Month],$C$4)</f>
        <v/>
      </c>
      <c r="E96" s="41">
        <f>C96+D96</f>
        <v/>
      </c>
      <c r="F96" s="42">
        <f>IF(ROUND(C96,2)+ROUND(D96,2)=0,"","yes")</f>
        <v/>
      </c>
      <c r="G96" s="43" t="n"/>
      <c r="H96" s="41">
        <f>IF($G96="","",$E96-$G96)</f>
        <v/>
      </c>
    </row>
    <row r="97">
      <c r="A97" s="13" t="inlineStr">
        <is>
          <t>26011408</t>
        </is>
      </c>
      <c r="B97" s="13" t="inlineStr">
        <is>
          <t>ASX CEO Connect 1.12.26</t>
        </is>
      </c>
      <c r="C97" s="41">
        <f>SUMIFS(tbl_WIP[Amount],tbl_WIP[Job Number],$A97,tbl_WIP[Month],"&lt;&gt;",tbl_WIP[Month],"&lt;"&amp;$C$4)</f>
        <v/>
      </c>
      <c r="D97" s="41">
        <f>SUMIFS(tbl_WIP[Amount],tbl_WIP[Job Number],$A97,tbl_WIP[Month],$C$4)</f>
        <v/>
      </c>
      <c r="E97" s="41">
        <f>C97+D97</f>
        <v/>
      </c>
      <c r="F97" s="42">
        <f>IF(ROUND(C97,2)+ROUND(D97,2)=0,"","yes")</f>
        <v/>
      </c>
      <c r="G97" s="43" t="n"/>
      <c r="H97" s="41">
        <f>IF($G97="","",$E97-$G97)</f>
        <v/>
      </c>
    </row>
    <row r="98">
      <c r="A98" s="13" t="inlineStr">
        <is>
          <t>26011408V</t>
        </is>
      </c>
      <c r="B98" s="13" t="inlineStr">
        <is>
          <t>ASX CEO Connect 1.12.26</t>
        </is>
      </c>
      <c r="C98" s="41">
        <f>SUMIFS(tbl_WIP[Amount],tbl_WIP[Job Number],$A98,tbl_WIP[Month],"&lt;&gt;",tbl_WIP[Month],"&lt;"&amp;$C$4)</f>
        <v/>
      </c>
      <c r="D98" s="41">
        <f>SUMIFS(tbl_WIP[Amount],tbl_WIP[Job Number],$A98,tbl_WIP[Month],$C$4)</f>
        <v/>
      </c>
      <c r="E98" s="41">
        <f>C98+D98</f>
        <v/>
      </c>
      <c r="F98" s="42">
        <f>IF(ROUND(C98,2)+ROUND(D98,2)=0,"","yes")</f>
        <v/>
      </c>
      <c r="G98" s="43" t="n"/>
      <c r="H98" s="41">
        <f>IF($G98="","",$E98-$G98)</f>
        <v/>
      </c>
    </row>
    <row r="99">
      <c r="A99" s="13" t="inlineStr">
        <is>
          <t>26011409</t>
        </is>
      </c>
      <c r="B99" s="13" t="inlineStr">
        <is>
          <t>ASX Investor Days Sydney &amp; Melbourne 2026</t>
        </is>
      </c>
      <c r="C99" s="41">
        <f>SUMIFS(tbl_WIP[Amount],tbl_WIP[Job Number],$A99,tbl_WIP[Month],"&lt;&gt;",tbl_WIP[Month],"&lt;"&amp;$C$4)</f>
        <v/>
      </c>
      <c r="D99" s="41">
        <f>SUMIFS(tbl_WIP[Amount],tbl_WIP[Job Number],$A99,tbl_WIP[Month],$C$4)</f>
        <v/>
      </c>
      <c r="E99" s="41">
        <f>C99+D99</f>
        <v/>
      </c>
      <c r="F99" s="42">
        <f>IF(ROUND(C99,2)+ROUND(D99,2)=0,"","yes")</f>
        <v/>
      </c>
      <c r="G99" s="43" t="n"/>
      <c r="H99" s="41">
        <f>IF($G99="","",$E99-$G99)</f>
        <v/>
      </c>
    </row>
    <row r="100">
      <c r="A100" s="13" t="inlineStr">
        <is>
          <t>26011501</t>
        </is>
      </c>
      <c r="B100" s="13" t="inlineStr">
        <is>
          <t>ASX Refinitiv Charity Golf Classic H/L Vid 2026</t>
        </is>
      </c>
      <c r="C100" s="41">
        <f>SUMIFS(tbl_WIP[Amount],tbl_WIP[Job Number],$A100,tbl_WIP[Month],"&lt;&gt;",tbl_WIP[Month],"&lt;"&amp;$C$4)</f>
        <v/>
      </c>
      <c r="D100" s="41">
        <f>SUMIFS(tbl_WIP[Amount],tbl_WIP[Job Number],$A100,tbl_WIP[Month],$C$4)</f>
        <v/>
      </c>
      <c r="E100" s="41">
        <f>C100+D100</f>
        <v/>
      </c>
      <c r="F100" s="42">
        <f>IF(ROUND(C100,2)+ROUND(D100,2)=0,"","yes")</f>
        <v/>
      </c>
      <c r="G100" s="43" t="n"/>
      <c r="H100" s="41">
        <f>IF($G100="","",$E100-$G100)</f>
        <v/>
      </c>
    </row>
    <row r="101">
      <c r="A101" s="13" t="inlineStr">
        <is>
          <t>26011502</t>
        </is>
      </c>
      <c r="B101" s="13" t="inlineStr">
        <is>
          <t>ASX Charity Regatta Highlights Video 2026</t>
        </is>
      </c>
      <c r="C101" s="41">
        <f>SUMIFS(tbl_WIP[Amount],tbl_WIP[Job Number],$A101,tbl_WIP[Month],"&lt;&gt;",tbl_WIP[Month],"&lt;"&amp;$C$4)</f>
        <v/>
      </c>
      <c r="D101" s="41">
        <f>SUMIFS(tbl_WIP[Amount],tbl_WIP[Job Number],$A101,tbl_WIP[Month],$C$4)</f>
        <v/>
      </c>
      <c r="E101" s="41">
        <f>C101+D101</f>
        <v/>
      </c>
      <c r="F101" s="42">
        <f>IF(ROUND(C101,2)+ROUND(D101,2)=0,"","yes")</f>
        <v/>
      </c>
      <c r="G101" s="43" t="n"/>
      <c r="H101" s="41">
        <f>IF($G101="","",$E101-$G101)</f>
        <v/>
      </c>
    </row>
    <row r="102">
      <c r="A102" s="13" t="inlineStr">
        <is>
          <t>26012301</t>
        </is>
      </c>
      <c r="B102" s="13" t="inlineStr">
        <is>
          <t>PWC IT Support - Brisbane</t>
        </is>
      </c>
      <c r="C102" s="41">
        <f>SUMIFS(tbl_WIP[Amount],tbl_WIP[Job Number],$A102,tbl_WIP[Month],"&lt;&gt;",tbl_WIP[Month],"&lt;"&amp;$C$4)</f>
        <v/>
      </c>
      <c r="D102" s="41">
        <f>SUMIFS(tbl_WIP[Amount],tbl_WIP[Job Number],$A102,tbl_WIP[Month],$C$4)</f>
        <v/>
      </c>
      <c r="E102" s="41">
        <f>C102+D102</f>
        <v/>
      </c>
      <c r="F102" s="42">
        <f>IF(ROUND(C102,2)+ROUND(D102,2)=0,"","yes")</f>
        <v/>
      </c>
      <c r="G102" s="43" t="n"/>
      <c r="H102" s="41">
        <f>IF($G102="","",$E102-$G102)</f>
        <v/>
      </c>
    </row>
    <row r="103">
      <c r="A103" s="13" t="inlineStr">
        <is>
          <t>2601701</t>
        </is>
      </c>
      <c r="B103" s="13" t="inlineStr">
        <is>
          <t>CEOi - TLP Brand Video</t>
        </is>
      </c>
      <c r="C103" s="41">
        <f>SUMIFS(tbl_WIP[Amount],tbl_WIP[Job Number],$A103,tbl_WIP[Month],"&lt;&gt;",tbl_WIP[Month],"&lt;"&amp;$C$4)</f>
        <v/>
      </c>
      <c r="D103" s="41">
        <f>SUMIFS(tbl_WIP[Amount],tbl_WIP[Job Number],$A103,tbl_WIP[Month],$C$4)</f>
        <v/>
      </c>
      <c r="E103" s="41">
        <f>C103+D103</f>
        <v/>
      </c>
      <c r="F103" s="42">
        <f>IF(ROUND(C103,2)+ROUND(D103,2)=0,"","yes")</f>
        <v/>
      </c>
      <c r="G103" s="43" t="n"/>
      <c r="H103" s="41">
        <f>IF($G103="","",$E103-$G103)</f>
        <v/>
      </c>
    </row>
    <row r="104">
      <c r="A104" s="13" t="inlineStr">
        <is>
          <t>26021602</t>
        </is>
      </c>
      <c r="B104" s="13" t="inlineStr">
        <is>
          <t>Gen E ABS AV Support (Canberra)</t>
        </is>
      </c>
      <c r="C104" s="41">
        <f>SUMIFS(tbl_WIP[Amount],tbl_WIP[Job Number],$A104,tbl_WIP[Month],"&lt;&gt;",tbl_WIP[Month],"&lt;"&amp;$C$4)</f>
        <v/>
      </c>
      <c r="D104" s="41">
        <f>SUMIFS(tbl_WIP[Amount],tbl_WIP[Job Number],$A104,tbl_WIP[Month],$C$4)</f>
        <v/>
      </c>
      <c r="E104" s="41">
        <f>C104+D104</f>
        <v/>
      </c>
      <c r="F104" s="42">
        <f>IF(ROUND(C104,2)+ROUND(D104,2)=0,"","yes")</f>
        <v/>
      </c>
      <c r="G104" s="43" t="n"/>
      <c r="H104" s="41">
        <f>IF($G104="","",$E104-$G104)</f>
        <v/>
      </c>
    </row>
    <row r="105">
      <c r="A105" s="13" t="inlineStr">
        <is>
          <t>26021602N</t>
        </is>
      </c>
      <c r="B105" s="13" t="inlineStr">
        <is>
          <t>Gen E ABS AV Support (Canberra) [ONS non-chargeable]</t>
        </is>
      </c>
      <c r="C105" s="41">
        <f>SUMIFS(tbl_WIP[Amount],tbl_WIP[Job Number],$A105,tbl_WIP[Month],"&lt;&gt;",tbl_WIP[Month],"&lt;"&amp;$C$4)</f>
        <v/>
      </c>
      <c r="D105" s="41">
        <f>SUMIFS(tbl_WIP[Amount],tbl_WIP[Job Number],$A105,tbl_WIP[Month],$C$4)</f>
        <v/>
      </c>
      <c r="E105" s="41">
        <f>C105+D105</f>
        <v/>
      </c>
      <c r="F105" s="42">
        <f>IF(ROUND(C105,2)+ROUND(D105,2)=0,"","yes")</f>
        <v/>
      </c>
      <c r="G105" s="43" t="n"/>
      <c r="H105" s="41">
        <f>IF($G105="","",$E105-$G105)</f>
        <v/>
      </c>
    </row>
    <row r="106">
      <c r="A106" s="13" t="inlineStr">
        <is>
          <t>26021801</t>
        </is>
      </c>
      <c r="B106" s="13" t="inlineStr">
        <is>
          <t>Aware Super Seminar Room AV Upgrade</t>
        </is>
      </c>
      <c r="C106" s="41">
        <f>SUMIFS(tbl_WIP[Amount],tbl_WIP[Job Number],$A106,tbl_WIP[Month],"&lt;&gt;",tbl_WIP[Month],"&lt;"&amp;$C$4)</f>
        <v/>
      </c>
      <c r="D106" s="41">
        <f>SUMIFS(tbl_WIP[Amount],tbl_WIP[Job Number],$A106,tbl_WIP[Month],$C$4)</f>
        <v/>
      </c>
      <c r="E106" s="41">
        <f>C106+D106</f>
        <v/>
      </c>
      <c r="F106" s="42">
        <f>IF(ROUND(C106,2)+ROUND(D106,2)=0,"","yes")</f>
        <v/>
      </c>
      <c r="G106" s="43" t="n"/>
      <c r="H106" s="41">
        <f>IF($G106="","",$E106-$G106)</f>
        <v/>
      </c>
    </row>
    <row r="107">
      <c r="A107" s="13" t="inlineStr">
        <is>
          <t>2602203</t>
        </is>
      </c>
      <c r="B107" s="13" t="inlineStr">
        <is>
          <t>YSG Studio Orange Room Upgrade</t>
        </is>
      </c>
      <c r="C107" s="41">
        <f>SUMIFS(tbl_WIP[Amount],tbl_WIP[Job Number],$A107,tbl_WIP[Month],"&lt;&gt;",tbl_WIP[Month],"&lt;"&amp;$C$4)</f>
        <v/>
      </c>
      <c r="D107" s="41">
        <f>SUMIFS(tbl_WIP[Amount],tbl_WIP[Job Number],$A107,tbl_WIP[Month],$C$4)</f>
        <v/>
      </c>
      <c r="E107" s="41">
        <f>C107+D107</f>
        <v/>
      </c>
      <c r="F107" s="42">
        <f>IF(ROUND(C107,2)+ROUND(D107,2)=0,"","yes")</f>
        <v/>
      </c>
      <c r="G107" s="43" t="n"/>
      <c r="H107" s="41">
        <f>IF($G107="","",$E107-$G107)</f>
        <v/>
      </c>
    </row>
    <row r="108">
      <c r="A108" s="13" t="inlineStr">
        <is>
          <t>26022301</t>
        </is>
      </c>
      <c r="B108" s="13" t="inlineStr">
        <is>
          <t>Aware Super AV Maintenance</t>
        </is>
      </c>
      <c r="C108" s="41">
        <f>SUMIFS(tbl_WIP[Amount],tbl_WIP[Job Number],$A108,tbl_WIP[Month],"&lt;&gt;",tbl_WIP[Month],"&lt;"&amp;$C$4)</f>
        <v/>
      </c>
      <c r="D108" s="41">
        <f>SUMIFS(tbl_WIP[Amount],tbl_WIP[Job Number],$A108,tbl_WIP[Month],$C$4)</f>
        <v/>
      </c>
      <c r="E108" s="41">
        <f>C108+D108</f>
        <v/>
      </c>
      <c r="F108" s="42">
        <f>IF(ROUND(C108,2)+ROUND(D108,2)=0,"","yes")</f>
        <v/>
      </c>
      <c r="G108" s="43" t="n"/>
      <c r="H108" s="41">
        <f>IF($G108="","",$E108-$G108)</f>
        <v/>
      </c>
    </row>
    <row r="109">
      <c r="A109" s="13" t="inlineStr">
        <is>
          <t>26022301C</t>
        </is>
      </c>
      <c r="B109" s="13" t="inlineStr">
        <is>
          <t>Aware Super AV Maintenance</t>
        </is>
      </c>
      <c r="C109" s="41">
        <f>SUMIFS(tbl_WIP[Amount],tbl_WIP[Job Number],$A109,tbl_WIP[Month],"&lt;&gt;",tbl_WIP[Month],"&lt;"&amp;$C$4)</f>
        <v/>
      </c>
      <c r="D109" s="41">
        <f>SUMIFS(tbl_WIP[Amount],tbl_WIP[Job Number],$A109,tbl_WIP[Month],$C$4)</f>
        <v/>
      </c>
      <c r="E109" s="41">
        <f>C109+D109</f>
        <v/>
      </c>
      <c r="F109" s="42">
        <f>IF(ROUND(C109,2)+ROUND(D109,2)=0,"","yes")</f>
        <v/>
      </c>
      <c r="G109" s="43" t="n"/>
      <c r="H109" s="41">
        <f>IF($G109="","",$E109-$G109)</f>
        <v/>
      </c>
    </row>
    <row r="110">
      <c r="A110" s="13" t="inlineStr">
        <is>
          <t>26022301NC</t>
        </is>
      </c>
      <c r="B110" s="13" t="inlineStr">
        <is>
          <t>Aware Super AV Maintenance Non-chargeable</t>
        </is>
      </c>
      <c r="C110" s="41">
        <f>SUMIFS(tbl_WIP[Amount],tbl_WIP[Job Number],$A110,tbl_WIP[Month],"&lt;&gt;",tbl_WIP[Month],"&lt;"&amp;$C$4)</f>
        <v/>
      </c>
      <c r="D110" s="41">
        <f>SUMIFS(tbl_WIP[Amount],tbl_WIP[Job Number],$A110,tbl_WIP[Month],$C$4)</f>
        <v/>
      </c>
      <c r="E110" s="41">
        <f>C110+D110</f>
        <v/>
      </c>
      <c r="F110" s="42">
        <f>IF(ROUND(C110,2)+ROUND(D110,2)=0,"","yes")</f>
        <v/>
      </c>
      <c r="G110" s="43" t="n"/>
      <c r="H110" s="41">
        <f>IF($G110="","",$E110-$G110)</f>
        <v/>
      </c>
    </row>
    <row r="111">
      <c r="A111" s="13" t="inlineStr">
        <is>
          <t>26022301P</t>
        </is>
      </c>
      <c r="B111" s="13" t="inlineStr">
        <is>
          <t>Aware Super AV Maintenance</t>
        </is>
      </c>
      <c r="C111" s="41">
        <f>SUMIFS(tbl_WIP[Amount],tbl_WIP[Job Number],$A111,tbl_WIP[Month],"&lt;&gt;",tbl_WIP[Month],"&lt;"&amp;$C$4)</f>
        <v/>
      </c>
      <c r="D111" s="41">
        <f>SUMIFS(tbl_WIP[Amount],tbl_WIP[Job Number],$A111,tbl_WIP[Month],$C$4)</f>
        <v/>
      </c>
      <c r="E111" s="41">
        <f>C111+D111</f>
        <v/>
      </c>
      <c r="F111" s="42">
        <f>IF(ROUND(C111,2)+ROUND(D111,2)=0,"","yes")</f>
        <v/>
      </c>
      <c r="G111" s="43" t="n"/>
      <c r="H111" s="41">
        <f>IF($G111="","",$E111-$G111)</f>
        <v/>
      </c>
    </row>
    <row r="112">
      <c r="A112" s="13" t="inlineStr">
        <is>
          <t>26022302</t>
        </is>
      </c>
      <c r="B112" s="13" t="inlineStr">
        <is>
          <t>GP - Talking Philanthropy - 18.9.26</t>
        </is>
      </c>
      <c r="C112" s="41">
        <f>SUMIFS(tbl_WIP[Amount],tbl_WIP[Job Number],$A112,tbl_WIP[Month],"&lt;&gt;",tbl_WIP[Month],"&lt;"&amp;$C$4)</f>
        <v/>
      </c>
      <c r="D112" s="41">
        <f>SUMIFS(tbl_WIP[Amount],tbl_WIP[Job Number],$A112,tbl_WIP[Month],$C$4)</f>
        <v/>
      </c>
      <c r="E112" s="41">
        <f>C112+D112</f>
        <v/>
      </c>
      <c r="F112" s="42">
        <f>IF(ROUND(C112,2)+ROUND(D112,2)=0,"","yes")</f>
        <v/>
      </c>
      <c r="G112" s="43" t="n"/>
      <c r="H112" s="41">
        <f>IF($G112="","",$E112-$G112)</f>
        <v/>
      </c>
    </row>
    <row r="113">
      <c r="A113" s="13" t="inlineStr">
        <is>
          <t>26022302V</t>
        </is>
      </c>
      <c r="B113" s="13" t="inlineStr">
        <is>
          <t>GP - Talking Philanthropy - 18.9.26</t>
        </is>
      </c>
      <c r="C113" s="41">
        <f>SUMIFS(tbl_WIP[Amount],tbl_WIP[Job Number],$A113,tbl_WIP[Month],"&lt;&gt;",tbl_WIP[Month],"&lt;"&amp;$C$4)</f>
        <v/>
      </c>
      <c r="D113" s="41">
        <f>SUMIFS(tbl_WIP[Amount],tbl_WIP[Job Number],$A113,tbl_WIP[Month],$C$4)</f>
        <v/>
      </c>
      <c r="E113" s="41">
        <f>C113+D113</f>
        <v/>
      </c>
      <c r="F113" s="42">
        <f>IF(ROUND(C113,2)+ROUND(D113,2)=0,"","yes")</f>
        <v/>
      </c>
      <c r="G113" s="43" t="n"/>
      <c r="H113" s="41">
        <f>IF($G113="","",$E113-$G113)</f>
        <v/>
      </c>
    </row>
    <row r="114">
      <c r="A114" s="13" t="inlineStr">
        <is>
          <t>26022601</t>
        </is>
      </c>
      <c r="B114" s="13" t="inlineStr">
        <is>
          <t>ART - Annual Members Meeting - 25.11.26</t>
        </is>
      </c>
      <c r="C114" s="41">
        <f>SUMIFS(tbl_WIP[Amount],tbl_WIP[Job Number],$A114,tbl_WIP[Month],"&lt;&gt;",tbl_WIP[Month],"&lt;"&amp;$C$4)</f>
        <v/>
      </c>
      <c r="D114" s="41">
        <f>SUMIFS(tbl_WIP[Amount],tbl_WIP[Job Number],$A114,tbl_WIP[Month],$C$4)</f>
        <v/>
      </c>
      <c r="E114" s="41">
        <f>C114+D114</f>
        <v/>
      </c>
      <c r="F114" s="42">
        <f>IF(ROUND(C114,2)+ROUND(D114,2)=0,"","yes")</f>
        <v/>
      </c>
      <c r="G114" s="43" t="n"/>
      <c r="H114" s="41">
        <f>IF($G114="","",$E114-$G114)</f>
        <v/>
      </c>
    </row>
    <row r="115">
      <c r="A115" s="13" t="inlineStr">
        <is>
          <t>26022601V</t>
        </is>
      </c>
      <c r="B115" s="13" t="inlineStr">
        <is>
          <t>ART - Annual Members Meeting - 25.11.26</t>
        </is>
      </c>
      <c r="C115" s="41">
        <f>SUMIFS(tbl_WIP[Amount],tbl_WIP[Job Number],$A115,tbl_WIP[Month],"&lt;&gt;",tbl_WIP[Month],"&lt;"&amp;$C$4)</f>
        <v/>
      </c>
      <c r="D115" s="41">
        <f>SUMIFS(tbl_WIP[Amount],tbl_WIP[Job Number],$A115,tbl_WIP[Month],$C$4)</f>
        <v/>
      </c>
      <c r="E115" s="41">
        <f>C115+D115</f>
        <v/>
      </c>
      <c r="F115" s="42">
        <f>IF(ROUND(C115,2)+ROUND(D115,2)=0,"","yes")</f>
        <v/>
      </c>
      <c r="G115" s="43" t="n"/>
      <c r="H115" s="41">
        <f>IF($G115="","",$E115-$G115)</f>
        <v/>
      </c>
    </row>
    <row r="116">
      <c r="A116" s="13" t="inlineStr">
        <is>
          <t>2602901</t>
        </is>
      </c>
      <c r="B116" s="13" t="inlineStr">
        <is>
          <t>HP-Telstra: Phone Modification</t>
        </is>
      </c>
      <c r="C116" s="41">
        <f>SUMIFS(tbl_WIP[Amount],tbl_WIP[Job Number],$A116,tbl_WIP[Month],"&lt;&gt;",tbl_WIP[Month],"&lt;"&amp;$C$4)</f>
        <v/>
      </c>
      <c r="D116" s="41">
        <f>SUMIFS(tbl_WIP[Amount],tbl_WIP[Job Number],$A116,tbl_WIP[Month],$C$4)</f>
        <v/>
      </c>
      <c r="E116" s="41">
        <f>C116+D116</f>
        <v/>
      </c>
      <c r="F116" s="42">
        <f>IF(ROUND(C116,2)+ROUND(D116,2)=0,"","yes")</f>
        <v/>
      </c>
      <c r="G116" s="43" t="n"/>
      <c r="H116" s="41">
        <f>IF($G116="","",$E116-$G116)</f>
        <v/>
      </c>
    </row>
    <row r="117">
      <c r="A117" s="13" t="inlineStr">
        <is>
          <t>2603104</t>
        </is>
      </c>
      <c r="B117" s="13" t="inlineStr">
        <is>
          <t>Cochlear FY26 Results 18.8.26</t>
        </is>
      </c>
      <c r="C117" s="41">
        <f>SUMIFS(tbl_WIP[Amount],tbl_WIP[Job Number],$A117,tbl_WIP[Month],"&lt;&gt;",tbl_WIP[Month],"&lt;"&amp;$C$4)</f>
        <v/>
      </c>
      <c r="D117" s="41">
        <f>SUMIFS(tbl_WIP[Amount],tbl_WIP[Job Number],$A117,tbl_WIP[Month],$C$4)</f>
        <v/>
      </c>
      <c r="E117" s="41">
        <f>C117+D117</f>
        <v/>
      </c>
      <c r="F117" s="42">
        <f>IF(ROUND(C117,2)+ROUND(D117,2)=0,"","yes")</f>
        <v/>
      </c>
      <c r="G117" s="43" t="n"/>
      <c r="H117" s="41">
        <f>IF($G117="","",$E117-$G117)</f>
        <v/>
      </c>
    </row>
    <row r="118">
      <c r="A118" s="13" t="inlineStr">
        <is>
          <t>2603104V</t>
        </is>
      </c>
      <c r="B118" s="13" t="inlineStr">
        <is>
          <t>Cochlear FY26 Results 18.8.26</t>
        </is>
      </c>
      <c r="C118" s="41">
        <f>SUMIFS(tbl_WIP[Amount],tbl_WIP[Job Number],$A118,tbl_WIP[Month],"&lt;&gt;",tbl_WIP[Month],"&lt;"&amp;$C$4)</f>
        <v/>
      </c>
      <c r="D118" s="41">
        <f>SUMIFS(tbl_WIP[Amount],tbl_WIP[Job Number],$A118,tbl_WIP[Month],$C$4)</f>
        <v/>
      </c>
      <c r="E118" s="41">
        <f>C118+D118</f>
        <v/>
      </c>
      <c r="F118" s="42">
        <f>IF(ROUND(C118,2)+ROUND(D118,2)=0,"","yes")</f>
        <v/>
      </c>
      <c r="G118" s="43" t="n"/>
      <c r="H118" s="41">
        <f>IF($G118="","",$E118-$G118)</f>
        <v/>
      </c>
    </row>
    <row r="119">
      <c r="A119" s="13" t="inlineStr">
        <is>
          <t>2603105</t>
        </is>
      </c>
      <c r="B119" s="13" t="inlineStr">
        <is>
          <t>Cochlear - AGM - 26.10.26</t>
        </is>
      </c>
      <c r="C119" s="41">
        <f>SUMIFS(tbl_WIP[Amount],tbl_WIP[Job Number],$A119,tbl_WIP[Month],"&lt;&gt;",tbl_WIP[Month],"&lt;"&amp;$C$4)</f>
        <v/>
      </c>
      <c r="D119" s="41">
        <f>SUMIFS(tbl_WIP[Amount],tbl_WIP[Job Number],$A119,tbl_WIP[Month],$C$4)</f>
        <v/>
      </c>
      <c r="E119" s="41">
        <f>C119+D119</f>
        <v/>
      </c>
      <c r="F119" s="42">
        <f>IF(ROUND(C119,2)+ROUND(D119,2)=0,"","yes")</f>
        <v/>
      </c>
      <c r="G119" s="43" t="n"/>
      <c r="H119" s="41">
        <f>IF($G119="","",$E119-$G119)</f>
        <v/>
      </c>
    </row>
    <row r="120">
      <c r="A120" s="13" t="inlineStr">
        <is>
          <t>2603105V</t>
        </is>
      </c>
      <c r="B120" s="13" t="inlineStr">
        <is>
          <t>Cochlear - AGM - 26.10.26</t>
        </is>
      </c>
      <c r="C120" s="41">
        <f>SUMIFS(tbl_WIP[Amount],tbl_WIP[Job Number],$A120,tbl_WIP[Month],"&lt;&gt;",tbl_WIP[Month],"&lt;"&amp;$C$4)</f>
        <v/>
      </c>
      <c r="D120" s="41">
        <f>SUMIFS(tbl_WIP[Amount],tbl_WIP[Job Number],$A120,tbl_WIP[Month],$C$4)</f>
        <v/>
      </c>
      <c r="E120" s="41">
        <f>C120+D120</f>
        <v/>
      </c>
      <c r="F120" s="42">
        <f>IF(ROUND(C120,2)+ROUND(D120,2)=0,"","yes")</f>
        <v/>
      </c>
      <c r="G120" s="43" t="n"/>
      <c r="H120" s="41">
        <f>IF($G120="","",$E120-$G120)</f>
        <v/>
      </c>
    </row>
    <row r="121">
      <c r="A121" s="13" t="inlineStr">
        <is>
          <t>2603202</t>
        </is>
      </c>
      <c r="B121" s="13" t="inlineStr">
        <is>
          <t>Property NSW 5 O’Keefe Ave Nowra Workplace Hub</t>
        </is>
      </c>
      <c r="C121" s="41">
        <f>SUMIFS(tbl_WIP[Amount],tbl_WIP[Job Number],$A121,tbl_WIP[Month],"&lt;&gt;",tbl_WIP[Month],"&lt;"&amp;$C$4)</f>
        <v/>
      </c>
      <c r="D121" s="41">
        <f>SUMIFS(tbl_WIP[Amount],tbl_WIP[Job Number],$A121,tbl_WIP[Month],$C$4)</f>
        <v/>
      </c>
      <c r="E121" s="41">
        <f>C121+D121</f>
        <v/>
      </c>
      <c r="F121" s="42">
        <f>IF(ROUND(C121,2)+ROUND(D121,2)=0,"","yes")</f>
        <v/>
      </c>
      <c r="G121" s="43" t="n"/>
      <c r="H121" s="41">
        <f>IF($G121="","",$E121-$G121)</f>
        <v/>
      </c>
    </row>
    <row r="122">
      <c r="A122" s="13" t="inlineStr">
        <is>
          <t>26032301</t>
        </is>
      </c>
      <c r="B122" s="13" t="inlineStr">
        <is>
          <t>RSNSW - OGM - 1.7.2026</t>
        </is>
      </c>
      <c r="C122" s="41">
        <f>SUMIFS(tbl_WIP[Amount],tbl_WIP[Job Number],$A122,tbl_WIP[Month],"&lt;&gt;",tbl_WIP[Month],"&lt;"&amp;$C$4)</f>
        <v/>
      </c>
      <c r="D122" s="41">
        <f>SUMIFS(tbl_WIP[Amount],tbl_WIP[Job Number],$A122,tbl_WIP[Month],$C$4)</f>
        <v/>
      </c>
      <c r="E122" s="41">
        <f>C122+D122</f>
        <v/>
      </c>
      <c r="F122" s="42">
        <f>IF(ROUND(C122,2)+ROUND(D122,2)=0,"","yes")</f>
        <v/>
      </c>
      <c r="G122" s="43" t="n"/>
      <c r="H122" s="41">
        <f>IF($G122="","",$E122-$G122)</f>
        <v/>
      </c>
    </row>
    <row r="123">
      <c r="A123" s="13" t="inlineStr">
        <is>
          <t>26032301V</t>
        </is>
      </c>
      <c r="B123" s="13" t="inlineStr">
        <is>
          <t>RSNSW - OGM - 1.7.2026</t>
        </is>
      </c>
      <c r="C123" s="41">
        <f>SUMIFS(tbl_WIP[Amount],tbl_WIP[Job Number],$A123,tbl_WIP[Month],"&lt;&gt;",tbl_WIP[Month],"&lt;"&amp;$C$4)</f>
        <v/>
      </c>
      <c r="D123" s="41">
        <f>SUMIFS(tbl_WIP[Amount],tbl_WIP[Job Number],$A123,tbl_WIP[Month],$C$4)</f>
        <v/>
      </c>
      <c r="E123" s="41">
        <f>C123+D123</f>
        <v/>
      </c>
      <c r="F123" s="42">
        <f>IF(ROUND(C123,2)+ROUND(D123,2)=0,"","yes")</f>
        <v/>
      </c>
      <c r="G123" s="43" t="n"/>
      <c r="H123" s="41">
        <f>IF($G123="","",$E123-$G123)</f>
        <v/>
      </c>
    </row>
    <row r="124">
      <c r="A124" s="13" t="inlineStr">
        <is>
          <t>26032302</t>
        </is>
      </c>
      <c r="B124" s="13" t="inlineStr">
        <is>
          <t>RSNSW - OGM - 2.9.2026</t>
        </is>
      </c>
      <c r="C124" s="41">
        <f>SUMIFS(tbl_WIP[Amount],tbl_WIP[Job Number],$A124,tbl_WIP[Month],"&lt;&gt;",tbl_WIP[Month],"&lt;"&amp;$C$4)</f>
        <v/>
      </c>
      <c r="D124" s="41">
        <f>SUMIFS(tbl_WIP[Amount],tbl_WIP[Job Number],$A124,tbl_WIP[Month],$C$4)</f>
        <v/>
      </c>
      <c r="E124" s="41">
        <f>C124+D124</f>
        <v/>
      </c>
      <c r="F124" s="42">
        <f>IF(ROUND(C124,2)+ROUND(D124,2)=0,"","yes")</f>
        <v/>
      </c>
      <c r="G124" s="43" t="n"/>
      <c r="H124" s="41">
        <f>IF($G124="","",$E124-$G124)</f>
        <v/>
      </c>
    </row>
    <row r="125">
      <c r="A125" s="13" t="inlineStr">
        <is>
          <t>26032302V</t>
        </is>
      </c>
      <c r="B125" s="13" t="inlineStr">
        <is>
          <t>RSNSW - OGM - 2.9.2026</t>
        </is>
      </c>
      <c r="C125" s="41">
        <f>SUMIFS(tbl_WIP[Amount],tbl_WIP[Job Number],$A125,tbl_WIP[Month],"&lt;&gt;",tbl_WIP[Month],"&lt;"&amp;$C$4)</f>
        <v/>
      </c>
      <c r="D125" s="41">
        <f>SUMIFS(tbl_WIP[Amount],tbl_WIP[Job Number],$A125,tbl_WIP[Month],$C$4)</f>
        <v/>
      </c>
      <c r="E125" s="41">
        <f>C125+D125</f>
        <v/>
      </c>
      <c r="F125" s="42">
        <f>IF(ROUND(C125,2)+ROUND(D125,2)=0,"","yes")</f>
        <v/>
      </c>
      <c r="G125" s="43" t="n"/>
      <c r="H125" s="41">
        <f>IF($G125="","",$E125-$G125)</f>
        <v/>
      </c>
    </row>
    <row r="126">
      <c r="A126" s="13" t="inlineStr">
        <is>
          <t>26032501</t>
        </is>
      </c>
      <c r="B126" s="13" t="inlineStr">
        <is>
          <t>ChorusCall - Regal Partners AGM - 28.5.26</t>
        </is>
      </c>
      <c r="C126" s="41">
        <f>SUMIFS(tbl_WIP[Amount],tbl_WIP[Job Number],$A126,tbl_WIP[Month],"&lt;&gt;",tbl_WIP[Month],"&lt;"&amp;$C$4)</f>
        <v/>
      </c>
      <c r="D126" s="41">
        <f>SUMIFS(tbl_WIP[Amount],tbl_WIP[Job Number],$A126,tbl_WIP[Month],$C$4)</f>
        <v/>
      </c>
      <c r="E126" s="41">
        <f>C126+D126</f>
        <v/>
      </c>
      <c r="F126" s="42">
        <f>IF(ROUND(C126,2)+ROUND(D126,2)=0,"","yes")</f>
        <v/>
      </c>
      <c r="G126" s="43" t="n"/>
      <c r="H126" s="41">
        <f>IF($G126="","",$E126-$G126)</f>
        <v/>
      </c>
    </row>
    <row r="127">
      <c r="A127" s="13" t="inlineStr">
        <is>
          <t>26032502</t>
        </is>
      </c>
      <c r="B127" s="13" t="inlineStr">
        <is>
          <t>3YS Owls - Governance Top 100 2026 - 30.10.26</t>
        </is>
      </c>
      <c r="C127" s="41">
        <f>SUMIFS(tbl_WIP[Amount],tbl_WIP[Job Number],$A127,tbl_WIP[Month],"&lt;&gt;",tbl_WIP[Month],"&lt;"&amp;$C$4)</f>
        <v/>
      </c>
      <c r="D127" s="41">
        <f>SUMIFS(tbl_WIP[Amount],tbl_WIP[Job Number],$A127,tbl_WIP[Month],$C$4)</f>
        <v/>
      </c>
      <c r="E127" s="41">
        <f>C127+D127</f>
        <v/>
      </c>
      <c r="F127" s="42">
        <f>IF(ROUND(C127,2)+ROUND(D127,2)=0,"","yes")</f>
        <v/>
      </c>
      <c r="G127" s="43" t="n"/>
      <c r="H127" s="41">
        <f>IF($G127="","",$E127-$G127)</f>
        <v/>
      </c>
    </row>
    <row r="128">
      <c r="A128" s="13" t="inlineStr">
        <is>
          <t>26032502V</t>
        </is>
      </c>
      <c r="B128" s="13" t="inlineStr">
        <is>
          <t>3YS Owls - Governance Top 100 2026 - 30.10.26</t>
        </is>
      </c>
      <c r="C128" s="41">
        <f>SUMIFS(tbl_WIP[Amount],tbl_WIP[Job Number],$A128,tbl_WIP[Month],"&lt;&gt;",tbl_WIP[Month],"&lt;"&amp;$C$4)</f>
        <v/>
      </c>
      <c r="D128" s="41">
        <f>SUMIFS(tbl_WIP[Amount],tbl_WIP[Job Number],$A128,tbl_WIP[Month],$C$4)</f>
        <v/>
      </c>
      <c r="E128" s="41">
        <f>C128+D128</f>
        <v/>
      </c>
      <c r="F128" s="42">
        <f>IF(ROUND(C128,2)+ROUND(D128,2)=0,"","yes")</f>
        <v/>
      </c>
      <c r="G128" s="43" t="n"/>
      <c r="H128" s="41">
        <f>IF($G128="","",$E128-$G128)</f>
        <v/>
      </c>
    </row>
    <row r="129">
      <c r="A129" s="13" t="inlineStr">
        <is>
          <t>26032701</t>
        </is>
      </c>
      <c r="B129" s="13" t="inlineStr">
        <is>
          <t>MUFG - A1N AGM - 7.5.26</t>
        </is>
      </c>
      <c r="C129" s="41">
        <f>SUMIFS(tbl_WIP[Amount],tbl_WIP[Job Number],$A129,tbl_WIP[Month],"&lt;&gt;",tbl_WIP[Month],"&lt;"&amp;$C$4)</f>
        <v/>
      </c>
      <c r="D129" s="41">
        <f>SUMIFS(tbl_WIP[Amount],tbl_WIP[Job Number],$A129,tbl_WIP[Month],$C$4)</f>
        <v/>
      </c>
      <c r="E129" s="41">
        <f>C129+D129</f>
        <v/>
      </c>
      <c r="F129" s="42">
        <f>IF(ROUND(C129,2)+ROUND(D129,2)=0,"","yes")</f>
        <v/>
      </c>
      <c r="G129" s="43" t="n"/>
      <c r="H129" s="41">
        <f>IF($G129="","",$E129-$G129)</f>
        <v/>
      </c>
    </row>
    <row r="130">
      <c r="A130" s="13" t="inlineStr">
        <is>
          <t>26032701V</t>
        </is>
      </c>
      <c r="B130" s="13" t="inlineStr">
        <is>
          <t>MUFG - A1N AGM - 7.5.26</t>
        </is>
      </c>
      <c r="C130" s="41">
        <f>SUMIFS(tbl_WIP[Amount],tbl_WIP[Job Number],$A130,tbl_WIP[Month],"&lt;&gt;",tbl_WIP[Month],"&lt;"&amp;$C$4)</f>
        <v/>
      </c>
      <c r="D130" s="41">
        <f>SUMIFS(tbl_WIP[Amount],tbl_WIP[Job Number],$A130,tbl_WIP[Month],$C$4)</f>
        <v/>
      </c>
      <c r="E130" s="41">
        <f>C130+D130</f>
        <v/>
      </c>
      <c r="F130" s="42">
        <f>IF(ROUND(C130,2)+ROUND(D130,2)=0,"","yes")</f>
        <v/>
      </c>
      <c r="G130" s="43" t="n"/>
      <c r="H130" s="41">
        <f>IF($G130="","",$E130-$G130)</f>
        <v/>
      </c>
    </row>
    <row r="131">
      <c r="A131" s="13" t="inlineStr">
        <is>
          <t>26032702</t>
        </is>
      </c>
      <c r="B131" s="13" t="inlineStr">
        <is>
          <t>Ventia Transport Australia and Ventia Networking 6.5.26</t>
        </is>
      </c>
      <c r="C131" s="41">
        <f>SUMIFS(tbl_WIP[Amount],tbl_WIP[Job Number],$A131,tbl_WIP[Month],"&lt;&gt;",tbl_WIP[Month],"&lt;"&amp;$C$4)</f>
        <v/>
      </c>
      <c r="D131" s="41">
        <f>SUMIFS(tbl_WIP[Amount],tbl_WIP[Job Number],$A131,tbl_WIP[Month],$C$4)</f>
        <v/>
      </c>
      <c r="E131" s="41">
        <f>C131+D131</f>
        <v/>
      </c>
      <c r="F131" s="42">
        <f>IF(ROUND(C131,2)+ROUND(D131,2)=0,"","yes")</f>
        <v/>
      </c>
      <c r="G131" s="43" t="n"/>
      <c r="H131" s="41">
        <f>IF($G131="","",$E131-$G131)</f>
        <v/>
      </c>
    </row>
    <row r="132">
      <c r="A132" s="13" t="inlineStr">
        <is>
          <t>26032704</t>
        </is>
      </c>
      <c r="B132" s="13" t="inlineStr">
        <is>
          <t>CBA LES - April 2026</t>
        </is>
      </c>
      <c r="C132" s="41">
        <f>SUMIFS(tbl_WIP[Amount],tbl_WIP[Job Number],$A132,tbl_WIP[Month],"&lt;&gt;",tbl_WIP[Month],"&lt;"&amp;$C$4)</f>
        <v/>
      </c>
      <c r="D132" s="41">
        <f>SUMIFS(tbl_WIP[Amount],tbl_WIP[Job Number],$A132,tbl_WIP[Month],$C$4)</f>
        <v/>
      </c>
      <c r="E132" s="41">
        <f>C132+D132</f>
        <v/>
      </c>
      <c r="F132" s="42">
        <f>IF(ROUND(C132,2)+ROUND(D132,2)=0,"","yes")</f>
        <v/>
      </c>
      <c r="G132" s="43" t="n"/>
      <c r="H132" s="41">
        <f>IF($G132="","",$E132-$G132)</f>
        <v/>
      </c>
    </row>
    <row r="133">
      <c r="A133" s="13" t="inlineStr">
        <is>
          <t>26033003</t>
        </is>
      </c>
      <c r="B133" s="13" t="inlineStr">
        <is>
          <t>DTTL 8PSQ Dream Big Microphones</t>
        </is>
      </c>
      <c r="C133" s="41">
        <f>SUMIFS(tbl_WIP[Amount],tbl_WIP[Job Number],$A133,tbl_WIP[Month],"&lt;&gt;",tbl_WIP[Month],"&lt;"&amp;$C$4)</f>
        <v/>
      </c>
      <c r="D133" s="41">
        <f>SUMIFS(tbl_WIP[Amount],tbl_WIP[Job Number],$A133,tbl_WIP[Month],$C$4)</f>
        <v/>
      </c>
      <c r="E133" s="41">
        <f>C133+D133</f>
        <v/>
      </c>
      <c r="F133" s="42">
        <f>IF(ROUND(C133,2)+ROUND(D133,2)=0,"","yes")</f>
        <v/>
      </c>
      <c r="G133" s="43" t="n"/>
      <c r="H133" s="41">
        <f>IF($G133="","",$E133-$G133)</f>
        <v/>
      </c>
    </row>
    <row r="134">
      <c r="A134" s="13" t="inlineStr">
        <is>
          <t>26033004</t>
        </is>
      </c>
      <c r="B134" s="13" t="inlineStr">
        <is>
          <t>DTTL Melbourne Bluetooth Audio</t>
        </is>
      </c>
      <c r="C134" s="41">
        <f>SUMIFS(tbl_WIP[Amount],tbl_WIP[Job Number],$A134,tbl_WIP[Month],"&lt;&gt;",tbl_WIP[Month],"&lt;"&amp;$C$4)</f>
        <v/>
      </c>
      <c r="D134" s="41">
        <f>SUMIFS(tbl_WIP[Amount],tbl_WIP[Job Number],$A134,tbl_WIP[Month],$C$4)</f>
        <v/>
      </c>
      <c r="E134" s="41">
        <f>C134+D134</f>
        <v/>
      </c>
      <c r="F134" s="42">
        <f>IF(ROUND(C134,2)+ROUND(D134,2)=0,"","yes")</f>
        <v/>
      </c>
      <c r="G134" s="43" t="n"/>
      <c r="H134" s="41">
        <f>IF($G134="","",$E134-$G134)</f>
        <v/>
      </c>
    </row>
    <row r="135">
      <c r="A135" s="13" t="inlineStr">
        <is>
          <t>26033005</t>
        </is>
      </c>
      <c r="B135" s="13" t="inlineStr">
        <is>
          <t>DTTL QQT &amp; 8PSQ Crestron Connect Adaptor</t>
        </is>
      </c>
      <c r="C135" s="41">
        <f>SUMIFS(tbl_WIP[Amount],tbl_WIP[Job Number],$A135,tbl_WIP[Month],"&lt;&gt;",tbl_WIP[Month],"&lt;"&amp;$C$4)</f>
        <v/>
      </c>
      <c r="D135" s="41">
        <f>SUMIFS(tbl_WIP[Amount],tbl_WIP[Job Number],$A135,tbl_WIP[Month],$C$4)</f>
        <v/>
      </c>
      <c r="E135" s="41">
        <f>C135+D135</f>
        <v/>
      </c>
      <c r="F135" s="42">
        <f>IF(ROUND(C135,2)+ROUND(D135,2)=0,"","yes")</f>
        <v/>
      </c>
      <c r="G135" s="43" t="n"/>
      <c r="H135" s="41">
        <f>IF($G135="","",$E135-$G135)</f>
        <v/>
      </c>
    </row>
    <row r="136">
      <c r="A136" s="13" t="inlineStr">
        <is>
          <t>26033006</t>
        </is>
      </c>
      <c r="B136" s="13" t="inlineStr">
        <is>
          <t>DTTL 8PSQ Bluetooth Audio</t>
        </is>
      </c>
      <c r="C136" s="41">
        <f>SUMIFS(tbl_WIP[Amount],tbl_WIP[Job Number],$A136,tbl_WIP[Month],"&lt;&gt;",tbl_WIP[Month],"&lt;"&amp;$C$4)</f>
        <v/>
      </c>
      <c r="D136" s="41">
        <f>SUMIFS(tbl_WIP[Amount],tbl_WIP[Job Number],$A136,tbl_WIP[Month],$C$4)</f>
        <v/>
      </c>
      <c r="E136" s="41">
        <f>C136+D136</f>
        <v/>
      </c>
      <c r="F136" s="42">
        <f>IF(ROUND(C136,2)+ROUND(D136,2)=0,"","yes")</f>
        <v/>
      </c>
      <c r="G136" s="43" t="n"/>
      <c r="H136" s="41">
        <f>IF($G136="","",$E136-$G136)</f>
        <v/>
      </c>
    </row>
    <row r="137">
      <c r="A137" s="13" t="inlineStr">
        <is>
          <t>26033007</t>
        </is>
      </c>
      <c r="B137" s="13" t="inlineStr">
        <is>
          <t>DTTL QQT Lv45 Seminar Wheels repair</t>
        </is>
      </c>
      <c r="C137" s="41">
        <f>SUMIFS(tbl_WIP[Amount],tbl_WIP[Job Number],$A137,tbl_WIP[Month],"&lt;&gt;",tbl_WIP[Month],"&lt;"&amp;$C$4)</f>
        <v/>
      </c>
      <c r="D137" s="41">
        <f>SUMIFS(tbl_WIP[Amount],tbl_WIP[Job Number],$A137,tbl_WIP[Month],$C$4)</f>
        <v/>
      </c>
      <c r="E137" s="41">
        <f>C137+D137</f>
        <v/>
      </c>
      <c r="F137" s="42">
        <f>IF(ROUND(C137,2)+ROUND(D137,2)=0,"","yes")</f>
        <v/>
      </c>
      <c r="G137" s="43" t="n"/>
      <c r="H137" s="41">
        <f>IF($G137="","",$E137-$G137)</f>
        <v/>
      </c>
    </row>
    <row r="138">
      <c r="A138" s="13" t="inlineStr">
        <is>
          <t>26033008</t>
        </is>
      </c>
      <c r="B138" s="13" t="inlineStr">
        <is>
          <t>DTTL MEL Repair of Lv31 LED panels</t>
        </is>
      </c>
      <c r="C138" s="41">
        <f>SUMIFS(tbl_WIP[Amount],tbl_WIP[Job Number],$A138,tbl_WIP[Month],"&lt;&gt;",tbl_WIP[Month],"&lt;"&amp;$C$4)</f>
        <v/>
      </c>
      <c r="D138" s="41">
        <f>SUMIFS(tbl_WIP[Amount],tbl_WIP[Job Number],$A138,tbl_WIP[Month],$C$4)</f>
        <v/>
      </c>
      <c r="E138" s="41">
        <f>C138+D138</f>
        <v/>
      </c>
      <c r="F138" s="42">
        <f>IF(ROUND(C138,2)+ROUND(D138,2)=0,"","yes")</f>
        <v/>
      </c>
      <c r="G138" s="43" t="n"/>
      <c r="H138" s="41">
        <f>IF($G138="","",$E138-$G138)</f>
        <v/>
      </c>
    </row>
    <row r="139">
      <c r="A139" s="13" t="inlineStr">
        <is>
          <t>26041603</t>
        </is>
      </c>
      <c r="B139" s="13" t="inlineStr">
        <is>
          <t>Optiver - Town Hall - 23.7.26</t>
        </is>
      </c>
      <c r="C139" s="41">
        <f>SUMIFS(tbl_WIP[Amount],tbl_WIP[Job Number],$A139,tbl_WIP[Month],"&lt;&gt;",tbl_WIP[Month],"&lt;"&amp;$C$4)</f>
        <v/>
      </c>
      <c r="D139" s="41">
        <f>SUMIFS(tbl_WIP[Amount],tbl_WIP[Job Number],$A139,tbl_WIP[Month],$C$4)</f>
        <v/>
      </c>
      <c r="E139" s="41">
        <f>C139+D139</f>
        <v/>
      </c>
      <c r="F139" s="42">
        <f>IF(ROUND(C139,2)+ROUND(D139,2)=0,"","yes")</f>
        <v/>
      </c>
      <c r="G139" s="43" t="n"/>
      <c r="H139" s="41">
        <f>IF($G139="","",$E139-$G139)</f>
        <v/>
      </c>
    </row>
    <row r="140">
      <c r="A140" s="13" t="inlineStr">
        <is>
          <t>26041603V</t>
        </is>
      </c>
      <c r="B140" s="13" t="inlineStr">
        <is>
          <t>Optiver - Town Hall - 23.7.26</t>
        </is>
      </c>
      <c r="C140" s="41">
        <f>SUMIFS(tbl_WIP[Amount],tbl_WIP[Job Number],$A140,tbl_WIP[Month],"&lt;&gt;",tbl_WIP[Month],"&lt;"&amp;$C$4)</f>
        <v/>
      </c>
      <c r="D140" s="41">
        <f>SUMIFS(tbl_WIP[Amount],tbl_WIP[Job Number],$A140,tbl_WIP[Month],$C$4)</f>
        <v/>
      </c>
      <c r="E140" s="41">
        <f>C140+D140</f>
        <v/>
      </c>
      <c r="F140" s="42">
        <f>IF(ROUND(C140,2)+ROUND(D140,2)=0,"","yes")</f>
        <v/>
      </c>
      <c r="G140" s="43" t="n"/>
      <c r="H140" s="41">
        <f>IF($G140="","",$E140-$G140)</f>
        <v/>
      </c>
    </row>
    <row r="141">
      <c r="A141" s="13" t="inlineStr">
        <is>
          <t>26041701</t>
        </is>
      </c>
      <c r="B141" s="13" t="inlineStr">
        <is>
          <t>N2 Dance End of Year Concert Videos 2026</t>
        </is>
      </c>
      <c r="C141" s="41">
        <f>SUMIFS(tbl_WIP[Amount],tbl_WIP[Job Number],$A141,tbl_WIP[Month],"&lt;&gt;",tbl_WIP[Month],"&lt;"&amp;$C$4)</f>
        <v/>
      </c>
      <c r="D141" s="41">
        <f>SUMIFS(tbl_WIP[Amount],tbl_WIP[Job Number],$A141,tbl_WIP[Month],$C$4)</f>
        <v/>
      </c>
      <c r="E141" s="41">
        <f>C141+D141</f>
        <v/>
      </c>
      <c r="F141" s="42">
        <f>IF(ROUND(C141,2)+ROUND(D141,2)=0,"","yes")</f>
        <v/>
      </c>
      <c r="G141" s="43" t="n"/>
      <c r="H141" s="41">
        <f>IF($G141="","",$E141-$G141)</f>
        <v/>
      </c>
    </row>
    <row r="142">
      <c r="A142" s="13" t="inlineStr">
        <is>
          <t>26042001</t>
        </is>
      </c>
      <c r="B142" s="13" t="inlineStr">
        <is>
          <t>ASX - AGM - 22.10.26</t>
        </is>
      </c>
      <c r="C142" s="41">
        <f>SUMIFS(tbl_WIP[Amount],tbl_WIP[Job Number],$A142,tbl_WIP[Month],"&lt;&gt;",tbl_WIP[Month],"&lt;"&amp;$C$4)</f>
        <v/>
      </c>
      <c r="D142" s="41">
        <f>SUMIFS(tbl_WIP[Amount],tbl_WIP[Job Number],$A142,tbl_WIP[Month],$C$4)</f>
        <v/>
      </c>
      <c r="E142" s="41">
        <f>C142+D142</f>
        <v/>
      </c>
      <c r="F142" s="42">
        <f>IF(ROUND(C142,2)+ROUND(D142,2)=0,"","yes")</f>
        <v/>
      </c>
      <c r="G142" s="43" t="n"/>
      <c r="H142" s="41">
        <f>IF($G142="","",$E142-$G142)</f>
        <v/>
      </c>
    </row>
    <row r="143">
      <c r="A143" s="13" t="inlineStr">
        <is>
          <t>26042001V</t>
        </is>
      </c>
      <c r="B143" s="13" t="inlineStr">
        <is>
          <t>ASX - AGM - 22.10.26</t>
        </is>
      </c>
      <c r="C143" s="41">
        <f>SUMIFS(tbl_WIP[Amount],tbl_WIP[Job Number],$A143,tbl_WIP[Month],"&lt;&gt;",tbl_WIP[Month],"&lt;"&amp;$C$4)</f>
        <v/>
      </c>
      <c r="D143" s="41">
        <f>SUMIFS(tbl_WIP[Amount],tbl_WIP[Job Number],$A143,tbl_WIP[Month],$C$4)</f>
        <v/>
      </c>
      <c r="E143" s="41">
        <f>C143+D143</f>
        <v/>
      </c>
      <c r="F143" s="42">
        <f>IF(ROUND(C143,2)+ROUND(D143,2)=0,"","yes")</f>
        <v/>
      </c>
      <c r="G143" s="43" t="n"/>
      <c r="H143" s="41">
        <f>IF($G143="","",$E143-$G143)</f>
        <v/>
      </c>
    </row>
    <row r="144">
      <c r="A144" s="13" t="inlineStr">
        <is>
          <t>2604201</t>
        </is>
      </c>
      <c r="B144" s="13" t="inlineStr">
        <is>
          <t>Bankwest - Stage Hire - 27.5.2026</t>
        </is>
      </c>
      <c r="C144" s="41">
        <f>SUMIFS(tbl_WIP[Amount],tbl_WIP[Job Number],$A144,tbl_WIP[Month],"&lt;&gt;",tbl_WIP[Month],"&lt;"&amp;$C$4)</f>
        <v/>
      </c>
      <c r="D144" s="41">
        <f>SUMIFS(tbl_WIP[Amount],tbl_WIP[Job Number],$A144,tbl_WIP[Month],$C$4)</f>
        <v/>
      </c>
      <c r="E144" s="41">
        <f>C144+D144</f>
        <v/>
      </c>
      <c r="F144" s="42">
        <f>IF(ROUND(C144,2)+ROUND(D144,2)=0,"","yes")</f>
        <v/>
      </c>
      <c r="G144" s="43" t="n"/>
      <c r="H144" s="41">
        <f>IF($G144="","",$E144-$G144)</f>
        <v/>
      </c>
    </row>
    <row r="145">
      <c r="A145" s="13" t="inlineStr">
        <is>
          <t>2604202</t>
        </is>
      </c>
      <c r="B145" s="13" t="inlineStr">
        <is>
          <t>Ventia - Ventia Awards - 30.7.26</t>
        </is>
      </c>
      <c r="C145" s="41">
        <f>SUMIFS(tbl_WIP[Amount],tbl_WIP[Job Number],$A145,tbl_WIP[Month],"&lt;&gt;",tbl_WIP[Month],"&lt;"&amp;$C$4)</f>
        <v/>
      </c>
      <c r="D145" s="41">
        <f>SUMIFS(tbl_WIP[Amount],tbl_WIP[Job Number],$A145,tbl_WIP[Month],$C$4)</f>
        <v/>
      </c>
      <c r="E145" s="41">
        <f>C145+D145</f>
        <v/>
      </c>
      <c r="F145" s="42">
        <f>IF(ROUND(C145,2)+ROUND(D145,2)=0,"","yes")</f>
        <v/>
      </c>
      <c r="G145" s="43" t="n"/>
      <c r="H145" s="41">
        <f>IF($G145="","",$E145-$G145)</f>
        <v/>
      </c>
    </row>
    <row r="146">
      <c r="A146" s="13" t="inlineStr">
        <is>
          <t>2604202V</t>
        </is>
      </c>
      <c r="B146" s="13" t="inlineStr">
        <is>
          <t>Ventia - Ventia Awards - 30.7.26</t>
        </is>
      </c>
      <c r="C146" s="41">
        <f>SUMIFS(tbl_WIP[Amount],tbl_WIP[Job Number],$A146,tbl_WIP[Month],"&lt;&gt;",tbl_WIP[Month],"&lt;"&amp;$C$4)</f>
        <v/>
      </c>
      <c r="D146" s="41">
        <f>SUMIFS(tbl_WIP[Amount],tbl_WIP[Job Number],$A146,tbl_WIP[Month],$C$4)</f>
        <v/>
      </c>
      <c r="E146" s="41">
        <f>C146+D146</f>
        <v/>
      </c>
      <c r="F146" s="42">
        <f>IF(ROUND(C146,2)+ROUND(D146,2)=0,"","yes")</f>
        <v/>
      </c>
      <c r="G146" s="43" t="n"/>
      <c r="H146" s="41">
        <f>IF($G146="","",$E146-$G146)</f>
        <v/>
      </c>
    </row>
    <row r="147">
      <c r="A147" s="13" t="inlineStr">
        <is>
          <t>2604203V</t>
        </is>
      </c>
      <c r="B147" s="13" t="inlineStr">
        <is>
          <t>Ventia - Investor Day - 4.5.2026</t>
        </is>
      </c>
      <c r="C147" s="41">
        <f>SUMIFS(tbl_WIP[Amount],tbl_WIP[Job Number],$A147,tbl_WIP[Month],"&lt;&gt;",tbl_WIP[Month],"&lt;"&amp;$C$4)</f>
        <v/>
      </c>
      <c r="D147" s="41">
        <f>SUMIFS(tbl_WIP[Amount],tbl_WIP[Job Number],$A147,tbl_WIP[Month],$C$4)</f>
        <v/>
      </c>
      <c r="E147" s="41">
        <f>C147+D147</f>
        <v/>
      </c>
      <c r="F147" s="42">
        <f>IF(ROUND(C147,2)+ROUND(D147,2)=0,"","yes")</f>
        <v/>
      </c>
      <c r="G147" s="43" t="n"/>
      <c r="H147" s="41">
        <f>IF($G147="","",$E147-$G147)</f>
        <v/>
      </c>
    </row>
    <row r="148">
      <c r="A148" s="13" t="inlineStr">
        <is>
          <t>2604204</t>
        </is>
      </c>
      <c r="B148" s="13" t="inlineStr">
        <is>
          <t>Ventia - AGM - 21.5.26</t>
        </is>
      </c>
      <c r="C148" s="41">
        <f>SUMIFS(tbl_WIP[Amount],tbl_WIP[Job Number],$A148,tbl_WIP[Month],"&lt;&gt;",tbl_WIP[Month],"&lt;"&amp;$C$4)</f>
        <v/>
      </c>
      <c r="D148" s="41">
        <f>SUMIFS(tbl_WIP[Amount],tbl_WIP[Job Number],$A148,tbl_WIP[Month],$C$4)</f>
        <v/>
      </c>
      <c r="E148" s="41">
        <f>C148+D148</f>
        <v/>
      </c>
      <c r="F148" s="42">
        <f>IF(ROUND(C148,2)+ROUND(D148,2)=0,"","yes")</f>
        <v/>
      </c>
      <c r="G148" s="43" t="n"/>
      <c r="H148" s="41">
        <f>IF($G148="","",$E148-$G148)</f>
        <v/>
      </c>
    </row>
    <row r="149">
      <c r="A149" s="13" t="inlineStr">
        <is>
          <t>2604204V</t>
        </is>
      </c>
      <c r="B149" s="13" t="inlineStr">
        <is>
          <t>Ventia - AGM - 21.5.26</t>
        </is>
      </c>
      <c r="C149" s="41">
        <f>SUMIFS(tbl_WIP[Amount],tbl_WIP[Job Number],$A149,tbl_WIP[Month],"&lt;&gt;",tbl_WIP[Month],"&lt;"&amp;$C$4)</f>
        <v/>
      </c>
      <c r="D149" s="41">
        <f>SUMIFS(tbl_WIP[Amount],tbl_WIP[Job Number],$A149,tbl_WIP[Month],$C$4)</f>
        <v/>
      </c>
      <c r="E149" s="41">
        <f>C149+D149</f>
        <v/>
      </c>
      <c r="F149" s="42">
        <f>IF(ROUND(C149,2)+ROUND(D149,2)=0,"","yes")</f>
        <v/>
      </c>
      <c r="G149" s="43" t="n"/>
      <c r="H149" s="41">
        <f>IF($G149="","",$E149-$G149)</f>
        <v/>
      </c>
    </row>
    <row r="150">
      <c r="A150" s="13" t="inlineStr">
        <is>
          <t>26042802</t>
        </is>
      </c>
      <c r="B150" s="13" t="inlineStr">
        <is>
          <t>DTTL DAR Meeting Room Extension Cable Install</t>
        </is>
      </c>
      <c r="C150" s="41">
        <f>SUMIFS(tbl_WIP[Amount],tbl_WIP[Job Number],$A150,tbl_WIP[Month],"&lt;&gt;",tbl_WIP[Month],"&lt;"&amp;$C$4)</f>
        <v/>
      </c>
      <c r="D150" s="41">
        <f>SUMIFS(tbl_WIP[Amount],tbl_WIP[Job Number],$A150,tbl_WIP[Month],$C$4)</f>
        <v/>
      </c>
      <c r="E150" s="41">
        <f>C150+D150</f>
        <v/>
      </c>
      <c r="F150" s="42">
        <f>IF(ROUND(C150,2)+ROUND(D150,2)=0,"","yes")</f>
        <v/>
      </c>
      <c r="G150" s="43" t="n"/>
      <c r="H150" s="41">
        <f>IF($G150="","",$E150-$G150)</f>
        <v/>
      </c>
    </row>
    <row r="151">
      <c r="A151" s="13" t="inlineStr">
        <is>
          <t>26043001</t>
        </is>
      </c>
      <c r="B151" s="13" t="inlineStr">
        <is>
          <t>CBA FT Tech MEL - 12 months</t>
        </is>
      </c>
      <c r="C151" s="41">
        <f>SUMIFS(tbl_WIP[Amount],tbl_WIP[Job Number],$A151,tbl_WIP[Month],"&lt;&gt;",tbl_WIP[Month],"&lt;"&amp;$C$4)</f>
        <v/>
      </c>
      <c r="D151" s="41">
        <f>SUMIFS(tbl_WIP[Amount],tbl_WIP[Job Number],$A151,tbl_WIP[Month],$C$4)</f>
        <v/>
      </c>
      <c r="E151" s="41">
        <f>C151+D151</f>
        <v/>
      </c>
      <c r="F151" s="42">
        <f>IF(ROUND(C151,2)+ROUND(D151,2)=0,"","yes")</f>
        <v/>
      </c>
      <c r="G151" s="43" t="n"/>
      <c r="H151" s="41">
        <f>IF($G151="","",$E151-$G151)</f>
        <v/>
      </c>
    </row>
    <row r="152">
      <c r="A152" s="13" t="inlineStr">
        <is>
          <t>26043002</t>
        </is>
      </c>
      <c r="B152" s="13" t="inlineStr">
        <is>
          <t>CTS Town Hall</t>
        </is>
      </c>
      <c r="C152" s="41">
        <f>SUMIFS(tbl_WIP[Amount],tbl_WIP[Job Number],$A152,tbl_WIP[Month],"&lt;&gt;",tbl_WIP[Month],"&lt;"&amp;$C$4)</f>
        <v/>
      </c>
      <c r="D152" s="41">
        <f>SUMIFS(tbl_WIP[Amount],tbl_WIP[Job Number],$A152,tbl_WIP[Month],$C$4)</f>
        <v/>
      </c>
      <c r="E152" s="41">
        <f>C152+D152</f>
        <v/>
      </c>
      <c r="F152" s="42">
        <f>IF(ROUND(C152,2)+ROUND(D152,2)=0,"","yes")</f>
        <v/>
      </c>
      <c r="G152" s="43" t="n"/>
      <c r="H152" s="41">
        <f>IF($G152="","",$E152-$G152)</f>
        <v/>
      </c>
    </row>
    <row r="153">
      <c r="A153" s="13" t="inlineStr">
        <is>
          <t>26043003</t>
        </is>
      </c>
      <c r="B153" s="13" t="inlineStr">
        <is>
          <t>PwC Screen Replacements SYD+MEL</t>
        </is>
      </c>
      <c r="C153" s="41">
        <f>SUMIFS(tbl_WIP[Amount],tbl_WIP[Job Number],$A153,tbl_WIP[Month],"&lt;&gt;",tbl_WIP[Month],"&lt;"&amp;$C$4)</f>
        <v/>
      </c>
      <c r="D153" s="41">
        <f>SUMIFS(tbl_WIP[Amount],tbl_WIP[Job Number],$A153,tbl_WIP[Month],$C$4)</f>
        <v/>
      </c>
      <c r="E153" s="41">
        <f>C153+D153</f>
        <v/>
      </c>
      <c r="F153" s="42">
        <f>IF(ROUND(C153,2)+ROUND(D153,2)=0,"","yes")</f>
        <v/>
      </c>
      <c r="G153" s="43" t="n"/>
      <c r="H153" s="41">
        <f>IF($G153="","",$E153-$G153)</f>
        <v/>
      </c>
    </row>
    <row r="154">
      <c r="A154" s="13" t="inlineStr">
        <is>
          <t>2604704</t>
        </is>
      </c>
      <c r="B154" s="13" t="inlineStr">
        <is>
          <t>Aware Super Seminar Room Audio Upgrade</t>
        </is>
      </c>
      <c r="C154" s="41">
        <f>SUMIFS(tbl_WIP[Amount],tbl_WIP[Job Number],$A154,tbl_WIP[Month],"&lt;&gt;",tbl_WIP[Month],"&lt;"&amp;$C$4)</f>
        <v/>
      </c>
      <c r="D154" s="41">
        <f>SUMIFS(tbl_WIP[Amount],tbl_WIP[Job Number],$A154,tbl_WIP[Month],$C$4)</f>
        <v/>
      </c>
      <c r="E154" s="41">
        <f>C154+D154</f>
        <v/>
      </c>
      <c r="F154" s="42">
        <f>IF(ROUND(C154,2)+ROUND(D154,2)=0,"","yes")</f>
        <v/>
      </c>
      <c r="G154" s="43" t="n"/>
      <c r="H154" s="41">
        <f>IF($G154="","",$E154-$G154)</f>
        <v/>
      </c>
    </row>
    <row r="155">
      <c r="A155" s="13" t="inlineStr">
        <is>
          <t>2604802</t>
        </is>
      </c>
      <c r="B155" s="13" t="inlineStr">
        <is>
          <t>PwC - Audio Support - 29.4.26</t>
        </is>
      </c>
      <c r="C155" s="41">
        <f>SUMIFS(tbl_WIP[Amount],tbl_WIP[Job Number],$A155,tbl_WIP[Month],"&lt;&gt;",tbl_WIP[Month],"&lt;"&amp;$C$4)</f>
        <v/>
      </c>
      <c r="D155" s="41">
        <f>SUMIFS(tbl_WIP[Amount],tbl_WIP[Job Number],$A155,tbl_WIP[Month],$C$4)</f>
        <v/>
      </c>
      <c r="E155" s="41">
        <f>C155+D155</f>
        <v/>
      </c>
      <c r="F155" s="42">
        <f>IF(ROUND(C155,2)+ROUND(D155,2)=0,"","yes")</f>
        <v/>
      </c>
      <c r="G155" s="43" t="n"/>
      <c r="H155" s="41">
        <f>IF($G155="","",$E155-$G155)</f>
        <v/>
      </c>
    </row>
    <row r="156">
      <c r="A156" s="13" t="inlineStr">
        <is>
          <t>26051101</t>
        </is>
      </c>
      <c r="B156" s="13" t="inlineStr">
        <is>
          <t>DTTL Mardi Gras/Vivid Event 27/05/26</t>
        </is>
      </c>
      <c r="C156" s="41">
        <f>SUMIFS(tbl_WIP[Amount],tbl_WIP[Job Number],$A156,tbl_WIP[Month],"&lt;&gt;",tbl_WIP[Month],"&lt;"&amp;$C$4)</f>
        <v/>
      </c>
      <c r="D156" s="41">
        <f>SUMIFS(tbl_WIP[Amount],tbl_WIP[Job Number],$A156,tbl_WIP[Month],$C$4)</f>
        <v/>
      </c>
      <c r="E156" s="41">
        <f>C156+D156</f>
        <v/>
      </c>
      <c r="F156" s="42">
        <f>IF(ROUND(C156,2)+ROUND(D156,2)=0,"","yes")</f>
        <v/>
      </c>
      <c r="G156" s="43" t="n"/>
      <c r="H156" s="41">
        <f>IF($G156="","",$E156-$G156)</f>
        <v/>
      </c>
    </row>
    <row r="157">
      <c r="A157" s="13" t="inlineStr">
        <is>
          <t>26051101V</t>
        </is>
      </c>
      <c r="B157" s="13" t="inlineStr">
        <is>
          <t>DTTL Mardi Gras/Vivid Event 27/05/26</t>
        </is>
      </c>
      <c r="C157" s="41">
        <f>SUMIFS(tbl_WIP[Amount],tbl_WIP[Job Number],$A157,tbl_WIP[Month],"&lt;&gt;",tbl_WIP[Month],"&lt;"&amp;$C$4)</f>
        <v/>
      </c>
      <c r="D157" s="41">
        <f>SUMIFS(tbl_WIP[Amount],tbl_WIP[Job Number],$A157,tbl_WIP[Month],$C$4)</f>
        <v/>
      </c>
      <c r="E157" s="41">
        <f>C157+D157</f>
        <v/>
      </c>
      <c r="F157" s="42">
        <f>IF(ROUND(C157,2)+ROUND(D157,2)=0,"","yes")</f>
        <v/>
      </c>
      <c r="G157" s="43" t="n"/>
      <c r="H157" s="41">
        <f>IF($G157="","",$E157-$G157)</f>
        <v/>
      </c>
    </row>
    <row r="158">
      <c r="A158" s="13" t="inlineStr">
        <is>
          <t>26051102</t>
        </is>
      </c>
      <c r="B158" s="13" t="inlineStr">
        <is>
          <t>DTTL - CEO Roadshow - 1.6.26</t>
        </is>
      </c>
      <c r="C158" s="41">
        <f>SUMIFS(tbl_WIP[Amount],tbl_WIP[Job Number],$A158,tbl_WIP[Month],"&lt;&gt;",tbl_WIP[Month],"&lt;"&amp;$C$4)</f>
        <v/>
      </c>
      <c r="D158" s="41">
        <f>SUMIFS(tbl_WIP[Amount],tbl_WIP[Job Number],$A158,tbl_WIP[Month],$C$4)</f>
        <v/>
      </c>
      <c r="E158" s="41">
        <f>C158+D158</f>
        <v/>
      </c>
      <c r="F158" s="42">
        <f>IF(ROUND(C158,2)+ROUND(D158,2)=0,"","yes")</f>
        <v/>
      </c>
      <c r="G158" s="43" t="n"/>
      <c r="H158" s="41">
        <f>IF($G158="","",$E158-$G158)</f>
        <v/>
      </c>
    </row>
    <row r="159">
      <c r="A159" s="13" t="inlineStr">
        <is>
          <t>26051102V</t>
        </is>
      </c>
      <c r="B159" s="13" t="inlineStr">
        <is>
          <t>DTTL - CEO Roadshow - 1.6.26</t>
        </is>
      </c>
      <c r="C159" s="41">
        <f>SUMIFS(tbl_WIP[Amount],tbl_WIP[Job Number],$A159,tbl_WIP[Month],"&lt;&gt;",tbl_WIP[Month],"&lt;"&amp;$C$4)</f>
        <v/>
      </c>
      <c r="D159" s="41">
        <f>SUMIFS(tbl_WIP[Amount],tbl_WIP[Job Number],$A159,tbl_WIP[Month],$C$4)</f>
        <v/>
      </c>
      <c r="E159" s="41">
        <f>C159+D159</f>
        <v/>
      </c>
      <c r="F159" s="42">
        <f>IF(ROUND(C159,2)+ROUND(D159,2)=0,"","yes")</f>
        <v/>
      </c>
      <c r="G159" s="43" t="n"/>
      <c r="H159" s="41">
        <f>IF($G159="","",$E159-$G159)</f>
        <v/>
      </c>
    </row>
    <row r="160">
      <c r="A160" s="13" t="inlineStr">
        <is>
          <t>26051103</t>
        </is>
      </c>
      <c r="B160" s="13" t="inlineStr">
        <is>
          <t>PwC PER Studio Support 25.05.26</t>
        </is>
      </c>
      <c r="C160" s="41">
        <f>SUMIFS(tbl_WIP[Amount],tbl_WIP[Job Number],$A160,tbl_WIP[Month],"&lt;&gt;",tbl_WIP[Month],"&lt;"&amp;$C$4)</f>
        <v/>
      </c>
      <c r="D160" s="41">
        <f>SUMIFS(tbl_WIP[Amount],tbl_WIP[Job Number],$A160,tbl_WIP[Month],$C$4)</f>
        <v/>
      </c>
      <c r="E160" s="41">
        <f>C160+D160</f>
        <v/>
      </c>
      <c r="F160" s="42">
        <f>IF(ROUND(C160,2)+ROUND(D160,2)=0,"","yes")</f>
        <v/>
      </c>
      <c r="G160" s="43" t="n"/>
      <c r="H160" s="41">
        <f>IF($G160="","",$E160-$G160)</f>
        <v/>
      </c>
    </row>
    <row r="161">
      <c r="A161" s="13" t="inlineStr">
        <is>
          <t>26051103V</t>
        </is>
      </c>
      <c r="B161" s="13" t="inlineStr">
        <is>
          <t>PwC PER Studio Support 25.05.26</t>
        </is>
      </c>
      <c r="C161" s="41">
        <f>SUMIFS(tbl_WIP[Amount],tbl_WIP[Job Number],$A161,tbl_WIP[Month],"&lt;&gt;",tbl_WIP[Month],"&lt;"&amp;$C$4)</f>
        <v/>
      </c>
      <c r="D161" s="41">
        <f>SUMIFS(tbl_WIP[Amount],tbl_WIP[Job Number],$A161,tbl_WIP[Month],$C$4)</f>
        <v/>
      </c>
      <c r="E161" s="41">
        <f>C161+D161</f>
        <v/>
      </c>
      <c r="F161" s="42">
        <f>IF(ROUND(C161,2)+ROUND(D161,2)=0,"","yes")</f>
        <v/>
      </c>
      <c r="G161" s="43" t="n"/>
      <c r="H161" s="41">
        <f>IF($G161="","",$E161-$G161)</f>
        <v/>
      </c>
    </row>
    <row r="162">
      <c r="A162" s="13" t="inlineStr">
        <is>
          <t>26051201</t>
        </is>
      </c>
      <c r="B162" s="13" t="inlineStr">
        <is>
          <t>ASX CEO Farewell Highlights</t>
        </is>
      </c>
      <c r="C162" s="41">
        <f>SUMIFS(tbl_WIP[Amount],tbl_WIP[Job Number],$A162,tbl_WIP[Month],"&lt;&gt;",tbl_WIP[Month],"&lt;"&amp;$C$4)</f>
        <v/>
      </c>
      <c r="D162" s="41">
        <f>SUMIFS(tbl_WIP[Amount],tbl_WIP[Job Number],$A162,tbl_WIP[Month],$C$4)</f>
        <v/>
      </c>
      <c r="E162" s="41">
        <f>C162+D162</f>
        <v/>
      </c>
      <c r="F162" s="42">
        <f>IF(ROUND(C162,2)+ROUND(D162,2)=0,"","yes")</f>
        <v/>
      </c>
      <c r="G162" s="43" t="n"/>
      <c r="H162" s="41">
        <f>IF($G162="","",$E162-$G162)</f>
        <v/>
      </c>
    </row>
    <row r="163">
      <c r="A163" s="13" t="inlineStr">
        <is>
          <t>26051301</t>
        </is>
      </c>
      <c r="B163" s="13" t="inlineStr">
        <is>
          <t>HP-BAE | Phone Mod</t>
        </is>
      </c>
      <c r="C163" s="41">
        <f>SUMIFS(tbl_WIP[Amount],tbl_WIP[Job Number],$A163,tbl_WIP[Month],"&lt;&gt;",tbl_WIP[Month],"&lt;"&amp;$C$4)</f>
        <v/>
      </c>
      <c r="D163" s="41">
        <f>SUMIFS(tbl_WIP[Amount],tbl_WIP[Job Number],$A163,tbl_WIP[Month],$C$4)</f>
        <v/>
      </c>
      <c r="E163" s="41">
        <f>C163+D163</f>
        <v/>
      </c>
      <c r="F163" s="42">
        <f>IF(ROUND(C163,2)+ROUND(D163,2)=0,"","yes")</f>
        <v/>
      </c>
      <c r="G163" s="43" t="n"/>
      <c r="H163" s="41">
        <f>IF($G163="","",$E163-$G163)</f>
        <v/>
      </c>
    </row>
    <row r="164">
      <c r="A164" s="13" t="inlineStr">
        <is>
          <t>26051401</t>
        </is>
      </c>
      <c r="B164" s="13" t="inlineStr">
        <is>
          <t>ASX - Business Meeting - 27.5.26</t>
        </is>
      </c>
      <c r="C164" s="41">
        <f>SUMIFS(tbl_WIP[Amount],tbl_WIP[Job Number],$A164,tbl_WIP[Month],"&lt;&gt;",tbl_WIP[Month],"&lt;"&amp;$C$4)</f>
        <v/>
      </c>
      <c r="D164" s="41">
        <f>SUMIFS(tbl_WIP[Amount],tbl_WIP[Job Number],$A164,tbl_WIP[Month],$C$4)</f>
        <v/>
      </c>
      <c r="E164" s="41">
        <f>C164+D164</f>
        <v/>
      </c>
      <c r="F164" s="42">
        <f>IF(ROUND(C164,2)+ROUND(D164,2)=0,"","yes")</f>
        <v/>
      </c>
      <c r="G164" s="43" t="n"/>
      <c r="H164" s="41">
        <f>IF($G164="","",$E164-$G164)</f>
        <v/>
      </c>
    </row>
    <row r="165">
      <c r="A165" s="13" t="inlineStr">
        <is>
          <t>26051401V</t>
        </is>
      </c>
      <c r="B165" s="13" t="inlineStr">
        <is>
          <t>ASX - Business Meeting - 27.5.26</t>
        </is>
      </c>
      <c r="C165" s="41">
        <f>SUMIFS(tbl_WIP[Amount],tbl_WIP[Job Number],$A165,tbl_WIP[Month],"&lt;&gt;",tbl_WIP[Month],"&lt;"&amp;$C$4)</f>
        <v/>
      </c>
      <c r="D165" s="41">
        <f>SUMIFS(tbl_WIP[Amount],tbl_WIP[Job Number],$A165,tbl_WIP[Month],$C$4)</f>
        <v/>
      </c>
      <c r="E165" s="41">
        <f>C165+D165</f>
        <v/>
      </c>
      <c r="F165" s="42">
        <f>IF(ROUND(C165,2)+ROUND(D165,2)=0,"","yes")</f>
        <v/>
      </c>
      <c r="G165" s="43" t="n"/>
      <c r="H165" s="41">
        <f>IF($G165="","",$E165-$G165)</f>
        <v/>
      </c>
    </row>
    <row r="166">
      <c r="A166" s="13" t="inlineStr">
        <is>
          <t>26051402</t>
        </is>
      </c>
      <c r="B166" s="13" t="inlineStr">
        <is>
          <t>PwC Foldback Monitor Hire</t>
        </is>
      </c>
      <c r="C166" s="41">
        <f>SUMIFS(tbl_WIP[Amount],tbl_WIP[Job Number],$A166,tbl_WIP[Month],"&lt;&gt;",tbl_WIP[Month],"&lt;"&amp;$C$4)</f>
        <v/>
      </c>
      <c r="D166" s="41">
        <f>SUMIFS(tbl_WIP[Amount],tbl_WIP[Job Number],$A166,tbl_WIP[Month],$C$4)</f>
        <v/>
      </c>
      <c r="E166" s="41">
        <f>C166+D166</f>
        <v/>
      </c>
      <c r="F166" s="42">
        <f>IF(ROUND(C166,2)+ROUND(D166,2)=0,"","yes")</f>
        <v/>
      </c>
      <c r="G166" s="43" t="n"/>
      <c r="H166" s="41">
        <f>IF($G166="","",$E166-$G166)</f>
        <v/>
      </c>
    </row>
    <row r="167">
      <c r="A167" s="13" t="inlineStr">
        <is>
          <t>26051801</t>
        </is>
      </c>
      <c r="B167" s="13" t="inlineStr">
        <is>
          <t>PwC | Mel Studio Equipment</t>
        </is>
      </c>
      <c r="C167" s="41">
        <f>SUMIFS(tbl_WIP[Amount],tbl_WIP[Job Number],$A167,tbl_WIP[Month],"&lt;&gt;",tbl_WIP[Month],"&lt;"&amp;$C$4)</f>
        <v/>
      </c>
      <c r="D167" s="41">
        <f>SUMIFS(tbl_WIP[Amount],tbl_WIP[Job Number],$A167,tbl_WIP[Month],$C$4)</f>
        <v/>
      </c>
      <c r="E167" s="41">
        <f>C167+D167</f>
        <v/>
      </c>
      <c r="F167" s="42">
        <f>IF(ROUND(C167,2)+ROUND(D167,2)=0,"","yes")</f>
        <v/>
      </c>
      <c r="G167" s="43" t="n"/>
      <c r="H167" s="41">
        <f>IF($G167="","",$E167-$G167)</f>
        <v/>
      </c>
    </row>
    <row r="168">
      <c r="A168" s="13" t="inlineStr">
        <is>
          <t>26051803</t>
        </is>
      </c>
      <c r="B168" s="13" t="inlineStr">
        <is>
          <t>AVIT - Taronga ZOO AV Support - May 2026</t>
        </is>
      </c>
      <c r="C168" s="41">
        <f>SUMIFS(tbl_WIP[Amount],tbl_WIP[Job Number],$A168,tbl_WIP[Month],"&lt;&gt;",tbl_WIP[Month],"&lt;"&amp;$C$4)</f>
        <v/>
      </c>
      <c r="D168" s="41">
        <f>SUMIFS(tbl_WIP[Amount],tbl_WIP[Job Number],$A168,tbl_WIP[Month],$C$4)</f>
        <v/>
      </c>
      <c r="E168" s="41">
        <f>C168+D168</f>
        <v/>
      </c>
      <c r="F168" s="42">
        <f>IF(ROUND(C168,2)+ROUND(D168,2)=0,"","yes")</f>
        <v/>
      </c>
      <c r="G168" s="43" t="n"/>
      <c r="H168" s="41">
        <f>IF($G168="","",$E168-$G168)</f>
        <v/>
      </c>
    </row>
    <row r="169">
      <c r="A169" s="13" t="inlineStr">
        <is>
          <t>26052001</t>
        </is>
      </c>
      <c r="B169" s="13" t="inlineStr">
        <is>
          <t>MeetMagic - AI Behaviour Event - 29.5.26</t>
        </is>
      </c>
      <c r="C169" s="41">
        <f>SUMIFS(tbl_WIP[Amount],tbl_WIP[Job Number],$A169,tbl_WIP[Month],"&lt;&gt;",tbl_WIP[Month],"&lt;"&amp;$C$4)</f>
        <v/>
      </c>
      <c r="D169" s="41">
        <f>SUMIFS(tbl_WIP[Amount],tbl_WIP[Job Number],$A169,tbl_WIP[Month],$C$4)</f>
        <v/>
      </c>
      <c r="E169" s="41">
        <f>C169+D169</f>
        <v/>
      </c>
      <c r="F169" s="42">
        <f>IF(ROUND(C169,2)+ROUND(D169,2)=0,"","yes")</f>
        <v/>
      </c>
      <c r="G169" s="43" t="n"/>
      <c r="H169" s="41">
        <f>IF($G169="","",$E169-$G169)</f>
        <v/>
      </c>
    </row>
    <row r="170">
      <c r="A170" s="13" t="inlineStr">
        <is>
          <t>26052001V</t>
        </is>
      </c>
      <c r="B170" s="13" t="inlineStr">
        <is>
          <t>MeetMagic - AI Behaviour Event - 29.5.26</t>
        </is>
      </c>
      <c r="C170" s="41">
        <f>SUMIFS(tbl_WIP[Amount],tbl_WIP[Job Number],$A170,tbl_WIP[Month],"&lt;&gt;",tbl_WIP[Month],"&lt;"&amp;$C$4)</f>
        <v/>
      </c>
      <c r="D170" s="41">
        <f>SUMIFS(tbl_WIP[Amount],tbl_WIP[Job Number],$A170,tbl_WIP[Month],$C$4)</f>
        <v/>
      </c>
      <c r="E170" s="41">
        <f>C170+D170</f>
        <v/>
      </c>
      <c r="F170" s="42">
        <f>IF(ROUND(C170,2)+ROUND(D170,2)=0,"","yes")</f>
        <v/>
      </c>
      <c r="G170" s="43" t="n"/>
      <c r="H170" s="41">
        <f>IF($G170="","",$E170-$G170)</f>
        <v/>
      </c>
    </row>
    <row r="171">
      <c r="A171" s="13" t="inlineStr">
        <is>
          <t>26052002</t>
        </is>
      </c>
      <c r="B171" s="13" t="inlineStr">
        <is>
          <t>DTTL BNE L23 Training Rooms Upgrade</t>
        </is>
      </c>
      <c r="C171" s="41">
        <f>SUMIFS(tbl_WIP[Amount],tbl_WIP[Job Number],$A171,tbl_WIP[Month],"&lt;&gt;",tbl_WIP[Month],"&lt;"&amp;$C$4)</f>
        <v/>
      </c>
      <c r="D171" s="41">
        <f>SUMIFS(tbl_WIP[Amount],tbl_WIP[Job Number],$A171,tbl_WIP[Month],$C$4)</f>
        <v/>
      </c>
      <c r="E171" s="41">
        <f>C171+D171</f>
        <v/>
      </c>
      <c r="F171" s="42">
        <f>IF(ROUND(C171,2)+ROUND(D171,2)=0,"","yes")</f>
        <v/>
      </c>
      <c r="G171" s="43" t="n"/>
      <c r="H171" s="41">
        <f>IF($G171="","",$E171-$G171)</f>
        <v/>
      </c>
    </row>
    <row r="172">
      <c r="A172" s="13" t="inlineStr">
        <is>
          <t>26052003</t>
        </is>
      </c>
      <c r="B172" s="13" t="inlineStr">
        <is>
          <t>DTTL Mobile Commbox Displays</t>
        </is>
      </c>
      <c r="C172" s="41">
        <f>SUMIFS(tbl_WIP[Amount],tbl_WIP[Job Number],$A172,tbl_WIP[Month],"&lt;&gt;",tbl_WIP[Month],"&lt;"&amp;$C$4)</f>
        <v/>
      </c>
      <c r="D172" s="41">
        <f>SUMIFS(tbl_WIP[Amount],tbl_WIP[Job Number],$A172,tbl_WIP[Month],$C$4)</f>
        <v/>
      </c>
      <c r="E172" s="41">
        <f>C172+D172</f>
        <v/>
      </c>
      <c r="F172" s="42">
        <f>IF(ROUND(C172,2)+ROUND(D172,2)=0,"","yes")</f>
        <v/>
      </c>
      <c r="G172" s="43" t="n"/>
      <c r="H172" s="41">
        <f>IF($G172="","",$E172-$G172)</f>
        <v/>
      </c>
    </row>
    <row r="173">
      <c r="A173" s="13" t="inlineStr">
        <is>
          <t>26052004</t>
        </is>
      </c>
      <c r="B173" s="13" t="inlineStr">
        <is>
          <t>CBA - Live Event Support - June 2026</t>
        </is>
      </c>
      <c r="C173" s="41">
        <f>SUMIFS(tbl_WIP[Amount],tbl_WIP[Job Number],$A173,tbl_WIP[Month],"&lt;&gt;",tbl_WIP[Month],"&lt;"&amp;$C$4)</f>
        <v/>
      </c>
      <c r="D173" s="41">
        <f>SUMIFS(tbl_WIP[Amount],tbl_WIP[Job Number],$A173,tbl_WIP[Month],$C$4)</f>
        <v/>
      </c>
      <c r="E173" s="41">
        <f>C173+D173</f>
        <v/>
      </c>
      <c r="F173" s="42">
        <f>IF(ROUND(C173,2)+ROUND(D173,2)=0,"","yes")</f>
        <v/>
      </c>
      <c r="G173" s="43" t="n"/>
      <c r="H173" s="41">
        <f>IF($G173="","",$E173-$G173)</f>
        <v/>
      </c>
    </row>
    <row r="174">
      <c r="A174" s="13" t="inlineStr">
        <is>
          <t>26052101</t>
        </is>
      </c>
      <c r="B174" s="13" t="inlineStr">
        <is>
          <t>MeetMagic - Human AI Event Highlights</t>
        </is>
      </c>
      <c r="C174" s="41">
        <f>SUMIFS(tbl_WIP[Amount],tbl_WIP[Job Number],$A174,tbl_WIP[Month],"&lt;&gt;",tbl_WIP[Month],"&lt;"&amp;$C$4)</f>
        <v/>
      </c>
      <c r="D174" s="41">
        <f>SUMIFS(tbl_WIP[Amount],tbl_WIP[Job Number],$A174,tbl_WIP[Month],$C$4)</f>
        <v/>
      </c>
      <c r="E174" s="41">
        <f>C174+D174</f>
        <v/>
      </c>
      <c r="F174" s="42">
        <f>IF(ROUND(C174,2)+ROUND(D174,2)=0,"","yes")</f>
        <v/>
      </c>
      <c r="G174" s="43" t="n"/>
      <c r="H174" s="41">
        <f>IF($G174="","",$E174-$G174)</f>
        <v/>
      </c>
    </row>
    <row r="175">
      <c r="A175" s="13" t="inlineStr">
        <is>
          <t>26052102</t>
        </is>
      </c>
      <c r="B175" s="13" t="inlineStr">
        <is>
          <t>HP-D3 | Austrac Phone Mods</t>
        </is>
      </c>
      <c r="C175" s="41">
        <f>SUMIFS(tbl_WIP[Amount],tbl_WIP[Job Number],$A175,tbl_WIP[Month],"&lt;&gt;",tbl_WIP[Month],"&lt;"&amp;$C$4)</f>
        <v/>
      </c>
      <c r="D175" s="41">
        <f>SUMIFS(tbl_WIP[Amount],tbl_WIP[Job Number],$A175,tbl_WIP[Month],$C$4)</f>
        <v/>
      </c>
      <c r="E175" s="41">
        <f>C175+D175</f>
        <v/>
      </c>
      <c r="F175" s="42">
        <f>IF(ROUND(C175,2)+ROUND(D175,2)=0,"","yes")</f>
        <v/>
      </c>
      <c r="G175" s="43" t="n"/>
      <c r="H175" s="41">
        <f>IF($G175="","",$E175-$G175)</f>
        <v/>
      </c>
    </row>
    <row r="176">
      <c r="A176" s="13" t="inlineStr">
        <is>
          <t>26052103</t>
        </is>
      </c>
      <c r="B176" s="13" t="inlineStr">
        <is>
          <t>Ventia - LTI FY26 Video Record</t>
        </is>
      </c>
      <c r="C176" s="41">
        <f>SUMIFS(tbl_WIP[Amount],tbl_WIP[Job Number],$A176,tbl_WIP[Month],"&lt;&gt;",tbl_WIP[Month],"&lt;"&amp;$C$4)</f>
        <v/>
      </c>
      <c r="D176" s="41">
        <f>SUMIFS(tbl_WIP[Amount],tbl_WIP[Job Number],$A176,tbl_WIP[Month],$C$4)</f>
        <v/>
      </c>
      <c r="E176" s="41">
        <f>C176+D176</f>
        <v/>
      </c>
      <c r="F176" s="42">
        <f>IF(ROUND(C176,2)+ROUND(D176,2)=0,"","yes")</f>
        <v/>
      </c>
      <c r="G176" s="43" t="n"/>
      <c r="H176" s="41">
        <f>IF($G176="","",$E176-$G176)</f>
        <v/>
      </c>
    </row>
    <row r="177">
      <c r="A177" s="13" t="inlineStr">
        <is>
          <t>26052501V</t>
        </is>
      </c>
      <c r="B177" s="13" t="inlineStr">
        <is>
          <t>AVIT - Taronga AV Event Support - 26-27.5.26</t>
        </is>
      </c>
      <c r="C177" s="41">
        <f>SUMIFS(tbl_WIP[Amount],tbl_WIP[Job Number],$A177,tbl_WIP[Month],"&lt;&gt;",tbl_WIP[Month],"&lt;"&amp;$C$4)</f>
        <v/>
      </c>
      <c r="D177" s="41">
        <f>SUMIFS(tbl_WIP[Amount],tbl_WIP[Job Number],$A177,tbl_WIP[Month],$C$4)</f>
        <v/>
      </c>
      <c r="E177" s="41">
        <f>C177+D177</f>
        <v/>
      </c>
      <c r="F177" s="42">
        <f>IF(ROUND(C177,2)+ROUND(D177,2)=0,"","yes")</f>
        <v/>
      </c>
      <c r="G177" s="43" t="n"/>
      <c r="H177" s="41">
        <f>IF($G177="","",$E177-$G177)</f>
        <v/>
      </c>
    </row>
    <row r="178">
      <c r="A178" s="13" t="inlineStr">
        <is>
          <t>26052502</t>
        </is>
      </c>
      <c r="B178" s="13" t="inlineStr">
        <is>
          <t>AVIT - Taronga AV Event Support 4-5.06.26</t>
        </is>
      </c>
      <c r="C178" s="41">
        <f>SUMIFS(tbl_WIP[Amount],tbl_WIP[Job Number],$A178,tbl_WIP[Month],"&lt;&gt;",tbl_WIP[Month],"&lt;"&amp;$C$4)</f>
        <v/>
      </c>
      <c r="D178" s="41">
        <f>SUMIFS(tbl_WIP[Amount],tbl_WIP[Job Number],$A178,tbl_WIP[Month],$C$4)</f>
        <v/>
      </c>
      <c r="E178" s="41">
        <f>C178+D178</f>
        <v/>
      </c>
      <c r="F178" s="42">
        <f>IF(ROUND(C178,2)+ROUND(D178,2)=0,"","yes")</f>
        <v/>
      </c>
      <c r="G178" s="43" t="n"/>
      <c r="H178" s="41">
        <f>IF($G178="","",$E178-$G178)</f>
        <v/>
      </c>
    </row>
    <row r="179">
      <c r="A179" s="13" t="inlineStr">
        <is>
          <t>26052502V</t>
        </is>
      </c>
      <c r="B179" s="13" t="inlineStr">
        <is>
          <t>AVIT - Taronga AV Event Support 4-5.06.26</t>
        </is>
      </c>
      <c r="C179" s="41">
        <f>SUMIFS(tbl_WIP[Amount],tbl_WIP[Job Number],$A179,tbl_WIP[Month],"&lt;&gt;",tbl_WIP[Month],"&lt;"&amp;$C$4)</f>
        <v/>
      </c>
      <c r="D179" s="41">
        <f>SUMIFS(tbl_WIP[Amount],tbl_WIP[Job Number],$A179,tbl_WIP[Month],$C$4)</f>
        <v/>
      </c>
      <c r="E179" s="41">
        <f>C179+D179</f>
        <v/>
      </c>
      <c r="F179" s="42">
        <f>IF(ROUND(C179,2)+ROUND(D179,2)=0,"","yes")</f>
        <v/>
      </c>
      <c r="G179" s="43" t="n"/>
      <c r="H179" s="41">
        <f>IF($G179="","",$E179-$G179)</f>
        <v/>
      </c>
    </row>
    <row r="180">
      <c r="A180" s="13" t="inlineStr">
        <is>
          <t>26052602</t>
        </is>
      </c>
      <c r="B180" s="13" t="inlineStr">
        <is>
          <t>DTTL MEL Display Supply</t>
        </is>
      </c>
      <c r="C180" s="41">
        <f>SUMIFS(tbl_WIP[Amount],tbl_WIP[Job Number],$A180,tbl_WIP[Month],"&lt;&gt;",tbl_WIP[Month],"&lt;"&amp;$C$4)</f>
        <v/>
      </c>
      <c r="D180" s="41">
        <f>SUMIFS(tbl_WIP[Amount],tbl_WIP[Job Number],$A180,tbl_WIP[Month],$C$4)</f>
        <v/>
      </c>
      <c r="E180" s="41">
        <f>C180+D180</f>
        <v/>
      </c>
      <c r="F180" s="42">
        <f>IF(ROUND(C180,2)+ROUND(D180,2)=0,"","yes")</f>
        <v/>
      </c>
      <c r="G180" s="43" t="n"/>
      <c r="H180" s="41">
        <f>IF($G180="","",$E180-$G180)</f>
        <v/>
      </c>
    </row>
    <row r="181">
      <c r="A181" s="13" t="inlineStr">
        <is>
          <t>26052701</t>
        </is>
      </c>
      <c r="B181" s="13" t="inlineStr">
        <is>
          <t>Aware | SYD 28.06 Equipment</t>
        </is>
      </c>
      <c r="C181" s="41">
        <f>SUMIFS(tbl_WIP[Amount],tbl_WIP[Job Number],$A181,tbl_WIP[Month],"&lt;&gt;",tbl_WIP[Month],"&lt;"&amp;$C$4)</f>
        <v/>
      </c>
      <c r="D181" s="41">
        <f>SUMIFS(tbl_WIP[Amount],tbl_WIP[Job Number],$A181,tbl_WIP[Month],$C$4)</f>
        <v/>
      </c>
      <c r="E181" s="41">
        <f>C181+D181</f>
        <v/>
      </c>
      <c r="F181" s="42">
        <f>IF(ROUND(C181,2)+ROUND(D181,2)=0,"","yes")</f>
        <v/>
      </c>
      <c r="G181" s="43" t="n"/>
      <c r="H181" s="41">
        <f>IF($G181="","",$E181-$G181)</f>
        <v/>
      </c>
    </row>
    <row r="182">
      <c r="A182" s="13" t="inlineStr">
        <is>
          <t>26052702</t>
        </is>
      </c>
      <c r="B182" s="13" t="inlineStr">
        <is>
          <t>ASX - FYR - 13.8.26</t>
        </is>
      </c>
      <c r="C182" s="41">
        <f>SUMIFS(tbl_WIP[Amount],tbl_WIP[Job Number],$A182,tbl_WIP[Month],"&lt;&gt;",tbl_WIP[Month],"&lt;"&amp;$C$4)</f>
        <v/>
      </c>
      <c r="D182" s="41">
        <f>SUMIFS(tbl_WIP[Amount],tbl_WIP[Job Number],$A182,tbl_WIP[Month],$C$4)</f>
        <v/>
      </c>
      <c r="E182" s="41">
        <f>C182+D182</f>
        <v/>
      </c>
      <c r="F182" s="42">
        <f>IF(ROUND(C182,2)+ROUND(D182,2)=0,"","yes")</f>
        <v/>
      </c>
      <c r="G182" s="43" t="n"/>
      <c r="H182" s="41">
        <f>IF($G182="","",$E182-$G182)</f>
        <v/>
      </c>
    </row>
    <row r="183">
      <c r="A183" s="13" t="inlineStr">
        <is>
          <t>26052702V</t>
        </is>
      </c>
      <c r="B183" s="13" t="inlineStr">
        <is>
          <t>ASX - FYR - 13.8.26</t>
        </is>
      </c>
      <c r="C183" s="41">
        <f>SUMIFS(tbl_WIP[Amount],tbl_WIP[Job Number],$A183,tbl_WIP[Month],"&lt;&gt;",tbl_WIP[Month],"&lt;"&amp;$C$4)</f>
        <v/>
      </c>
      <c r="D183" s="41">
        <f>SUMIFS(tbl_WIP[Amount],tbl_WIP[Job Number],$A183,tbl_WIP[Month],$C$4)</f>
        <v/>
      </c>
      <c r="E183" s="41">
        <f>C183+D183</f>
        <v/>
      </c>
      <c r="F183" s="42">
        <f>IF(ROUND(C183,2)+ROUND(D183,2)=0,"","yes")</f>
        <v/>
      </c>
      <c r="G183" s="43" t="n"/>
      <c r="H183" s="41">
        <f>IF($G183="","",$E183-$G183)</f>
        <v/>
      </c>
    </row>
    <row r="184">
      <c r="A184" s="13" t="inlineStr">
        <is>
          <t>26052703</t>
        </is>
      </c>
      <c r="B184" s="13" t="inlineStr">
        <is>
          <t>Microsoft Town Hall - 21.7.26</t>
        </is>
      </c>
      <c r="C184" s="41">
        <f>SUMIFS(tbl_WIP[Amount],tbl_WIP[Job Number],$A184,tbl_WIP[Month],"&lt;&gt;",tbl_WIP[Month],"&lt;"&amp;$C$4)</f>
        <v/>
      </c>
      <c r="D184" s="41">
        <f>SUMIFS(tbl_WIP[Amount],tbl_WIP[Job Number],$A184,tbl_WIP[Month],$C$4)</f>
        <v/>
      </c>
      <c r="E184" s="41">
        <f>C184+D184</f>
        <v/>
      </c>
      <c r="F184" s="42">
        <f>IF(ROUND(C184,2)+ROUND(D184,2)=0,"","yes")</f>
        <v/>
      </c>
      <c r="G184" s="43" t="n"/>
      <c r="H184" s="41">
        <f>IF($G184="","",$E184-$G184)</f>
        <v/>
      </c>
    </row>
    <row r="185">
      <c r="A185" s="13" t="inlineStr">
        <is>
          <t>26052703V</t>
        </is>
      </c>
      <c r="B185" s="13" t="inlineStr">
        <is>
          <t>Microsoft Town Hall - 21.7.26</t>
        </is>
      </c>
      <c r="C185" s="41">
        <f>SUMIFS(tbl_WIP[Amount],tbl_WIP[Job Number],$A185,tbl_WIP[Month],"&lt;&gt;",tbl_WIP[Month],"&lt;"&amp;$C$4)</f>
        <v/>
      </c>
      <c r="D185" s="41">
        <f>SUMIFS(tbl_WIP[Amount],tbl_WIP[Job Number],$A185,tbl_WIP[Month],$C$4)</f>
        <v/>
      </c>
      <c r="E185" s="41">
        <f>C185+D185</f>
        <v/>
      </c>
      <c r="F185" s="42">
        <f>IF(ROUND(C185,2)+ROUND(D185,2)=0,"","yes")</f>
        <v/>
      </c>
      <c r="G185" s="43" t="n"/>
      <c r="H185" s="41">
        <f>IF($G185="","",$E185-$G185)</f>
        <v/>
      </c>
    </row>
    <row r="186">
      <c r="A186" s="13" t="inlineStr">
        <is>
          <t>26052704</t>
        </is>
      </c>
      <c r="B186" s="13" t="inlineStr">
        <is>
          <t>AVIT - Pinsent Masons Technician Callout</t>
        </is>
      </c>
      <c r="C186" s="41">
        <f>SUMIFS(tbl_WIP[Amount],tbl_WIP[Job Number],$A186,tbl_WIP[Month],"&lt;&gt;",tbl_WIP[Month],"&lt;"&amp;$C$4)</f>
        <v/>
      </c>
      <c r="D186" s="41">
        <f>SUMIFS(tbl_WIP[Amount],tbl_WIP[Job Number],$A186,tbl_WIP[Month],$C$4)</f>
        <v/>
      </c>
      <c r="E186" s="41">
        <f>C186+D186</f>
        <v/>
      </c>
      <c r="F186" s="42">
        <f>IF(ROUND(C186,2)+ROUND(D186,2)=0,"","yes")</f>
        <v/>
      </c>
      <c r="G186" s="43" t="n"/>
      <c r="H186" s="41">
        <f>IF($G186="","",$E186-$G186)</f>
        <v/>
      </c>
    </row>
    <row r="187">
      <c r="A187" s="13" t="inlineStr">
        <is>
          <t>26052901</t>
        </is>
      </c>
      <c r="B187" s="13" t="inlineStr">
        <is>
          <t>Causeway Productions - Stool Hire - 1.6.27</t>
        </is>
      </c>
      <c r="C187" s="41">
        <f>SUMIFS(tbl_WIP[Amount],tbl_WIP[Job Number],$A187,tbl_WIP[Month],"&lt;&gt;",tbl_WIP[Month],"&lt;"&amp;$C$4)</f>
        <v/>
      </c>
      <c r="D187" s="41">
        <f>SUMIFS(tbl_WIP[Amount],tbl_WIP[Job Number],$A187,tbl_WIP[Month],$C$4)</f>
        <v/>
      </c>
      <c r="E187" s="41">
        <f>C187+D187</f>
        <v/>
      </c>
      <c r="F187" s="42">
        <f>IF(ROUND(C187,2)+ROUND(D187,2)=0,"","yes")</f>
        <v/>
      </c>
      <c r="G187" s="43" t="n"/>
      <c r="H187" s="41">
        <f>IF($G187="","",$E187-$G187)</f>
        <v/>
      </c>
    </row>
    <row r="188">
      <c r="A188" s="13" t="inlineStr">
        <is>
          <t>26052901V</t>
        </is>
      </c>
      <c r="B188" s="13" t="inlineStr">
        <is>
          <t>Causeway Productions - Stool Hire - 1.6.27</t>
        </is>
      </c>
      <c r="C188" s="41">
        <f>SUMIFS(tbl_WIP[Amount],tbl_WIP[Job Number],$A188,tbl_WIP[Month],"&lt;&gt;",tbl_WIP[Month],"&lt;"&amp;$C$4)</f>
        <v/>
      </c>
      <c r="D188" s="41">
        <f>SUMIFS(tbl_WIP[Amount],tbl_WIP[Job Number],$A188,tbl_WIP[Month],$C$4)</f>
        <v/>
      </c>
      <c r="E188" s="41">
        <f>C188+D188</f>
        <v/>
      </c>
      <c r="F188" s="42">
        <f>IF(ROUND(C188,2)+ROUND(D188,2)=0,"","yes")</f>
        <v/>
      </c>
      <c r="G188" s="43" t="n"/>
      <c r="H188" s="41">
        <f>IF($G188="","",$E188-$G188)</f>
        <v/>
      </c>
    </row>
    <row r="189">
      <c r="A189" s="13" t="inlineStr">
        <is>
          <t>2605401</t>
        </is>
      </c>
      <c r="B189" s="13" t="inlineStr">
        <is>
          <t>AGL FYR - Investor Briefing - 12.8.26</t>
        </is>
      </c>
      <c r="C189" s="41">
        <f>SUMIFS(tbl_WIP[Amount],tbl_WIP[Job Number],$A189,tbl_WIP[Month],"&lt;&gt;",tbl_WIP[Month],"&lt;"&amp;$C$4)</f>
        <v/>
      </c>
      <c r="D189" s="41">
        <f>SUMIFS(tbl_WIP[Amount],tbl_WIP[Job Number],$A189,tbl_WIP[Month],$C$4)</f>
        <v/>
      </c>
      <c r="E189" s="41">
        <f>C189+D189</f>
        <v/>
      </c>
      <c r="F189" s="42">
        <f>IF(ROUND(C189,2)+ROUND(D189,2)=0,"","yes")</f>
        <v/>
      </c>
      <c r="G189" s="43" t="n"/>
      <c r="H189" s="41">
        <f>IF($G189="","",$E189-$G189)</f>
        <v/>
      </c>
    </row>
    <row r="190">
      <c r="A190" s="13" t="inlineStr">
        <is>
          <t>2605401V</t>
        </is>
      </c>
      <c r="B190" s="13" t="inlineStr">
        <is>
          <t>AGL FYR - Investor Briefing - 12.8.26</t>
        </is>
      </c>
      <c r="C190" s="41">
        <f>SUMIFS(tbl_WIP[Amount],tbl_WIP[Job Number],$A190,tbl_WIP[Month],"&lt;&gt;",tbl_WIP[Month],"&lt;"&amp;$C$4)</f>
        <v/>
      </c>
      <c r="D190" s="41">
        <f>SUMIFS(tbl_WIP[Amount],tbl_WIP[Job Number],$A190,tbl_WIP[Month],$C$4)</f>
        <v/>
      </c>
      <c r="E190" s="41">
        <f>C190+D190</f>
        <v/>
      </c>
      <c r="F190" s="42">
        <f>IF(ROUND(C190,2)+ROUND(D190,2)=0,"","yes")</f>
        <v/>
      </c>
      <c r="G190" s="43" t="n"/>
      <c r="H190" s="41">
        <f>IF($G190="","",$E190-$G190)</f>
        <v/>
      </c>
    </row>
    <row r="191">
      <c r="A191" s="13" t="inlineStr">
        <is>
          <t>2605402</t>
        </is>
      </c>
      <c r="B191" s="13" t="inlineStr">
        <is>
          <t>AGL FYR - Employee Town Hall - 12.8.26</t>
        </is>
      </c>
      <c r="C191" s="41">
        <f>SUMIFS(tbl_WIP[Amount],tbl_WIP[Job Number],$A191,tbl_WIP[Month],"&lt;&gt;",tbl_WIP[Month],"&lt;"&amp;$C$4)</f>
        <v/>
      </c>
      <c r="D191" s="41">
        <f>SUMIFS(tbl_WIP[Amount],tbl_WIP[Job Number],$A191,tbl_WIP[Month],$C$4)</f>
        <v/>
      </c>
      <c r="E191" s="41">
        <f>C191+D191</f>
        <v/>
      </c>
      <c r="F191" s="42">
        <f>IF(ROUND(C191,2)+ROUND(D191,2)=0,"","yes")</f>
        <v/>
      </c>
      <c r="G191" s="43" t="n"/>
      <c r="H191" s="41">
        <f>IF($G191="","",$E191-$G191)</f>
        <v/>
      </c>
    </row>
    <row r="192">
      <c r="A192" s="13" t="inlineStr">
        <is>
          <t>2605402V</t>
        </is>
      </c>
      <c r="B192" s="13" t="inlineStr">
        <is>
          <t>AGL FYR - Employee Town Hall - 12.8.26</t>
        </is>
      </c>
      <c r="C192" s="41">
        <f>SUMIFS(tbl_WIP[Amount],tbl_WIP[Job Number],$A192,tbl_WIP[Month],"&lt;&gt;",tbl_WIP[Month],"&lt;"&amp;$C$4)</f>
        <v/>
      </c>
      <c r="D192" s="41">
        <f>SUMIFS(tbl_WIP[Amount],tbl_WIP[Job Number],$A192,tbl_WIP[Month],$C$4)</f>
        <v/>
      </c>
      <c r="E192" s="41">
        <f>C192+D192</f>
        <v/>
      </c>
      <c r="F192" s="42">
        <f>IF(ROUND(C192,2)+ROUND(D192,2)=0,"","yes")</f>
        <v/>
      </c>
      <c r="G192" s="43" t="n"/>
      <c r="H192" s="41">
        <f>IF($G192="","",$E192-$G192)</f>
        <v/>
      </c>
    </row>
    <row r="193">
      <c r="A193" s="13" t="inlineStr">
        <is>
          <t>2605403</t>
        </is>
      </c>
      <c r="B193" s="13" t="inlineStr">
        <is>
          <t>ARUP - Oves Awards - 23.7.26</t>
        </is>
      </c>
      <c r="C193" s="41">
        <f>SUMIFS(tbl_WIP[Amount],tbl_WIP[Job Number],$A193,tbl_WIP[Month],"&lt;&gt;",tbl_WIP[Month],"&lt;"&amp;$C$4)</f>
        <v/>
      </c>
      <c r="D193" s="41">
        <f>SUMIFS(tbl_WIP[Amount],tbl_WIP[Job Number],$A193,tbl_WIP[Month],$C$4)</f>
        <v/>
      </c>
      <c r="E193" s="41">
        <f>C193+D193</f>
        <v/>
      </c>
      <c r="F193" s="42">
        <f>IF(ROUND(C193,2)+ROUND(D193,2)=0,"","yes")</f>
        <v/>
      </c>
      <c r="G193" s="43" t="n"/>
      <c r="H193" s="41">
        <f>IF($G193="","",$E193-$G193)</f>
        <v/>
      </c>
    </row>
    <row r="194">
      <c r="A194" s="13" t="inlineStr">
        <is>
          <t>2605403V</t>
        </is>
      </c>
      <c r="B194" s="13" t="inlineStr">
        <is>
          <t>ARUP - Oves Awards - 23.7.26</t>
        </is>
      </c>
      <c r="C194" s="41">
        <f>SUMIFS(tbl_WIP[Amount],tbl_WIP[Job Number],$A194,tbl_WIP[Month],"&lt;&gt;",tbl_WIP[Month],"&lt;"&amp;$C$4)</f>
        <v/>
      </c>
      <c r="D194" s="41">
        <f>SUMIFS(tbl_WIP[Amount],tbl_WIP[Job Number],$A194,tbl_WIP[Month],$C$4)</f>
        <v/>
      </c>
      <c r="E194" s="41">
        <f>C194+D194</f>
        <v/>
      </c>
      <c r="F194" s="42">
        <f>IF(ROUND(C194,2)+ROUND(D194,2)=0,"","yes")</f>
        <v/>
      </c>
      <c r="G194" s="43" t="n"/>
      <c r="H194" s="41">
        <f>IF($G194="","",$E194-$G194)</f>
        <v/>
      </c>
    </row>
    <row r="195">
      <c r="A195" s="13" t="inlineStr">
        <is>
          <t>2605501</t>
        </is>
      </c>
      <c r="B195" s="13" t="inlineStr">
        <is>
          <t>DTTL Tech Support AWS AP AI Symposium</t>
        </is>
      </c>
      <c r="C195" s="41">
        <f>SUMIFS(tbl_WIP[Amount],tbl_WIP[Job Number],$A195,tbl_WIP[Month],"&lt;&gt;",tbl_WIP[Month],"&lt;"&amp;$C$4)</f>
        <v/>
      </c>
      <c r="D195" s="41">
        <f>SUMIFS(tbl_WIP[Amount],tbl_WIP[Job Number],$A195,tbl_WIP[Month],$C$4)</f>
        <v/>
      </c>
      <c r="E195" s="41">
        <f>C195+D195</f>
        <v/>
      </c>
      <c r="F195" s="42">
        <f>IF(ROUND(C195,2)+ROUND(D195,2)=0,"","yes")</f>
        <v/>
      </c>
      <c r="G195" s="43" t="n"/>
      <c r="H195" s="41">
        <f>IF($G195="","",$E195-$G195)</f>
        <v/>
      </c>
    </row>
    <row r="196">
      <c r="A196" s="13" t="inlineStr">
        <is>
          <t>2605502</t>
        </is>
      </c>
      <c r="B196" s="13" t="inlineStr">
        <is>
          <t>CBA BNE - Event Support - 13.5.26</t>
        </is>
      </c>
      <c r="C196" s="41">
        <f>SUMIFS(tbl_WIP[Amount],tbl_WIP[Job Number],$A196,tbl_WIP[Month],"&lt;&gt;",tbl_WIP[Month],"&lt;"&amp;$C$4)</f>
        <v/>
      </c>
      <c r="D196" s="41">
        <f>SUMIFS(tbl_WIP[Amount],tbl_WIP[Job Number],$A196,tbl_WIP[Month],$C$4)</f>
        <v/>
      </c>
      <c r="E196" s="41">
        <f>C196+D196</f>
        <v/>
      </c>
      <c r="F196" s="42">
        <f>IF(ROUND(C196,2)+ROUND(D196,2)=0,"","yes")</f>
        <v/>
      </c>
      <c r="G196" s="43" t="n"/>
      <c r="H196" s="41">
        <f>IF($G196="","",$E196-$G196)</f>
        <v/>
      </c>
    </row>
    <row r="197">
      <c r="A197" s="13" t="inlineStr">
        <is>
          <t>2605502V</t>
        </is>
      </c>
      <c r="B197" s="13" t="inlineStr">
        <is>
          <t>CBA BNE - Event Support - 13.5.26</t>
        </is>
      </c>
      <c r="C197" s="41">
        <f>SUMIFS(tbl_WIP[Amount],tbl_WIP[Job Number],$A197,tbl_WIP[Month],"&lt;&gt;",tbl_WIP[Month],"&lt;"&amp;$C$4)</f>
        <v/>
      </c>
      <c r="D197" s="41">
        <f>SUMIFS(tbl_WIP[Amount],tbl_WIP[Job Number],$A197,tbl_WIP[Month],$C$4)</f>
        <v/>
      </c>
      <c r="E197" s="41">
        <f>C197+D197</f>
        <v/>
      </c>
      <c r="F197" s="42">
        <f>IF(ROUND(C197,2)+ROUND(D197,2)=0,"","yes")</f>
        <v/>
      </c>
      <c r="G197" s="43" t="n"/>
      <c r="H197" s="41">
        <f>IF($G197="","",$E197-$G197)</f>
        <v/>
      </c>
    </row>
    <row r="198">
      <c r="A198" s="13" t="inlineStr">
        <is>
          <t>2605503</t>
        </is>
      </c>
      <c r="B198" s="13" t="inlineStr">
        <is>
          <t>DTTL L31 reception Led Wall Audio DSP Repair</t>
        </is>
      </c>
      <c r="C198" s="41">
        <f>SUMIFS(tbl_WIP[Amount],tbl_WIP[Job Number],$A198,tbl_WIP[Month],"&lt;&gt;",tbl_WIP[Month],"&lt;"&amp;$C$4)</f>
        <v/>
      </c>
      <c r="D198" s="41">
        <f>SUMIFS(tbl_WIP[Amount],tbl_WIP[Job Number],$A198,tbl_WIP[Month],$C$4)</f>
        <v/>
      </c>
      <c r="E198" s="41">
        <f>C198+D198</f>
        <v/>
      </c>
      <c r="F198" s="42">
        <f>IF(ROUND(C198,2)+ROUND(D198,2)=0,"","yes")</f>
        <v/>
      </c>
      <c r="G198" s="43" t="n"/>
      <c r="H198" s="41">
        <f>IF($G198="","",$E198-$G198)</f>
        <v/>
      </c>
    </row>
    <row r="199">
      <c r="A199" s="13" t="inlineStr">
        <is>
          <t>2605605</t>
        </is>
      </c>
      <c r="B199" s="13" t="inlineStr">
        <is>
          <t>DTTL Hobart AV Fitout</t>
        </is>
      </c>
      <c r="C199" s="41">
        <f>SUMIFS(tbl_WIP[Amount],tbl_WIP[Job Number],$A199,tbl_WIP[Month],"&lt;&gt;",tbl_WIP[Month],"&lt;"&amp;$C$4)</f>
        <v/>
      </c>
      <c r="D199" s="41">
        <f>SUMIFS(tbl_WIP[Amount],tbl_WIP[Job Number],$A199,tbl_WIP[Month],$C$4)</f>
        <v/>
      </c>
      <c r="E199" s="41">
        <f>C199+D199</f>
        <v/>
      </c>
      <c r="F199" s="42">
        <f>IF(ROUND(C199,2)+ROUND(D199,2)=0,"","yes")</f>
        <v/>
      </c>
      <c r="G199" s="43" t="n"/>
      <c r="H199" s="41">
        <f>IF($G199="","",$E199-$G199)</f>
        <v/>
      </c>
    </row>
    <row r="200">
      <c r="A200" s="13" t="inlineStr">
        <is>
          <t>2605606</t>
        </is>
      </c>
      <c r="B200" s="13" t="inlineStr">
        <is>
          <t>Ventia Internal Townhall 8.05.26</t>
        </is>
      </c>
      <c r="C200" s="41">
        <f>SUMIFS(tbl_WIP[Amount],tbl_WIP[Job Number],$A200,tbl_WIP[Month],"&lt;&gt;",tbl_WIP[Month],"&lt;"&amp;$C$4)</f>
        <v/>
      </c>
      <c r="D200" s="41">
        <f>SUMIFS(tbl_WIP[Amount],tbl_WIP[Job Number],$A200,tbl_WIP[Month],$C$4)</f>
        <v/>
      </c>
      <c r="E200" s="41">
        <f>C200+D200</f>
        <v/>
      </c>
      <c r="F200" s="42">
        <f>IF(ROUND(C200,2)+ROUND(D200,2)=0,"","yes")</f>
        <v/>
      </c>
      <c r="G200" s="43" t="n"/>
      <c r="H200" s="41">
        <f>IF($G200="","",$E200-$G200)</f>
        <v/>
      </c>
    </row>
    <row r="201">
      <c r="A201" s="13" t="inlineStr">
        <is>
          <t>2605606V</t>
        </is>
      </c>
      <c r="B201" s="13" t="inlineStr">
        <is>
          <t>Ventia Internal Townhall 8.05.26</t>
        </is>
      </c>
      <c r="C201" s="41">
        <f>SUMIFS(tbl_WIP[Amount],tbl_WIP[Job Number],$A201,tbl_WIP[Month],"&lt;&gt;",tbl_WIP[Month],"&lt;"&amp;$C$4)</f>
        <v/>
      </c>
      <c r="D201" s="41">
        <f>SUMIFS(tbl_WIP[Amount],tbl_WIP[Job Number],$A201,tbl_WIP[Month],$C$4)</f>
        <v/>
      </c>
      <c r="E201" s="41">
        <f>C201+D201</f>
        <v/>
      </c>
      <c r="F201" s="42">
        <f>IF(ROUND(C201,2)+ROUND(D201,2)=0,"","yes")</f>
        <v/>
      </c>
      <c r="G201" s="43" t="n"/>
      <c r="H201" s="41">
        <f>IF($G201="","",$E201-$G201)</f>
        <v/>
      </c>
    </row>
    <row r="202">
      <c r="A202" s="13" t="inlineStr">
        <is>
          <t>2605609</t>
        </is>
      </c>
      <c r="B202" s="13" t="inlineStr">
        <is>
          <t>ASX - CEO Farewell - 27.5.26</t>
        </is>
      </c>
      <c r="C202" s="41">
        <f>SUMIFS(tbl_WIP[Amount],tbl_WIP[Job Number],$A202,tbl_WIP[Month],"&lt;&gt;",tbl_WIP[Month],"&lt;"&amp;$C$4)</f>
        <v/>
      </c>
      <c r="D202" s="41">
        <f>SUMIFS(tbl_WIP[Amount],tbl_WIP[Job Number],$A202,tbl_WIP[Month],$C$4)</f>
        <v/>
      </c>
      <c r="E202" s="41">
        <f>C202+D202</f>
        <v/>
      </c>
      <c r="F202" s="42">
        <f>IF(ROUND(C202,2)+ROUND(D202,2)=0,"","yes")</f>
        <v/>
      </c>
      <c r="G202" s="43" t="n"/>
      <c r="H202" s="41">
        <f>IF($G202="","",$E202-$G202)</f>
        <v/>
      </c>
    </row>
    <row r="203">
      <c r="A203" s="13" t="inlineStr">
        <is>
          <t>2605609V</t>
        </is>
      </c>
      <c r="B203" s="13" t="inlineStr">
        <is>
          <t>ASX - CEO Farewell - 27.5.26</t>
        </is>
      </c>
      <c r="C203" s="41">
        <f>SUMIFS(tbl_WIP[Amount],tbl_WIP[Job Number],$A203,tbl_WIP[Month],"&lt;&gt;",tbl_WIP[Month],"&lt;"&amp;$C$4)</f>
        <v/>
      </c>
      <c r="D203" s="41">
        <f>SUMIFS(tbl_WIP[Amount],tbl_WIP[Job Number],$A203,tbl_WIP[Month],$C$4)</f>
        <v/>
      </c>
      <c r="E203" s="41">
        <f>C203+D203</f>
        <v/>
      </c>
      <c r="F203" s="42">
        <f>IF(ROUND(C203,2)+ROUND(D203,2)=0,"","yes")</f>
        <v/>
      </c>
      <c r="G203" s="43" t="n"/>
      <c r="H203" s="41">
        <f>IF($G203="","",$E203-$G203)</f>
        <v/>
      </c>
    </row>
    <row r="204">
      <c r="A204" s="13" t="inlineStr">
        <is>
          <t>2605610</t>
        </is>
      </c>
      <c r="B204" s="13" t="inlineStr">
        <is>
          <t>ASX CEO Farewell Additional Costs</t>
        </is>
      </c>
      <c r="C204" s="41">
        <f>SUMIFS(tbl_WIP[Amount],tbl_WIP[Job Number],$A204,tbl_WIP[Month],"&lt;&gt;",tbl_WIP[Month],"&lt;"&amp;$C$4)</f>
        <v/>
      </c>
      <c r="D204" s="41">
        <f>SUMIFS(tbl_WIP[Amount],tbl_WIP[Job Number],$A204,tbl_WIP[Month],$C$4)</f>
        <v/>
      </c>
      <c r="E204" s="41">
        <f>C204+D204</f>
        <v/>
      </c>
      <c r="F204" s="42">
        <f>IF(ROUND(C204,2)+ROUND(D204,2)=0,"","yes")</f>
        <v/>
      </c>
      <c r="G204" s="43" t="n"/>
      <c r="H204" s="41">
        <f>IF($G204="","",$E204-$G204)</f>
        <v/>
      </c>
    </row>
    <row r="205">
      <c r="A205" s="13" t="inlineStr">
        <is>
          <t>2605704</t>
        </is>
      </c>
      <c r="B205" s="13" t="inlineStr">
        <is>
          <t>CBA CBPS Auditorium Upgrade</t>
        </is>
      </c>
      <c r="C205" s="41">
        <f>SUMIFS(tbl_WIP[Amount],tbl_WIP[Job Number],$A205,tbl_WIP[Month],"&lt;&gt;",tbl_WIP[Month],"&lt;"&amp;$C$4)</f>
        <v/>
      </c>
      <c r="D205" s="41">
        <f>SUMIFS(tbl_WIP[Amount],tbl_WIP[Job Number],$A205,tbl_WIP[Month],$C$4)</f>
        <v/>
      </c>
      <c r="E205" s="41">
        <f>C205+D205</f>
        <v/>
      </c>
      <c r="F205" s="42">
        <f>IF(ROUND(C205,2)+ROUND(D205,2)=0,"","yes")</f>
        <v/>
      </c>
      <c r="G205" s="43" t="n"/>
      <c r="H205" s="41">
        <f>IF($G205="","",$E205-$G205)</f>
        <v/>
      </c>
    </row>
    <row r="206">
      <c r="A206" s="13" t="inlineStr">
        <is>
          <t>2605801</t>
        </is>
      </c>
      <c r="B206" s="13" t="inlineStr">
        <is>
          <t>Dimensional - AV Support - 3-4.6.26</t>
        </is>
      </c>
      <c r="C206" s="41">
        <f>SUMIFS(tbl_WIP[Amount],tbl_WIP[Job Number],$A206,tbl_WIP[Month],"&lt;&gt;",tbl_WIP[Month],"&lt;"&amp;$C$4)</f>
        <v/>
      </c>
      <c r="D206" s="41">
        <f>SUMIFS(tbl_WIP[Amount],tbl_WIP[Job Number],$A206,tbl_WIP[Month],$C$4)</f>
        <v/>
      </c>
      <c r="E206" s="41">
        <f>C206+D206</f>
        <v/>
      </c>
      <c r="F206" s="42">
        <f>IF(ROUND(C206,2)+ROUND(D206,2)=0,"","yes")</f>
        <v/>
      </c>
      <c r="G206" s="43" t="n"/>
      <c r="H206" s="41">
        <f>IF($G206="","",$E206-$G206)</f>
        <v/>
      </c>
    </row>
    <row r="207">
      <c r="A207" s="13" t="inlineStr">
        <is>
          <t>2605803</t>
        </is>
      </c>
      <c r="B207" s="13" t="inlineStr">
        <is>
          <t>St Catherine's - Dedicated Tech - 12.6.26</t>
        </is>
      </c>
      <c r="C207" s="41">
        <f>SUMIFS(tbl_WIP[Amount],tbl_WIP[Job Number],$A207,tbl_WIP[Month],"&lt;&gt;",tbl_WIP[Month],"&lt;"&amp;$C$4)</f>
        <v/>
      </c>
      <c r="D207" s="41">
        <f>SUMIFS(tbl_WIP[Amount],tbl_WIP[Job Number],$A207,tbl_WIP[Month],$C$4)</f>
        <v/>
      </c>
      <c r="E207" s="41">
        <f>C207+D207</f>
        <v/>
      </c>
      <c r="F207" s="42">
        <f>IF(ROUND(C207,2)+ROUND(D207,2)=0,"","yes")</f>
        <v/>
      </c>
      <c r="G207" s="43" t="n"/>
      <c r="H207" s="41">
        <f>IF($G207="","",$E207-$G207)</f>
        <v/>
      </c>
    </row>
    <row r="208">
      <c r="A208" s="13" t="inlineStr">
        <is>
          <t>2605804</t>
        </is>
      </c>
      <c r="B208" s="13" t="inlineStr">
        <is>
          <t>City of Sydney Supply of Barco Projector Shutters</t>
        </is>
      </c>
      <c r="C208" s="41">
        <f>SUMIFS(tbl_WIP[Amount],tbl_WIP[Job Number],$A208,tbl_WIP[Month],"&lt;&gt;",tbl_WIP[Month],"&lt;"&amp;$C$4)</f>
        <v/>
      </c>
      <c r="D208" s="41">
        <f>SUMIFS(tbl_WIP[Amount],tbl_WIP[Job Number],$A208,tbl_WIP[Month],$C$4)</f>
        <v/>
      </c>
      <c r="E208" s="41">
        <f>C208+D208</f>
        <v/>
      </c>
      <c r="F208" s="42">
        <f>IF(ROUND(C208,2)+ROUND(D208,2)=0,"","yes")</f>
        <v/>
      </c>
      <c r="G208" s="43" t="n"/>
      <c r="H208" s="41">
        <f>IF($G208="","",$E208-$G208)</f>
        <v/>
      </c>
    </row>
    <row r="209">
      <c r="A209" s="13" t="inlineStr">
        <is>
          <t>2605806</t>
        </is>
      </c>
      <c r="B209" s="13" t="inlineStr">
        <is>
          <t>Aware Super AV Fitout @ 555 Collins Street MEL</t>
        </is>
      </c>
      <c r="C209" s="41">
        <f>SUMIFS(tbl_WIP[Amount],tbl_WIP[Job Number],$A209,tbl_WIP[Month],"&lt;&gt;",tbl_WIP[Month],"&lt;"&amp;$C$4)</f>
        <v/>
      </c>
      <c r="D209" s="41">
        <f>SUMIFS(tbl_WIP[Amount],tbl_WIP[Job Number],$A209,tbl_WIP[Month],$C$4)</f>
        <v/>
      </c>
      <c r="E209" s="41">
        <f>C209+D209</f>
        <v/>
      </c>
      <c r="F209" s="42">
        <f>IF(ROUND(C209,2)+ROUND(D209,2)=0,"","yes")</f>
        <v/>
      </c>
      <c r="G209" s="43" t="n"/>
      <c r="H209" s="41">
        <f>IF($G209="","",$E209-$G209)</f>
        <v/>
      </c>
    </row>
    <row r="210">
      <c r="A210" s="13" t="inlineStr">
        <is>
          <t>26061001</t>
        </is>
      </c>
      <c r="B210" s="13" t="inlineStr">
        <is>
          <t>Garvan August All Clear Event 25.8.26</t>
        </is>
      </c>
      <c r="C210" s="41">
        <f>SUMIFS(tbl_WIP[Amount],tbl_WIP[Job Number],$A210,tbl_WIP[Month],"&lt;&gt;",tbl_WIP[Month],"&lt;"&amp;$C$4)</f>
        <v/>
      </c>
      <c r="D210" s="41">
        <f>SUMIFS(tbl_WIP[Amount],tbl_WIP[Job Number],$A210,tbl_WIP[Month],$C$4)</f>
        <v/>
      </c>
      <c r="E210" s="41">
        <f>C210+D210</f>
        <v/>
      </c>
      <c r="F210" s="42">
        <f>IF(ROUND(C210,2)+ROUND(D210,2)=0,"","yes")</f>
        <v/>
      </c>
      <c r="G210" s="43" t="n"/>
      <c r="H210" s="41">
        <f>IF($G210="","",$E210-$G210)</f>
        <v/>
      </c>
    </row>
    <row r="211">
      <c r="A211" s="13" t="inlineStr">
        <is>
          <t>26061002</t>
        </is>
      </c>
      <c r="B211" s="13" t="inlineStr">
        <is>
          <t>Optiver - Fireside Event Support - 18.6.26</t>
        </is>
      </c>
      <c r="C211" s="41">
        <f>SUMIFS(tbl_WIP[Amount],tbl_WIP[Job Number],$A211,tbl_WIP[Month],"&lt;&gt;",tbl_WIP[Month],"&lt;"&amp;$C$4)</f>
        <v/>
      </c>
      <c r="D211" s="41">
        <f>SUMIFS(tbl_WIP[Amount],tbl_WIP[Job Number],$A211,tbl_WIP[Month],$C$4)</f>
        <v/>
      </c>
      <c r="E211" s="41">
        <f>C211+D211</f>
        <v/>
      </c>
      <c r="F211" s="42">
        <f>IF(ROUND(C211,2)+ROUND(D211,2)=0,"","yes")</f>
        <v/>
      </c>
      <c r="G211" s="43" t="n"/>
      <c r="H211" s="41">
        <f>IF($G211="","",$E211-$G211)</f>
        <v/>
      </c>
    </row>
    <row r="212">
      <c r="A212" s="13" t="inlineStr">
        <is>
          <t>26061002V</t>
        </is>
      </c>
      <c r="B212" s="13" t="inlineStr">
        <is>
          <t>Optiver - Fireside Event Support - 18.6.26</t>
        </is>
      </c>
      <c r="C212" s="41">
        <f>SUMIFS(tbl_WIP[Amount],tbl_WIP[Job Number],$A212,tbl_WIP[Month],"&lt;&gt;",tbl_WIP[Month],"&lt;"&amp;$C$4)</f>
        <v/>
      </c>
      <c r="D212" s="41">
        <f>SUMIFS(tbl_WIP[Amount],tbl_WIP[Job Number],$A212,tbl_WIP[Month],$C$4)</f>
        <v/>
      </c>
      <c r="E212" s="41">
        <f>C212+D212</f>
        <v/>
      </c>
      <c r="F212" s="42">
        <f>IF(ROUND(C212,2)+ROUND(D212,2)=0,"","yes")</f>
        <v/>
      </c>
      <c r="G212" s="43" t="n"/>
      <c r="H212" s="41">
        <f>IF($G212="","",$E212-$G212)</f>
        <v/>
      </c>
    </row>
    <row r="213">
      <c r="A213" s="13" t="inlineStr">
        <is>
          <t>26061102</t>
        </is>
      </c>
      <c r="B213" s="13" t="inlineStr">
        <is>
          <t>CSE Invest Sri Lanka | 16.8.26</t>
        </is>
      </c>
      <c r="C213" s="41">
        <f>SUMIFS(tbl_WIP[Amount],tbl_WIP[Job Number],$A213,tbl_WIP[Month],"&lt;&gt;",tbl_WIP[Month],"&lt;"&amp;$C$4)</f>
        <v/>
      </c>
      <c r="D213" s="41">
        <f>SUMIFS(tbl_WIP[Amount],tbl_WIP[Job Number],$A213,tbl_WIP[Month],$C$4)</f>
        <v/>
      </c>
      <c r="E213" s="41">
        <f>C213+D213</f>
        <v/>
      </c>
      <c r="F213" s="42">
        <f>IF(ROUND(C213,2)+ROUND(D213,2)=0,"","yes")</f>
        <v/>
      </c>
      <c r="G213" s="43" t="n"/>
      <c r="H213" s="41">
        <f>IF($G213="","",$E213-$G213)</f>
        <v/>
      </c>
    </row>
    <row r="214">
      <c r="A214" s="13" t="inlineStr">
        <is>
          <t>26061102V</t>
        </is>
      </c>
      <c r="B214" s="13" t="inlineStr">
        <is>
          <t>CSE Invest Sri Lanka | 16.8.26</t>
        </is>
      </c>
      <c r="C214" s="41">
        <f>SUMIFS(tbl_WIP[Amount],tbl_WIP[Job Number],$A214,tbl_WIP[Month],"&lt;&gt;",tbl_WIP[Month],"&lt;"&amp;$C$4)</f>
        <v/>
      </c>
      <c r="D214" s="41">
        <f>SUMIFS(tbl_WIP[Amount],tbl_WIP[Job Number],$A214,tbl_WIP[Month],$C$4)</f>
        <v/>
      </c>
      <c r="E214" s="41">
        <f>C214+D214</f>
        <v/>
      </c>
      <c r="F214" s="42">
        <f>IF(ROUND(C214,2)+ROUND(D214,2)=0,"","yes")</f>
        <v/>
      </c>
      <c r="G214" s="43" t="n"/>
      <c r="H214" s="41">
        <f>IF($G214="","",$E214-$G214)</f>
        <v/>
      </c>
    </row>
    <row r="215">
      <c r="A215" s="13" t="inlineStr">
        <is>
          <t>26061103</t>
        </is>
      </c>
      <c r="B215" s="13" t="inlineStr">
        <is>
          <t>Circadia Australia Elevate | 14.8.26</t>
        </is>
      </c>
      <c r="C215" s="41">
        <f>SUMIFS(tbl_WIP[Amount],tbl_WIP[Job Number],$A215,tbl_WIP[Month],"&lt;&gt;",tbl_WIP[Month],"&lt;"&amp;$C$4)</f>
        <v/>
      </c>
      <c r="D215" s="41">
        <f>SUMIFS(tbl_WIP[Amount],tbl_WIP[Job Number],$A215,tbl_WIP[Month],$C$4)</f>
        <v/>
      </c>
      <c r="E215" s="41">
        <f>C215+D215</f>
        <v/>
      </c>
      <c r="F215" s="42">
        <f>IF(ROUND(C215,2)+ROUND(D215,2)=0,"","yes")</f>
        <v/>
      </c>
      <c r="G215" s="43" t="n"/>
      <c r="H215" s="41">
        <f>IF($G215="","",$E215-$G215)</f>
        <v/>
      </c>
    </row>
    <row r="216">
      <c r="A216" s="13" t="inlineStr">
        <is>
          <t>26061103V</t>
        </is>
      </c>
      <c r="B216" s="13" t="inlineStr">
        <is>
          <t>Circadia Australia Elevate | 14.8.26</t>
        </is>
      </c>
      <c r="C216" s="41">
        <f>SUMIFS(tbl_WIP[Amount],tbl_WIP[Job Number],$A216,tbl_WIP[Month],"&lt;&gt;",tbl_WIP[Month],"&lt;"&amp;$C$4)</f>
        <v/>
      </c>
      <c r="D216" s="41">
        <f>SUMIFS(tbl_WIP[Amount],tbl_WIP[Job Number],$A216,tbl_WIP[Month],$C$4)</f>
        <v/>
      </c>
      <c r="E216" s="41">
        <f>C216+D216</f>
        <v/>
      </c>
      <c r="F216" s="42">
        <f>IF(ROUND(C216,2)+ROUND(D216,2)=0,"","yes")</f>
        <v/>
      </c>
      <c r="G216" s="43" t="n"/>
      <c r="H216" s="41">
        <f>IF($G216="","",$E216-$G216)</f>
        <v/>
      </c>
    </row>
    <row r="217">
      <c r="A217" s="13" t="inlineStr">
        <is>
          <t>26061104</t>
        </is>
      </c>
      <c r="B217" s="13" t="inlineStr">
        <is>
          <t>MUFG - FYR26 - 12.8.26</t>
        </is>
      </c>
      <c r="C217" s="41">
        <f>SUMIFS(tbl_WIP[Amount],tbl_WIP[Job Number],$A217,tbl_WIP[Month],"&lt;&gt;",tbl_WIP[Month],"&lt;"&amp;$C$4)</f>
        <v/>
      </c>
      <c r="D217" s="41">
        <f>SUMIFS(tbl_WIP[Amount],tbl_WIP[Job Number],$A217,tbl_WIP[Month],$C$4)</f>
        <v/>
      </c>
      <c r="E217" s="41">
        <f>C217+D217</f>
        <v/>
      </c>
      <c r="F217" s="42">
        <f>IF(ROUND(C217,2)+ROUND(D217,2)=0,"","yes")</f>
        <v/>
      </c>
      <c r="G217" s="43" t="n"/>
      <c r="H217" s="41">
        <f>IF($G217="","",$E217-$G217)</f>
        <v/>
      </c>
    </row>
    <row r="218">
      <c r="A218" s="13" t="inlineStr">
        <is>
          <t>26061104V</t>
        </is>
      </c>
      <c r="B218" s="13" t="inlineStr">
        <is>
          <t>MUFG - FYR26 - 12.8.26</t>
        </is>
      </c>
      <c r="C218" s="41">
        <f>SUMIFS(tbl_WIP[Amount],tbl_WIP[Job Number],$A218,tbl_WIP[Month],"&lt;&gt;",tbl_WIP[Month],"&lt;"&amp;$C$4)</f>
        <v/>
      </c>
      <c r="D218" s="41">
        <f>SUMIFS(tbl_WIP[Amount],tbl_WIP[Job Number],$A218,tbl_WIP[Month],$C$4)</f>
        <v/>
      </c>
      <c r="E218" s="41">
        <f>C218+D218</f>
        <v/>
      </c>
      <c r="F218" s="42">
        <f>IF(ROUND(C218,2)+ROUND(D218,2)=0,"","yes")</f>
        <v/>
      </c>
      <c r="G218" s="43" t="n"/>
      <c r="H218" s="41">
        <f>IF($G218="","",$E218-$G218)</f>
        <v/>
      </c>
    </row>
    <row r="219">
      <c r="A219" s="13" t="inlineStr">
        <is>
          <t>26061105</t>
        </is>
      </c>
      <c r="B219" s="13" t="inlineStr">
        <is>
          <t>CBA - FYR 2026 - 12.8.26</t>
        </is>
      </c>
      <c r="C219" s="41">
        <f>SUMIFS(tbl_WIP[Amount],tbl_WIP[Job Number],$A219,tbl_WIP[Month],"&lt;&gt;",tbl_WIP[Month],"&lt;"&amp;$C$4)</f>
        <v/>
      </c>
      <c r="D219" s="41">
        <f>SUMIFS(tbl_WIP[Amount],tbl_WIP[Job Number],$A219,tbl_WIP[Month],$C$4)</f>
        <v/>
      </c>
      <c r="E219" s="41">
        <f>C219+D219</f>
        <v/>
      </c>
      <c r="F219" s="42">
        <f>IF(ROUND(C219,2)+ROUND(D219,2)=0,"","yes")</f>
        <v/>
      </c>
      <c r="G219" s="43" t="n"/>
      <c r="H219" s="41">
        <f>IF($G219="","",$E219-$G219)</f>
        <v/>
      </c>
    </row>
    <row r="220">
      <c r="A220" s="13" t="inlineStr">
        <is>
          <t>26061105V</t>
        </is>
      </c>
      <c r="B220" s="13" t="inlineStr">
        <is>
          <t>CBA - FYR 2026 - 12.8.26</t>
        </is>
      </c>
      <c r="C220" s="41">
        <f>SUMIFS(tbl_WIP[Amount],tbl_WIP[Job Number],$A220,tbl_WIP[Month],"&lt;&gt;",tbl_WIP[Month],"&lt;"&amp;$C$4)</f>
        <v/>
      </c>
      <c r="D220" s="41">
        <f>SUMIFS(tbl_WIP[Amount],tbl_WIP[Job Number],$A220,tbl_WIP[Month],$C$4)</f>
        <v/>
      </c>
      <c r="E220" s="41">
        <f>C220+D220</f>
        <v/>
      </c>
      <c r="F220" s="42">
        <f>IF(ROUND(C220,2)+ROUND(D220,2)=0,"","yes")</f>
        <v/>
      </c>
      <c r="G220" s="43" t="n"/>
      <c r="H220" s="41">
        <f>IF($G220="","",$E220-$G220)</f>
        <v/>
      </c>
    </row>
    <row r="221">
      <c r="A221" s="13" t="inlineStr">
        <is>
          <t>26061106</t>
        </is>
      </c>
      <c r="B221" s="13" t="inlineStr">
        <is>
          <t>TLC Full Year Results MEL</t>
        </is>
      </c>
      <c r="C221" s="41">
        <f>SUMIFS(tbl_WIP[Amount],tbl_WIP[Job Number],$A221,tbl_WIP[Month],"&lt;&gt;",tbl_WIP[Month],"&lt;"&amp;$C$4)</f>
        <v/>
      </c>
      <c r="D221" s="41">
        <f>SUMIFS(tbl_WIP[Amount],tbl_WIP[Job Number],$A221,tbl_WIP[Month],$C$4)</f>
        <v/>
      </c>
      <c r="E221" s="41">
        <f>C221+D221</f>
        <v/>
      </c>
      <c r="F221" s="42">
        <f>IF(ROUND(C221,2)+ROUND(D221,2)=0,"","yes")</f>
        <v/>
      </c>
      <c r="G221" s="43" t="n"/>
      <c r="H221" s="41">
        <f>IF($G221="","",$E221-$G221)</f>
        <v/>
      </c>
    </row>
    <row r="222">
      <c r="A222" s="13" t="inlineStr">
        <is>
          <t>26061106V</t>
        </is>
      </c>
      <c r="B222" s="13" t="inlineStr">
        <is>
          <t>TLC Full Year Results MEL</t>
        </is>
      </c>
      <c r="C222" s="41">
        <f>SUMIFS(tbl_WIP[Amount],tbl_WIP[Job Number],$A222,tbl_WIP[Month],"&lt;&gt;",tbl_WIP[Month],"&lt;"&amp;$C$4)</f>
        <v/>
      </c>
      <c r="D222" s="41">
        <f>SUMIFS(tbl_WIP[Amount],tbl_WIP[Job Number],$A222,tbl_WIP[Month],$C$4)</f>
        <v/>
      </c>
      <c r="E222" s="41">
        <f>C222+D222</f>
        <v/>
      </c>
      <c r="F222" s="42">
        <f>IF(ROUND(C222,2)+ROUND(D222,2)=0,"","yes")</f>
        <v/>
      </c>
      <c r="G222" s="43" t="n"/>
      <c r="H222" s="41">
        <f>IF($G222="","",$E222-$G222)</f>
        <v/>
      </c>
    </row>
    <row r="223">
      <c r="A223" s="13" t="inlineStr">
        <is>
          <t>26061107</t>
        </is>
      </c>
      <c r="B223" s="13" t="inlineStr">
        <is>
          <t>Downer - FYR 2026 - 20.8.26</t>
        </is>
      </c>
      <c r="C223" s="41">
        <f>SUMIFS(tbl_WIP[Amount],tbl_WIP[Job Number],$A223,tbl_WIP[Month],"&lt;&gt;",tbl_WIP[Month],"&lt;"&amp;$C$4)</f>
        <v/>
      </c>
      <c r="D223" s="41">
        <f>SUMIFS(tbl_WIP[Amount],tbl_WIP[Job Number],$A223,tbl_WIP[Month],$C$4)</f>
        <v/>
      </c>
      <c r="E223" s="41">
        <f>C223+D223</f>
        <v/>
      </c>
      <c r="F223" s="42">
        <f>IF(ROUND(C223,2)+ROUND(D223,2)=0,"","yes")</f>
        <v/>
      </c>
      <c r="G223" s="43" t="n"/>
      <c r="H223" s="41">
        <f>IF($G223="","",$E223-$G223)</f>
        <v/>
      </c>
    </row>
    <row r="224">
      <c r="A224" s="13" t="inlineStr">
        <is>
          <t>26061107V</t>
        </is>
      </c>
      <c r="B224" s="13" t="inlineStr">
        <is>
          <t>Downer - FYR 2026 - 20.8.26</t>
        </is>
      </c>
      <c r="C224" s="41">
        <f>SUMIFS(tbl_WIP[Amount],tbl_WIP[Job Number],$A224,tbl_WIP[Month],"&lt;&gt;",tbl_WIP[Month],"&lt;"&amp;$C$4)</f>
        <v/>
      </c>
      <c r="D224" s="41">
        <f>SUMIFS(tbl_WIP[Amount],tbl_WIP[Job Number],$A224,tbl_WIP[Month],$C$4)</f>
        <v/>
      </c>
      <c r="E224" s="41">
        <f>C224+D224</f>
        <v/>
      </c>
      <c r="F224" s="42">
        <f>IF(ROUND(C224,2)+ROUND(D224,2)=0,"","yes")</f>
        <v/>
      </c>
      <c r="G224" s="43" t="n"/>
      <c r="H224" s="41">
        <f>IF($G224="","",$E224-$G224)</f>
        <v/>
      </c>
    </row>
    <row r="225">
      <c r="A225" s="13" t="inlineStr">
        <is>
          <t>26061108</t>
        </is>
      </c>
      <c r="B225" s="13" t="inlineStr">
        <is>
          <t>APA - Qtly All Hands FYR26 - 20.8.26</t>
        </is>
      </c>
      <c r="C225" s="41">
        <f>SUMIFS(tbl_WIP[Amount],tbl_WIP[Job Number],$A225,tbl_WIP[Month],"&lt;&gt;",tbl_WIP[Month],"&lt;"&amp;$C$4)</f>
        <v/>
      </c>
      <c r="D225" s="41">
        <f>SUMIFS(tbl_WIP[Amount],tbl_WIP[Job Number],$A225,tbl_WIP[Month],$C$4)</f>
        <v/>
      </c>
      <c r="E225" s="41">
        <f>C225+D225</f>
        <v/>
      </c>
      <c r="F225" s="42">
        <f>IF(ROUND(C225,2)+ROUND(D225,2)=0,"","yes")</f>
        <v/>
      </c>
      <c r="G225" s="43" t="n"/>
      <c r="H225" s="41">
        <f>IF($G225="","",$E225-$G225)</f>
        <v/>
      </c>
    </row>
    <row r="226">
      <c r="A226" s="13" t="inlineStr">
        <is>
          <t>26061108V</t>
        </is>
      </c>
      <c r="B226" s="13" t="inlineStr">
        <is>
          <t>APA - Qtly All Hands FYR26 - 20.8.26</t>
        </is>
      </c>
      <c r="C226" s="41">
        <f>SUMIFS(tbl_WIP[Amount],tbl_WIP[Job Number],$A226,tbl_WIP[Month],"&lt;&gt;",tbl_WIP[Month],"&lt;"&amp;$C$4)</f>
        <v/>
      </c>
      <c r="D226" s="41">
        <f>SUMIFS(tbl_WIP[Amount],tbl_WIP[Job Number],$A226,tbl_WIP[Month],$C$4)</f>
        <v/>
      </c>
      <c r="E226" s="41">
        <f>C226+D226</f>
        <v/>
      </c>
      <c r="F226" s="42">
        <f>IF(ROUND(C226,2)+ROUND(D226,2)=0,"","yes")</f>
        <v/>
      </c>
      <c r="G226" s="43" t="n"/>
      <c r="H226" s="41">
        <f>IF($G226="","",$E226-$G226)</f>
        <v/>
      </c>
    </row>
    <row r="227">
      <c r="A227" s="13" t="inlineStr">
        <is>
          <t>26061109</t>
        </is>
      </c>
      <c r="B227" s="13" t="inlineStr">
        <is>
          <t>Ventia - FYR26 - 24.8.26</t>
        </is>
      </c>
      <c r="C227" s="41">
        <f>SUMIFS(tbl_WIP[Amount],tbl_WIP[Job Number],$A227,tbl_WIP[Month],"&lt;&gt;",tbl_WIP[Month],"&lt;"&amp;$C$4)</f>
        <v/>
      </c>
      <c r="D227" s="41">
        <f>SUMIFS(tbl_WIP[Amount],tbl_WIP[Job Number],$A227,tbl_WIP[Month],$C$4)</f>
        <v/>
      </c>
      <c r="E227" s="41">
        <f>C227+D227</f>
        <v/>
      </c>
      <c r="F227" s="42">
        <f>IF(ROUND(C227,2)+ROUND(D227,2)=0,"","yes")</f>
        <v/>
      </c>
      <c r="G227" s="43" t="n"/>
      <c r="H227" s="41">
        <f>IF($G227="","",$E227-$G227)</f>
        <v/>
      </c>
    </row>
    <row r="228">
      <c r="A228" s="13" t="inlineStr">
        <is>
          <t>26061109V</t>
        </is>
      </c>
      <c r="B228" s="13" t="inlineStr">
        <is>
          <t>Ventia - FYR26 - 24.8.26</t>
        </is>
      </c>
      <c r="C228" s="41">
        <f>SUMIFS(tbl_WIP[Amount],tbl_WIP[Job Number],$A228,tbl_WIP[Month],"&lt;&gt;",tbl_WIP[Month],"&lt;"&amp;$C$4)</f>
        <v/>
      </c>
      <c r="D228" s="41">
        <f>SUMIFS(tbl_WIP[Amount],tbl_WIP[Job Number],$A228,tbl_WIP[Month],$C$4)</f>
        <v/>
      </c>
      <c r="E228" s="41">
        <f>C228+D228</f>
        <v/>
      </c>
      <c r="F228" s="42">
        <f>IF(ROUND(C228,2)+ROUND(D228,2)=0,"","yes")</f>
        <v/>
      </c>
      <c r="G228" s="43" t="n"/>
      <c r="H228" s="41">
        <f>IF($G228="","",$E228-$G228)</f>
        <v/>
      </c>
    </row>
    <row r="229">
      <c r="A229" s="13" t="inlineStr">
        <is>
          <t>26061201</t>
        </is>
      </c>
      <c r="B229" s="13" t="inlineStr">
        <is>
          <t>PWC - Firmwide Webcast - 30.6.26</t>
        </is>
      </c>
      <c r="C229" s="41">
        <f>SUMIFS(tbl_WIP[Amount],tbl_WIP[Job Number],$A229,tbl_WIP[Month],"&lt;&gt;",tbl_WIP[Month],"&lt;"&amp;$C$4)</f>
        <v/>
      </c>
      <c r="D229" s="41">
        <f>SUMIFS(tbl_WIP[Amount],tbl_WIP[Job Number],$A229,tbl_WIP[Month],$C$4)</f>
        <v/>
      </c>
      <c r="E229" s="41">
        <f>C229+D229</f>
        <v/>
      </c>
      <c r="F229" s="42">
        <f>IF(ROUND(C229,2)+ROUND(D229,2)=0,"","yes")</f>
        <v/>
      </c>
      <c r="G229" s="43" t="n"/>
      <c r="H229" s="41">
        <f>IF($G229="","",$E229-$G229)</f>
        <v/>
      </c>
    </row>
    <row r="230">
      <c r="A230" s="13" t="inlineStr">
        <is>
          <t>26061201V</t>
        </is>
      </c>
      <c r="B230" s="13" t="inlineStr">
        <is>
          <t>PWC - Firmwide Webcast - 30.6.26</t>
        </is>
      </c>
      <c r="C230" s="41">
        <f>SUMIFS(tbl_WIP[Amount],tbl_WIP[Job Number],$A230,tbl_WIP[Month],"&lt;&gt;",tbl_WIP[Month],"&lt;"&amp;$C$4)</f>
        <v/>
      </c>
      <c r="D230" s="41">
        <f>SUMIFS(tbl_WIP[Amount],tbl_WIP[Job Number],$A230,tbl_WIP[Month],$C$4)</f>
        <v/>
      </c>
      <c r="E230" s="41">
        <f>C230+D230</f>
        <v/>
      </c>
      <c r="F230" s="42">
        <f>IF(ROUND(C230,2)+ROUND(D230,2)=0,"","yes")</f>
        <v/>
      </c>
      <c r="G230" s="43" t="n"/>
      <c r="H230" s="41">
        <f>IF($G230="","",$E230-$G230)</f>
        <v/>
      </c>
    </row>
    <row r="231">
      <c r="A231" s="13" t="inlineStr">
        <is>
          <t>26061202</t>
        </is>
      </c>
      <c r="B231" s="13" t="inlineStr">
        <is>
          <t>CBA AGM 2027</t>
        </is>
      </c>
      <c r="C231" s="41">
        <f>SUMIFS(tbl_WIP[Amount],tbl_WIP[Job Number],$A231,tbl_WIP[Month],"&lt;&gt;",tbl_WIP[Month],"&lt;"&amp;$C$4)</f>
        <v/>
      </c>
      <c r="D231" s="41">
        <f>SUMIFS(tbl_WIP[Amount],tbl_WIP[Job Number],$A231,tbl_WIP[Month],$C$4)</f>
        <v/>
      </c>
      <c r="E231" s="41">
        <f>C231+D231</f>
        <v/>
      </c>
      <c r="F231" s="42">
        <f>IF(ROUND(C231,2)+ROUND(D231,2)=0,"","yes")</f>
        <v/>
      </c>
      <c r="G231" s="43" t="n"/>
      <c r="H231" s="41">
        <f>IF($G231="","",$E231-$G231)</f>
        <v/>
      </c>
    </row>
    <row r="232">
      <c r="A232" s="13" t="inlineStr">
        <is>
          <t>26061202V</t>
        </is>
      </c>
      <c r="B232" s="13" t="inlineStr">
        <is>
          <t>CBA AGM 2027</t>
        </is>
      </c>
      <c r="C232" s="41">
        <f>SUMIFS(tbl_WIP[Amount],tbl_WIP[Job Number],$A232,tbl_WIP[Month],"&lt;&gt;",tbl_WIP[Month],"&lt;"&amp;$C$4)</f>
        <v/>
      </c>
      <c r="D232" s="41">
        <f>SUMIFS(tbl_WIP[Amount],tbl_WIP[Job Number],$A232,tbl_WIP[Month],$C$4)</f>
        <v/>
      </c>
      <c r="E232" s="41">
        <f>C232+D232</f>
        <v/>
      </c>
      <c r="F232" s="42">
        <f>IF(ROUND(C232,2)+ROUND(D232,2)=0,"","yes")</f>
        <v/>
      </c>
      <c r="G232" s="43" t="n"/>
      <c r="H232" s="41">
        <f>IF($G232="","",$E232-$G232)</f>
        <v/>
      </c>
    </row>
    <row r="233">
      <c r="A233" s="13" t="inlineStr">
        <is>
          <t>26061501</t>
        </is>
      </c>
      <c r="B233" s="13" t="inlineStr">
        <is>
          <t>DTTL MEL Lv29 Display Supply</t>
        </is>
      </c>
      <c r="C233" s="41">
        <f>SUMIFS(tbl_WIP[Amount],tbl_WIP[Job Number],$A233,tbl_WIP[Month],"&lt;&gt;",tbl_WIP[Month],"&lt;"&amp;$C$4)</f>
        <v/>
      </c>
      <c r="D233" s="41">
        <f>SUMIFS(tbl_WIP[Amount],tbl_WIP[Job Number],$A233,tbl_WIP[Month],$C$4)</f>
        <v/>
      </c>
      <c r="E233" s="41">
        <f>C233+D233</f>
        <v/>
      </c>
      <c r="F233" s="42">
        <f>IF(ROUND(C233,2)+ROUND(D233,2)=0,"","yes")</f>
        <v/>
      </c>
      <c r="G233" s="43" t="n"/>
      <c r="H233" s="41">
        <f>IF($G233="","",$E233-$G233)</f>
        <v/>
      </c>
    </row>
    <row r="234">
      <c r="A234" s="13" t="inlineStr">
        <is>
          <t>26061602</t>
        </is>
      </c>
      <c r="B234" s="13" t="inlineStr">
        <is>
          <t>ASX - CEO Connect (Extended) - 1.9.26</t>
        </is>
      </c>
      <c r="C234" s="41">
        <f>SUMIFS(tbl_WIP[Amount],tbl_WIP[Job Number],$A234,tbl_WIP[Month],"&lt;&gt;",tbl_WIP[Month],"&lt;"&amp;$C$4)</f>
        <v/>
      </c>
      <c r="D234" s="41">
        <f>SUMIFS(tbl_WIP[Amount],tbl_WIP[Job Number],$A234,tbl_WIP[Month],$C$4)</f>
        <v/>
      </c>
      <c r="E234" s="41">
        <f>C234+D234</f>
        <v/>
      </c>
      <c r="F234" s="42">
        <f>IF(ROUND(C234,2)+ROUND(D234,2)=0,"","yes")</f>
        <v/>
      </c>
      <c r="G234" s="43" t="n"/>
      <c r="H234" s="41">
        <f>IF($G234="","",$E234-$G234)</f>
        <v/>
      </c>
    </row>
    <row r="235">
      <c r="A235" s="13" t="inlineStr">
        <is>
          <t>26061602V</t>
        </is>
      </c>
      <c r="B235" s="13" t="inlineStr">
        <is>
          <t>ASX - CEO Connect (Extended) - 1.9.26</t>
        </is>
      </c>
      <c r="C235" s="41">
        <f>SUMIFS(tbl_WIP[Amount],tbl_WIP[Job Number],$A235,tbl_WIP[Month],"&lt;&gt;",tbl_WIP[Month],"&lt;"&amp;$C$4)</f>
        <v/>
      </c>
      <c r="D235" s="41">
        <f>SUMIFS(tbl_WIP[Amount],tbl_WIP[Job Number],$A235,tbl_WIP[Month],$C$4)</f>
        <v/>
      </c>
      <c r="E235" s="41">
        <f>C235+D235</f>
        <v/>
      </c>
      <c r="F235" s="42">
        <f>IF(ROUND(C235,2)+ROUND(D235,2)=0,"","yes")</f>
        <v/>
      </c>
      <c r="G235" s="43" t="n"/>
      <c r="H235" s="41">
        <f>IF($G235="","",$E235-$G235)</f>
        <v/>
      </c>
    </row>
    <row r="236">
      <c r="A236" s="13" t="inlineStr">
        <is>
          <t>26061605</t>
        </is>
      </c>
      <c r="B236" s="13" t="inlineStr">
        <is>
          <t>MUFG - IBM Ltd AGM - 27.10.26</t>
        </is>
      </c>
      <c r="C236" s="41">
        <f>SUMIFS(tbl_WIP[Amount],tbl_WIP[Job Number],$A236,tbl_WIP[Month],"&lt;&gt;",tbl_WIP[Month],"&lt;"&amp;$C$4)</f>
        <v/>
      </c>
      <c r="D236" s="41">
        <f>SUMIFS(tbl_WIP[Amount],tbl_WIP[Job Number],$A236,tbl_WIP[Month],$C$4)</f>
        <v/>
      </c>
      <c r="E236" s="41">
        <f>C236+D236</f>
        <v/>
      </c>
      <c r="F236" s="42">
        <f>IF(ROUND(C236,2)+ROUND(D236,2)=0,"","yes")</f>
        <v/>
      </c>
      <c r="G236" s="43" t="n"/>
      <c r="H236" s="41">
        <f>IF($G236="","",$E236-$G236)</f>
        <v/>
      </c>
    </row>
    <row r="237">
      <c r="A237" s="13" t="inlineStr">
        <is>
          <t>26061605V</t>
        </is>
      </c>
      <c r="B237" s="13" t="inlineStr">
        <is>
          <t>MUFG - IBM Ltd AGM - 27.10.26</t>
        </is>
      </c>
      <c r="C237" s="41">
        <f>SUMIFS(tbl_WIP[Amount],tbl_WIP[Job Number],$A237,tbl_WIP[Month],"&lt;&gt;",tbl_WIP[Month],"&lt;"&amp;$C$4)</f>
        <v/>
      </c>
      <c r="D237" s="41">
        <f>SUMIFS(tbl_WIP[Amount],tbl_WIP[Job Number],$A237,tbl_WIP[Month],$C$4)</f>
        <v/>
      </c>
      <c r="E237" s="41">
        <f>C237+D237</f>
        <v/>
      </c>
      <c r="F237" s="42">
        <f>IF(ROUND(C237,2)+ROUND(D237,2)=0,"","yes")</f>
        <v/>
      </c>
      <c r="G237" s="43" t="n"/>
      <c r="H237" s="41">
        <f>IF($G237="","",$E237-$G237)</f>
        <v/>
      </c>
    </row>
    <row r="238">
      <c r="A238" s="13" t="inlineStr">
        <is>
          <t>26061606</t>
        </is>
      </c>
      <c r="B238" s="13" t="inlineStr">
        <is>
          <t>MUFG - Endeavour AGM - 30.10.26</t>
        </is>
      </c>
      <c r="C238" s="41">
        <f>SUMIFS(tbl_WIP[Amount],tbl_WIP[Job Number],$A238,tbl_WIP[Month],"&lt;&gt;",tbl_WIP[Month],"&lt;"&amp;$C$4)</f>
        <v/>
      </c>
      <c r="D238" s="41">
        <f>SUMIFS(tbl_WIP[Amount],tbl_WIP[Job Number],$A238,tbl_WIP[Month],$C$4)</f>
        <v/>
      </c>
      <c r="E238" s="41">
        <f>C238+D238</f>
        <v/>
      </c>
      <c r="F238" s="42">
        <f>IF(ROUND(C238,2)+ROUND(D238,2)=0,"","yes")</f>
        <v/>
      </c>
      <c r="G238" s="43" t="n"/>
      <c r="H238" s="41">
        <f>IF($G238="","",$E238-$G238)</f>
        <v/>
      </c>
    </row>
    <row r="239">
      <c r="A239" s="13" t="inlineStr">
        <is>
          <t>26061606V</t>
        </is>
      </c>
      <c r="B239" s="13" t="inlineStr">
        <is>
          <t>MUFG - Endeavour AGM - 30.10.26</t>
        </is>
      </c>
      <c r="C239" s="41">
        <f>SUMIFS(tbl_WIP[Amount],tbl_WIP[Job Number],$A239,tbl_WIP[Month],"&lt;&gt;",tbl_WIP[Month],"&lt;"&amp;$C$4)</f>
        <v/>
      </c>
      <c r="D239" s="41">
        <f>SUMIFS(tbl_WIP[Amount],tbl_WIP[Job Number],$A239,tbl_WIP[Month],$C$4)</f>
        <v/>
      </c>
      <c r="E239" s="41">
        <f>C239+D239</f>
        <v/>
      </c>
      <c r="F239" s="42">
        <f>IF(ROUND(C239,2)+ROUND(D239,2)=0,"","yes")</f>
        <v/>
      </c>
      <c r="G239" s="43" t="n"/>
      <c r="H239" s="41">
        <f>IF($G239="","",$E239-$G239)</f>
        <v/>
      </c>
    </row>
    <row r="240">
      <c r="A240" s="13" t="inlineStr">
        <is>
          <t>26061607</t>
        </is>
      </c>
      <c r="B240" s="13" t="inlineStr">
        <is>
          <t>APA - Qtly All Hands (BNE) - 4.11.26</t>
        </is>
      </c>
      <c r="C240" s="41">
        <f>SUMIFS(tbl_WIP[Amount],tbl_WIP[Job Number],$A240,tbl_WIP[Month],"&lt;&gt;",tbl_WIP[Month],"&lt;"&amp;$C$4)</f>
        <v/>
      </c>
      <c r="D240" s="41">
        <f>SUMIFS(tbl_WIP[Amount],tbl_WIP[Job Number],$A240,tbl_WIP[Month],$C$4)</f>
        <v/>
      </c>
      <c r="E240" s="41">
        <f>C240+D240</f>
        <v/>
      </c>
      <c r="F240" s="42">
        <f>IF(ROUND(C240,2)+ROUND(D240,2)=0,"","yes")</f>
        <v/>
      </c>
      <c r="G240" s="43" t="n"/>
      <c r="H240" s="41">
        <f>IF($G240="","",$E240-$G240)</f>
        <v/>
      </c>
    </row>
    <row r="241">
      <c r="A241" s="13" t="inlineStr">
        <is>
          <t>26061607V</t>
        </is>
      </c>
      <c r="B241" s="13" t="inlineStr">
        <is>
          <t>APA - Qtly All Hands (BNE) - 4.11.26</t>
        </is>
      </c>
      <c r="C241" s="41">
        <f>SUMIFS(tbl_WIP[Amount],tbl_WIP[Job Number],$A241,tbl_WIP[Month],"&lt;&gt;",tbl_WIP[Month],"&lt;"&amp;$C$4)</f>
        <v/>
      </c>
      <c r="D241" s="41">
        <f>SUMIFS(tbl_WIP[Amount],tbl_WIP[Job Number],$A241,tbl_WIP[Month],$C$4)</f>
        <v/>
      </c>
      <c r="E241" s="41">
        <f>C241+D241</f>
        <v/>
      </c>
      <c r="F241" s="42">
        <f>IF(ROUND(C241,2)+ROUND(D241,2)=0,"","yes")</f>
        <v/>
      </c>
      <c r="G241" s="43" t="n"/>
      <c r="H241" s="41">
        <f>IF($G241="","",$E241-$G241)</f>
        <v/>
      </c>
    </row>
    <row r="242">
      <c r="A242" s="13" t="inlineStr">
        <is>
          <t>26061608</t>
        </is>
      </c>
      <c r="B242" s="13" t="inlineStr">
        <is>
          <t>APA - Qtly All Hands Sydney - Feb 27</t>
        </is>
      </c>
      <c r="C242" s="41">
        <f>SUMIFS(tbl_WIP[Amount],tbl_WIP[Job Number],$A242,tbl_WIP[Month],"&lt;&gt;",tbl_WIP[Month],"&lt;"&amp;$C$4)</f>
        <v/>
      </c>
      <c r="D242" s="41">
        <f>SUMIFS(tbl_WIP[Amount],tbl_WIP[Job Number],$A242,tbl_WIP[Month],$C$4)</f>
        <v/>
      </c>
      <c r="E242" s="41">
        <f>C242+D242</f>
        <v/>
      </c>
      <c r="F242" s="42">
        <f>IF(ROUND(C242,2)+ROUND(D242,2)=0,"","yes")</f>
        <v/>
      </c>
      <c r="G242" s="43" t="n"/>
      <c r="H242" s="41">
        <f>IF($G242="","",$E242-$G242)</f>
        <v/>
      </c>
    </row>
    <row r="243">
      <c r="A243" s="13" t="inlineStr">
        <is>
          <t>26061608V</t>
        </is>
      </c>
      <c r="B243" s="13" t="inlineStr">
        <is>
          <t>APA - Qtly All Hands Sydney - Feb 27</t>
        </is>
      </c>
      <c r="C243" s="41">
        <f>SUMIFS(tbl_WIP[Amount],tbl_WIP[Job Number],$A243,tbl_WIP[Month],"&lt;&gt;",tbl_WIP[Month],"&lt;"&amp;$C$4)</f>
        <v/>
      </c>
      <c r="D243" s="41">
        <f>SUMIFS(tbl_WIP[Amount],tbl_WIP[Job Number],$A243,tbl_WIP[Month],$C$4)</f>
        <v/>
      </c>
      <c r="E243" s="41">
        <f>C243+D243</f>
        <v/>
      </c>
      <c r="F243" s="42">
        <f>IF(ROUND(C243,2)+ROUND(D243,2)=0,"","yes")</f>
        <v/>
      </c>
      <c r="G243" s="43" t="n"/>
      <c r="H243" s="41">
        <f>IF($G243="","",$E243-$G243)</f>
        <v/>
      </c>
    </row>
    <row r="244">
      <c r="A244" s="13" t="inlineStr">
        <is>
          <t>26061609</t>
        </is>
      </c>
      <c r="B244" s="13" t="inlineStr">
        <is>
          <t>APA Qtly All Hands Perth - May 2027</t>
        </is>
      </c>
      <c r="C244" s="41">
        <f>SUMIFS(tbl_WIP[Amount],tbl_WIP[Job Number],$A244,tbl_WIP[Month],"&lt;&gt;",tbl_WIP[Month],"&lt;"&amp;$C$4)</f>
        <v/>
      </c>
      <c r="D244" s="41">
        <f>SUMIFS(tbl_WIP[Amount],tbl_WIP[Job Number],$A244,tbl_WIP[Month],$C$4)</f>
        <v/>
      </c>
      <c r="E244" s="41">
        <f>C244+D244</f>
        <v/>
      </c>
      <c r="F244" s="42">
        <f>IF(ROUND(C244,2)+ROUND(D244,2)=0,"","yes")</f>
        <v/>
      </c>
      <c r="G244" s="43" t="n"/>
      <c r="H244" s="41">
        <f>IF($G244="","",$E244-$G244)</f>
        <v/>
      </c>
    </row>
    <row r="245">
      <c r="A245" s="13" t="inlineStr">
        <is>
          <t>26061609V</t>
        </is>
      </c>
      <c r="B245" s="13" t="inlineStr">
        <is>
          <t>APA Qtly All Hands Perth - May 2027</t>
        </is>
      </c>
      <c r="C245" s="41">
        <f>SUMIFS(tbl_WIP[Amount],tbl_WIP[Job Number],$A245,tbl_WIP[Month],"&lt;&gt;",tbl_WIP[Month],"&lt;"&amp;$C$4)</f>
        <v/>
      </c>
      <c r="D245" s="41">
        <f>SUMIFS(tbl_WIP[Amount],tbl_WIP[Job Number],$A245,tbl_WIP[Month],$C$4)</f>
        <v/>
      </c>
      <c r="E245" s="41">
        <f>C245+D245</f>
        <v/>
      </c>
      <c r="F245" s="42">
        <f>IF(ROUND(C245,2)+ROUND(D245,2)=0,"","yes")</f>
        <v/>
      </c>
      <c r="G245" s="43" t="n"/>
      <c r="H245" s="41">
        <f>IF($G245="","",$E245-$G245)</f>
        <v/>
      </c>
    </row>
    <row r="246">
      <c r="A246" s="13" t="inlineStr">
        <is>
          <t>26061611</t>
        </is>
      </c>
      <c r="B246" s="13" t="inlineStr">
        <is>
          <t>QBE - Keynote Event - 27.10.26</t>
        </is>
      </c>
      <c r="C246" s="41">
        <f>SUMIFS(tbl_WIP[Amount],tbl_WIP[Job Number],$A246,tbl_WIP[Month],"&lt;&gt;",tbl_WIP[Month],"&lt;"&amp;$C$4)</f>
        <v/>
      </c>
      <c r="D246" s="41">
        <f>SUMIFS(tbl_WIP[Amount],tbl_WIP[Job Number],$A246,tbl_WIP[Month],$C$4)</f>
        <v/>
      </c>
      <c r="E246" s="41">
        <f>C246+D246</f>
        <v/>
      </c>
      <c r="F246" s="42">
        <f>IF(ROUND(C246,2)+ROUND(D246,2)=0,"","yes")</f>
        <v/>
      </c>
      <c r="G246" s="43" t="n"/>
      <c r="H246" s="41">
        <f>IF($G246="","",$E246-$G246)</f>
        <v/>
      </c>
    </row>
    <row r="247">
      <c r="A247" s="13" t="inlineStr">
        <is>
          <t>26061611V</t>
        </is>
      </c>
      <c r="B247" s="13" t="inlineStr">
        <is>
          <t>QBE - Keynote Event - 27.10.26</t>
        </is>
      </c>
      <c r="C247" s="41">
        <f>SUMIFS(tbl_WIP[Amount],tbl_WIP[Job Number],$A247,tbl_WIP[Month],"&lt;&gt;",tbl_WIP[Month],"&lt;"&amp;$C$4)</f>
        <v/>
      </c>
      <c r="D247" s="41">
        <f>SUMIFS(tbl_WIP[Amount],tbl_WIP[Job Number],$A247,tbl_WIP[Month],$C$4)</f>
        <v/>
      </c>
      <c r="E247" s="41">
        <f>C247+D247</f>
        <v/>
      </c>
      <c r="F247" s="42">
        <f>IF(ROUND(C247,2)+ROUND(D247,2)=0,"","yes")</f>
        <v/>
      </c>
      <c r="G247" s="43" t="n"/>
      <c r="H247" s="41">
        <f>IF($G247="","",$E247-$G247)</f>
        <v/>
      </c>
    </row>
    <row r="248">
      <c r="A248" s="13" t="inlineStr">
        <is>
          <t>26061612</t>
        </is>
      </c>
      <c r="B248" s="13" t="inlineStr">
        <is>
          <t>Chorus Call - Redox AGM - 7.10.26</t>
        </is>
      </c>
      <c r="C248" s="41">
        <f>SUMIFS(tbl_WIP[Amount],tbl_WIP[Job Number],$A248,tbl_WIP[Month],"&lt;&gt;",tbl_WIP[Month],"&lt;"&amp;$C$4)</f>
        <v/>
      </c>
      <c r="D248" s="41">
        <f>SUMIFS(tbl_WIP[Amount],tbl_WIP[Job Number],$A248,tbl_WIP[Month],$C$4)</f>
        <v/>
      </c>
      <c r="E248" s="41">
        <f>C248+D248</f>
        <v/>
      </c>
      <c r="F248" s="42">
        <f>IF(ROUND(C248,2)+ROUND(D248,2)=0,"","yes")</f>
        <v/>
      </c>
      <c r="G248" s="43" t="n"/>
      <c r="H248" s="41">
        <f>IF($G248="","",$E248-$G248)</f>
        <v/>
      </c>
    </row>
    <row r="249">
      <c r="A249" s="13" t="inlineStr">
        <is>
          <t>26061612V</t>
        </is>
      </c>
      <c r="B249" s="13" t="inlineStr">
        <is>
          <t>Chorus Call - Redox AGM - 7.10.26</t>
        </is>
      </c>
      <c r="C249" s="41">
        <f>SUMIFS(tbl_WIP[Amount],tbl_WIP[Job Number],$A249,tbl_WIP[Month],"&lt;&gt;",tbl_WIP[Month],"&lt;"&amp;$C$4)</f>
        <v/>
      </c>
      <c r="D249" s="41">
        <f>SUMIFS(tbl_WIP[Amount],tbl_WIP[Job Number],$A249,tbl_WIP[Month],$C$4)</f>
        <v/>
      </c>
      <c r="E249" s="41">
        <f>C249+D249</f>
        <v/>
      </c>
      <c r="F249" s="42">
        <f>IF(ROUND(C249,2)+ROUND(D249,2)=0,"","yes")</f>
        <v/>
      </c>
      <c r="G249" s="43" t="n"/>
      <c r="H249" s="41">
        <f>IF($G249="","",$E249-$G249)</f>
        <v/>
      </c>
    </row>
    <row r="250">
      <c r="A250" s="13" t="inlineStr">
        <is>
          <t>26061701</t>
        </is>
      </c>
      <c r="B250" s="13" t="inlineStr">
        <is>
          <t>CBA - LES - July 2026</t>
        </is>
      </c>
      <c r="C250" s="41">
        <f>SUMIFS(tbl_WIP[Amount],tbl_WIP[Job Number],$A250,tbl_WIP[Month],"&lt;&gt;",tbl_WIP[Month],"&lt;"&amp;$C$4)</f>
        <v/>
      </c>
      <c r="D250" s="41">
        <f>SUMIFS(tbl_WIP[Amount],tbl_WIP[Job Number],$A250,tbl_WIP[Month],$C$4)</f>
        <v/>
      </c>
      <c r="E250" s="41">
        <f>C250+D250</f>
        <v/>
      </c>
      <c r="F250" s="42">
        <f>IF(ROUND(C250,2)+ROUND(D250,2)=0,"","yes")</f>
        <v/>
      </c>
      <c r="G250" s="43" t="n"/>
      <c r="H250" s="41">
        <f>IF($G250="","",$E250-$G250)</f>
        <v/>
      </c>
    </row>
    <row r="251">
      <c r="A251" s="13" t="inlineStr">
        <is>
          <t>26061702</t>
        </is>
      </c>
      <c r="B251" s="13" t="inlineStr">
        <is>
          <t>Garvan - Morning Tea Event - 31.7.26</t>
        </is>
      </c>
      <c r="C251" s="41">
        <f>SUMIFS(tbl_WIP[Amount],tbl_WIP[Job Number],$A251,tbl_WIP[Month],"&lt;&gt;",tbl_WIP[Month],"&lt;"&amp;$C$4)</f>
        <v/>
      </c>
      <c r="D251" s="41">
        <f>SUMIFS(tbl_WIP[Amount],tbl_WIP[Job Number],$A251,tbl_WIP[Month],$C$4)</f>
        <v/>
      </c>
      <c r="E251" s="41">
        <f>C251+D251</f>
        <v/>
      </c>
      <c r="F251" s="42">
        <f>IF(ROUND(C251,2)+ROUND(D251,2)=0,"","yes")</f>
        <v/>
      </c>
      <c r="G251" s="43" t="n"/>
      <c r="H251" s="41">
        <f>IF($G251="","",$E251-$G251)</f>
        <v/>
      </c>
    </row>
    <row r="252">
      <c r="A252" s="13" t="inlineStr">
        <is>
          <t>26061801</t>
        </is>
      </c>
      <c r="B252" s="13" t="inlineStr">
        <is>
          <t>APA - Investor Briefing FYR26 - 20.8.26</t>
        </is>
      </c>
      <c r="C252" s="41">
        <f>SUMIFS(tbl_WIP[Amount],tbl_WIP[Job Number],$A252,tbl_WIP[Month],"&lt;&gt;",tbl_WIP[Month],"&lt;"&amp;$C$4)</f>
        <v/>
      </c>
      <c r="D252" s="41">
        <f>SUMIFS(tbl_WIP[Amount],tbl_WIP[Job Number],$A252,tbl_WIP[Month],$C$4)</f>
        <v/>
      </c>
      <c r="E252" s="41">
        <f>C252+D252</f>
        <v/>
      </c>
      <c r="F252" s="42">
        <f>IF(ROUND(C252,2)+ROUND(D252,2)=0,"","yes")</f>
        <v/>
      </c>
      <c r="G252" s="43" t="n"/>
      <c r="H252" s="41">
        <f>IF($G252="","",$E252-$G252)</f>
        <v/>
      </c>
    </row>
    <row r="253">
      <c r="A253" s="13" t="inlineStr">
        <is>
          <t>26061801V</t>
        </is>
      </c>
      <c r="B253" s="13" t="inlineStr">
        <is>
          <t>APA - Investor Briefing FYR26 - 20.8.26</t>
        </is>
      </c>
      <c r="C253" s="41">
        <f>SUMIFS(tbl_WIP[Amount],tbl_WIP[Job Number],$A253,tbl_WIP[Month],"&lt;&gt;",tbl_WIP[Month],"&lt;"&amp;$C$4)</f>
        <v/>
      </c>
      <c r="D253" s="41">
        <f>SUMIFS(tbl_WIP[Amount],tbl_WIP[Job Number],$A253,tbl_WIP[Month],$C$4)</f>
        <v/>
      </c>
      <c r="E253" s="41">
        <f>C253+D253</f>
        <v/>
      </c>
      <c r="F253" s="42">
        <f>IF(ROUND(C253,2)+ROUND(D253,2)=0,"","yes")</f>
        <v/>
      </c>
      <c r="G253" s="43" t="n"/>
      <c r="H253" s="41">
        <f>IF($G253="","",$E253-$G253)</f>
        <v/>
      </c>
    </row>
    <row r="254">
      <c r="A254" s="13" t="inlineStr">
        <is>
          <t>26062201</t>
        </is>
      </c>
      <c r="B254" s="13" t="inlineStr">
        <is>
          <t>PWC - Tax &amp; Legal Webcast 02.07.26</t>
        </is>
      </c>
      <c r="C254" s="41">
        <f>SUMIFS(tbl_WIP[Amount],tbl_WIP[Job Number],$A254,tbl_WIP[Month],"&lt;&gt;",tbl_WIP[Month],"&lt;"&amp;$C$4)</f>
        <v/>
      </c>
      <c r="D254" s="41">
        <f>SUMIFS(tbl_WIP[Amount],tbl_WIP[Job Number],$A254,tbl_WIP[Month],$C$4)</f>
        <v/>
      </c>
      <c r="E254" s="41">
        <f>C254+D254</f>
        <v/>
      </c>
      <c r="F254" s="42">
        <f>IF(ROUND(C254,2)+ROUND(D254,2)=0,"","yes")</f>
        <v/>
      </c>
      <c r="G254" s="43" t="n"/>
      <c r="H254" s="41">
        <f>IF($G254="","",$E254-$G254)</f>
        <v/>
      </c>
    </row>
    <row r="255">
      <c r="A255" s="13" t="inlineStr">
        <is>
          <t>26062201V</t>
        </is>
      </c>
      <c r="B255" s="13" t="inlineStr">
        <is>
          <t>PWC - Tax &amp; Legal Webcast 02.07.26</t>
        </is>
      </c>
      <c r="C255" s="41">
        <f>SUMIFS(tbl_WIP[Amount],tbl_WIP[Job Number],$A255,tbl_WIP[Month],"&lt;&gt;",tbl_WIP[Month],"&lt;"&amp;$C$4)</f>
        <v/>
      </c>
      <c r="D255" s="41">
        <f>SUMIFS(tbl_WIP[Amount],tbl_WIP[Job Number],$A255,tbl_WIP[Month],$C$4)</f>
        <v/>
      </c>
      <c r="E255" s="41">
        <f>C255+D255</f>
        <v/>
      </c>
      <c r="F255" s="42">
        <f>IF(ROUND(C255,2)+ROUND(D255,2)=0,"","yes")</f>
        <v/>
      </c>
      <c r="G255" s="43" t="n"/>
      <c r="H255" s="41">
        <f>IF($G255="","",$E255-$G255)</f>
        <v/>
      </c>
    </row>
    <row r="256">
      <c r="A256" s="13" t="inlineStr">
        <is>
          <t>26062202</t>
        </is>
      </c>
      <c r="B256" s="13" t="inlineStr">
        <is>
          <t>PWC - Early Careers Webcast - 29.7.26</t>
        </is>
      </c>
      <c r="C256" s="41">
        <f>SUMIFS(tbl_WIP[Amount],tbl_WIP[Job Number],$A256,tbl_WIP[Month],"&lt;&gt;",tbl_WIP[Month],"&lt;"&amp;$C$4)</f>
        <v/>
      </c>
      <c r="D256" s="41">
        <f>SUMIFS(tbl_WIP[Amount],tbl_WIP[Job Number],$A256,tbl_WIP[Month],$C$4)</f>
        <v/>
      </c>
      <c r="E256" s="41">
        <f>C256+D256</f>
        <v/>
      </c>
      <c r="F256" s="42">
        <f>IF(ROUND(C256,2)+ROUND(D256,2)=0,"","yes")</f>
        <v/>
      </c>
      <c r="G256" s="43" t="n"/>
      <c r="H256" s="41">
        <f>IF($G256="","",$E256-$G256)</f>
        <v/>
      </c>
    </row>
    <row r="257">
      <c r="A257" s="13" t="inlineStr">
        <is>
          <t>26062202V</t>
        </is>
      </c>
      <c r="B257" s="13" t="inlineStr">
        <is>
          <t>PWC - Early Careers Webcast - 29.7.26</t>
        </is>
      </c>
      <c r="C257" s="41">
        <f>SUMIFS(tbl_WIP[Amount],tbl_WIP[Job Number],$A257,tbl_WIP[Month],"&lt;&gt;",tbl_WIP[Month],"&lt;"&amp;$C$4)</f>
        <v/>
      </c>
      <c r="D257" s="41">
        <f>SUMIFS(tbl_WIP[Amount],tbl_WIP[Job Number],$A257,tbl_WIP[Month],$C$4)</f>
        <v/>
      </c>
      <c r="E257" s="41">
        <f>C257+D257</f>
        <v/>
      </c>
      <c r="F257" s="42">
        <f>IF(ROUND(C257,2)+ROUND(D257,2)=0,"","yes")</f>
        <v/>
      </c>
      <c r="G257" s="43" t="n"/>
      <c r="H257" s="41">
        <f>IF($G257="","",$E257-$G257)</f>
        <v/>
      </c>
    </row>
    <row r="258">
      <c r="A258" s="13" t="inlineStr">
        <is>
          <t>26062403</t>
        </is>
      </c>
      <c r="B258" s="13" t="inlineStr">
        <is>
          <t>CBA - CommBank Private Hosting 25.6.26</t>
        </is>
      </c>
      <c r="C258" s="41">
        <f>SUMIFS(tbl_WIP[Amount],tbl_WIP[Job Number],$A258,tbl_WIP[Month],"&lt;&gt;",tbl_WIP[Month],"&lt;"&amp;$C$4)</f>
        <v/>
      </c>
      <c r="D258" s="41">
        <f>SUMIFS(tbl_WIP[Amount],tbl_WIP[Job Number],$A258,tbl_WIP[Month],$C$4)</f>
        <v/>
      </c>
      <c r="E258" s="41">
        <f>C258+D258</f>
        <v/>
      </c>
      <c r="F258" s="42">
        <f>IF(ROUND(C258,2)+ROUND(D258,2)=0,"","yes")</f>
        <v/>
      </c>
      <c r="G258" s="43" t="n"/>
      <c r="H258" s="41">
        <f>IF($G258="","",$E258-$G258)</f>
        <v/>
      </c>
    </row>
    <row r="259">
      <c r="A259" s="13" t="inlineStr">
        <is>
          <t>26062403V</t>
        </is>
      </c>
      <c r="B259" s="13" t="inlineStr">
        <is>
          <t>CBA - CommBank Private Hosting 25.6.26</t>
        </is>
      </c>
      <c r="C259" s="41">
        <f>SUMIFS(tbl_WIP[Amount],tbl_WIP[Job Number],$A259,tbl_WIP[Month],"&lt;&gt;",tbl_WIP[Month],"&lt;"&amp;$C$4)</f>
        <v/>
      </c>
      <c r="D259" s="41">
        <f>SUMIFS(tbl_WIP[Amount],tbl_WIP[Job Number],$A259,tbl_WIP[Month],$C$4)</f>
        <v/>
      </c>
      <c r="E259" s="41">
        <f>C259+D259</f>
        <v/>
      </c>
      <c r="F259" s="42">
        <f>IF(ROUND(C259,2)+ROUND(D259,2)=0,"","yes")</f>
        <v/>
      </c>
      <c r="G259" s="43" t="n"/>
      <c r="H259" s="41">
        <f>IF($G259="","",$E259-$G259)</f>
        <v/>
      </c>
    </row>
    <row r="260">
      <c r="A260" s="13" t="inlineStr">
        <is>
          <t>26062501</t>
        </is>
      </c>
      <c r="B260" s="13" t="inlineStr">
        <is>
          <t>DTTL STL Travel (SYD-MEL Return)</t>
        </is>
      </c>
      <c r="C260" s="41">
        <f>SUMIFS(tbl_WIP[Amount],tbl_WIP[Job Number],$A260,tbl_WIP[Month],"&lt;&gt;",tbl_WIP[Month],"&lt;"&amp;$C$4)</f>
        <v/>
      </c>
      <c r="D260" s="41">
        <f>SUMIFS(tbl_WIP[Amount],tbl_WIP[Job Number],$A260,tbl_WIP[Month],$C$4)</f>
        <v/>
      </c>
      <c r="E260" s="41">
        <f>C260+D260</f>
        <v/>
      </c>
      <c r="F260" s="42">
        <f>IF(ROUND(C260,2)+ROUND(D260,2)=0,"","yes")</f>
        <v/>
      </c>
      <c r="G260" s="43" t="n"/>
      <c r="H260" s="41">
        <f>IF($G260="","",$E260-$G260)</f>
        <v/>
      </c>
    </row>
    <row r="261">
      <c r="A261" s="13" t="inlineStr">
        <is>
          <t>26062503</t>
        </is>
      </c>
      <c r="B261" s="13" t="inlineStr">
        <is>
          <t>Aware Super 24.16 UC Engine Replacement</t>
        </is>
      </c>
      <c r="C261" s="41">
        <f>SUMIFS(tbl_WIP[Amount],tbl_WIP[Job Number],$A261,tbl_WIP[Month],"&lt;&gt;",tbl_WIP[Month],"&lt;"&amp;$C$4)</f>
        <v/>
      </c>
      <c r="D261" s="41">
        <f>SUMIFS(tbl_WIP[Amount],tbl_WIP[Job Number],$A261,tbl_WIP[Month],$C$4)</f>
        <v/>
      </c>
      <c r="E261" s="41">
        <f>C261+D261</f>
        <v/>
      </c>
      <c r="F261" s="42">
        <f>IF(ROUND(C261,2)+ROUND(D261,2)=0,"","yes")</f>
        <v/>
      </c>
      <c r="G261" s="43" t="n"/>
      <c r="H261" s="41">
        <f>IF($G261="","",$E261-$G261)</f>
        <v/>
      </c>
    </row>
    <row r="262">
      <c r="A262" s="13" t="inlineStr">
        <is>
          <t>26062601</t>
        </is>
      </c>
      <c r="B262" s="13" t="inlineStr">
        <is>
          <t>Ventia - XELT Event - 29.6.26</t>
        </is>
      </c>
      <c r="C262" s="41">
        <f>SUMIFS(tbl_WIP[Amount],tbl_WIP[Job Number],$A262,tbl_WIP[Month],"&lt;&gt;",tbl_WIP[Month],"&lt;"&amp;$C$4)</f>
        <v/>
      </c>
      <c r="D262" s="41">
        <f>SUMIFS(tbl_WIP[Amount],tbl_WIP[Job Number],$A262,tbl_WIP[Month],$C$4)</f>
        <v/>
      </c>
      <c r="E262" s="41">
        <f>C262+D262</f>
        <v/>
      </c>
      <c r="F262" s="42">
        <f>IF(ROUND(C262,2)+ROUND(D262,2)=0,"","yes")</f>
        <v/>
      </c>
      <c r="G262" s="43" t="n"/>
      <c r="H262" s="41">
        <f>IF($G262="","",$E262-$G262)</f>
        <v/>
      </c>
    </row>
    <row r="263">
      <c r="A263" s="13" t="inlineStr">
        <is>
          <t>26062601V</t>
        </is>
      </c>
      <c r="B263" s="13" t="inlineStr">
        <is>
          <t>Ventia - XELT Event - 29.6.26</t>
        </is>
      </c>
      <c r="C263" s="41">
        <f>SUMIFS(tbl_WIP[Amount],tbl_WIP[Job Number],$A263,tbl_WIP[Month],"&lt;&gt;",tbl_WIP[Month],"&lt;"&amp;$C$4)</f>
        <v/>
      </c>
      <c r="D263" s="41">
        <f>SUMIFS(tbl_WIP[Amount],tbl_WIP[Job Number],$A263,tbl_WIP[Month],$C$4)</f>
        <v/>
      </c>
      <c r="E263" s="41">
        <f>C263+D263</f>
        <v/>
      </c>
      <c r="F263" s="42">
        <f>IF(ROUND(C263,2)+ROUND(D263,2)=0,"","yes")</f>
        <v/>
      </c>
      <c r="G263" s="43" t="n"/>
      <c r="H263" s="41">
        <f>IF($G263="","",$E263-$G263)</f>
        <v/>
      </c>
    </row>
    <row r="264">
      <c r="A264" s="13" t="inlineStr">
        <is>
          <t>26062901</t>
        </is>
      </c>
      <c r="B264" s="13" t="inlineStr">
        <is>
          <t>Aware | SYD 28.06 Services</t>
        </is>
      </c>
      <c r="C264" s="41">
        <f>SUMIFS(tbl_WIP[Amount],tbl_WIP[Job Number],$A264,tbl_WIP[Month],"&lt;&gt;",tbl_WIP[Month],"&lt;"&amp;$C$4)</f>
        <v/>
      </c>
      <c r="D264" s="41">
        <f>SUMIFS(tbl_WIP[Amount],tbl_WIP[Job Number],$A264,tbl_WIP[Month],$C$4)</f>
        <v/>
      </c>
      <c r="E264" s="41">
        <f>C264+D264</f>
        <v/>
      </c>
      <c r="F264" s="42">
        <f>IF(ROUND(C264,2)+ROUND(D264,2)=0,"","yes")</f>
        <v/>
      </c>
      <c r="G264" s="43" t="n"/>
      <c r="H264" s="41">
        <f>IF($G264="","",$E264-$G264)</f>
        <v/>
      </c>
    </row>
    <row r="265">
      <c r="A265" s="13" t="inlineStr">
        <is>
          <t>26062902</t>
        </is>
      </c>
      <c r="B265" s="13" t="inlineStr">
        <is>
          <t>Aware | SYD Occupancy Sensors</t>
        </is>
      </c>
      <c r="C265" s="41">
        <f>SUMIFS(tbl_WIP[Amount],tbl_WIP[Job Number],$A265,tbl_WIP[Month],"&lt;&gt;",tbl_WIP[Month],"&lt;"&amp;$C$4)</f>
        <v/>
      </c>
      <c r="D265" s="41">
        <f>SUMIFS(tbl_WIP[Amount],tbl_WIP[Job Number],$A265,tbl_WIP[Month],$C$4)</f>
        <v/>
      </c>
      <c r="E265" s="41">
        <f>C265+D265</f>
        <v/>
      </c>
      <c r="F265" s="42">
        <f>IF(ROUND(C265,2)+ROUND(D265,2)=0,"","yes")</f>
        <v/>
      </c>
      <c r="G265" s="43" t="n"/>
      <c r="H265" s="41">
        <f>IF($G265="","",$E265-$G265)</f>
        <v/>
      </c>
    </row>
    <row r="266">
      <c r="A266" s="13" t="inlineStr">
        <is>
          <t>26063002</t>
        </is>
      </c>
      <c r="B266" s="13" t="inlineStr">
        <is>
          <t>CEOi - CEO Connect - 11.8.26</t>
        </is>
      </c>
      <c r="C266" s="41">
        <f>SUMIFS(tbl_WIP[Amount],tbl_WIP[Job Number],$A266,tbl_WIP[Month],"&lt;&gt;",tbl_WIP[Month],"&lt;"&amp;$C$4)</f>
        <v/>
      </c>
      <c r="D266" s="41">
        <f>SUMIFS(tbl_WIP[Amount],tbl_WIP[Job Number],$A266,tbl_WIP[Month],$C$4)</f>
        <v/>
      </c>
      <c r="E266" s="41">
        <f>C266+D266</f>
        <v/>
      </c>
      <c r="F266" s="42">
        <f>IF(ROUND(C266,2)+ROUND(D266,2)=0,"","yes")</f>
        <v/>
      </c>
      <c r="G266" s="43" t="n"/>
      <c r="H266" s="41">
        <f>IF($G266="","",$E266-$G266)</f>
        <v/>
      </c>
    </row>
    <row r="267">
      <c r="A267" s="13" t="inlineStr">
        <is>
          <t>26063002V</t>
        </is>
      </c>
      <c r="B267" s="13" t="inlineStr">
        <is>
          <t>CEOi - CEO Connect - 11.8.26</t>
        </is>
      </c>
      <c r="C267" s="41">
        <f>SUMIFS(tbl_WIP[Amount],tbl_WIP[Job Number],$A267,tbl_WIP[Month],"&lt;&gt;",tbl_WIP[Month],"&lt;"&amp;$C$4)</f>
        <v/>
      </c>
      <c r="D267" s="41">
        <f>SUMIFS(tbl_WIP[Amount],tbl_WIP[Job Number],$A267,tbl_WIP[Month],$C$4)</f>
        <v/>
      </c>
      <c r="E267" s="41">
        <f>C267+D267</f>
        <v/>
      </c>
      <c r="F267" s="42">
        <f>IF(ROUND(C267,2)+ROUND(D267,2)=0,"","yes")</f>
        <v/>
      </c>
      <c r="G267" s="43" t="n"/>
      <c r="H267" s="41">
        <f>IF($G267="","",$E267-$G267)</f>
        <v/>
      </c>
    </row>
    <row r="268">
      <c r="A268" s="13" t="inlineStr">
        <is>
          <t>2606401V</t>
        </is>
      </c>
      <c r="B268" s="13" t="inlineStr">
        <is>
          <t>PWC - NRW Webcast - 11.6.26</t>
        </is>
      </c>
      <c r="C268" s="41">
        <f>SUMIFS(tbl_WIP[Amount],tbl_WIP[Job Number],$A268,tbl_WIP[Month],"&lt;&gt;",tbl_WIP[Month],"&lt;"&amp;$C$4)</f>
        <v/>
      </c>
      <c r="D268" s="41">
        <f>SUMIFS(tbl_WIP[Amount],tbl_WIP[Job Number],$A268,tbl_WIP[Month],$C$4)</f>
        <v/>
      </c>
      <c r="E268" s="41">
        <f>C268+D268</f>
        <v/>
      </c>
      <c r="F268" s="42">
        <f>IF(ROUND(C268,2)+ROUND(D268,2)=0,"","yes")</f>
        <v/>
      </c>
      <c r="G268" s="43" t="n"/>
      <c r="H268" s="41">
        <f>IF($G268="","",$E268-$G268)</f>
        <v/>
      </c>
    </row>
    <row r="269">
      <c r="A269" s="13" t="inlineStr">
        <is>
          <t>2606901</t>
        </is>
      </c>
      <c r="B269" s="13" t="inlineStr">
        <is>
          <t>PwC | Syd Studio Equipment</t>
        </is>
      </c>
      <c r="C269" s="41">
        <f>SUMIFS(tbl_WIP[Amount],tbl_WIP[Job Number],$A269,tbl_WIP[Month],"&lt;&gt;",tbl_WIP[Month],"&lt;"&amp;$C$4)</f>
        <v/>
      </c>
      <c r="D269" s="41">
        <f>SUMIFS(tbl_WIP[Amount],tbl_WIP[Job Number],$A269,tbl_WIP[Month],$C$4)</f>
        <v/>
      </c>
      <c r="E269" s="41">
        <f>C269+D269</f>
        <v/>
      </c>
      <c r="F269" s="42">
        <f>IF(ROUND(C269,2)+ROUND(D269,2)=0,"","yes")</f>
        <v/>
      </c>
      <c r="G269" s="43" t="n"/>
      <c r="H269" s="41">
        <f>IF($G269="","",$E269-$G269)</f>
        <v/>
      </c>
    </row>
    <row r="270">
      <c r="A270" s="13" t="inlineStr">
        <is>
          <t>2606902</t>
        </is>
      </c>
      <c r="B270" s="13" t="inlineStr">
        <is>
          <t>AVIT - Taronga AV Support - 9-11.6.26</t>
        </is>
      </c>
      <c r="C270" s="41">
        <f>SUMIFS(tbl_WIP[Amount],tbl_WIP[Job Number],$A270,tbl_WIP[Month],"&lt;&gt;",tbl_WIP[Month],"&lt;"&amp;$C$4)</f>
        <v/>
      </c>
      <c r="D270" s="41">
        <f>SUMIFS(tbl_WIP[Amount],tbl_WIP[Job Number],$A270,tbl_WIP[Month],$C$4)</f>
        <v/>
      </c>
      <c r="E270" s="41">
        <f>C270+D270</f>
        <v/>
      </c>
      <c r="F270" s="42">
        <f>IF(ROUND(C270,2)+ROUND(D270,2)=0,"","yes")</f>
        <v/>
      </c>
      <c r="G270" s="43" t="n"/>
      <c r="H270" s="41">
        <f>IF($G270="","",$E270-$G270)</f>
        <v/>
      </c>
    </row>
    <row r="271">
      <c r="A271" s="13" t="inlineStr">
        <is>
          <t>2606903</t>
        </is>
      </c>
      <c r="B271" s="13" t="inlineStr">
        <is>
          <t>Virgin FY26 Results</t>
        </is>
      </c>
      <c r="C271" s="41">
        <f>SUMIFS(tbl_WIP[Amount],tbl_WIP[Job Number],$A271,tbl_WIP[Month],"&lt;&gt;",tbl_WIP[Month],"&lt;"&amp;$C$4)</f>
        <v/>
      </c>
      <c r="D271" s="41">
        <f>SUMIFS(tbl_WIP[Amount],tbl_WIP[Job Number],$A271,tbl_WIP[Month],$C$4)</f>
        <v/>
      </c>
      <c r="E271" s="41">
        <f>C271+D271</f>
        <v/>
      </c>
      <c r="F271" s="42">
        <f>IF(ROUND(C271,2)+ROUND(D271,2)=0,"","yes")</f>
        <v/>
      </c>
      <c r="G271" s="43" t="n"/>
      <c r="H271" s="41">
        <f>IF($G271="","",$E271-$G271)</f>
        <v/>
      </c>
    </row>
    <row r="272">
      <c r="A272" s="13" t="inlineStr">
        <is>
          <t>2606903V</t>
        </is>
      </c>
      <c r="B272" s="13" t="inlineStr">
        <is>
          <t>Virgin FY26 Results</t>
        </is>
      </c>
      <c r="C272" s="41">
        <f>SUMIFS(tbl_WIP[Amount],tbl_WIP[Job Number],$A272,tbl_WIP[Month],"&lt;&gt;",tbl_WIP[Month],"&lt;"&amp;$C$4)</f>
        <v/>
      </c>
      <c r="D272" s="41">
        <f>SUMIFS(tbl_WIP[Amount],tbl_WIP[Job Number],$A272,tbl_WIP[Month],$C$4)</f>
        <v/>
      </c>
      <c r="E272" s="41">
        <f>C272+D272</f>
        <v/>
      </c>
      <c r="F272" s="42">
        <f>IF(ROUND(C272,2)+ROUND(D272,2)=0,"","yes")</f>
        <v/>
      </c>
      <c r="G272" s="43" t="n"/>
      <c r="H272" s="41">
        <f>IF($G272="","",$E272-$G272)</f>
        <v/>
      </c>
    </row>
    <row r="273">
      <c r="A273" s="13" t="inlineStr">
        <is>
          <t>2606904</t>
        </is>
      </c>
      <c r="B273" s="13" t="inlineStr">
        <is>
          <t>Symal - FYR26 (Melb) - 24.8.26</t>
        </is>
      </c>
      <c r="C273" s="41">
        <f>SUMIFS(tbl_WIP[Amount],tbl_WIP[Job Number],$A273,tbl_WIP[Month],"&lt;&gt;",tbl_WIP[Month],"&lt;"&amp;$C$4)</f>
        <v/>
      </c>
      <c r="D273" s="41">
        <f>SUMIFS(tbl_WIP[Amount],tbl_WIP[Job Number],$A273,tbl_WIP[Month],$C$4)</f>
        <v/>
      </c>
      <c r="E273" s="41">
        <f>C273+D273</f>
        <v/>
      </c>
      <c r="F273" s="42">
        <f>IF(ROUND(C273,2)+ROUND(D273,2)=0,"","yes")</f>
        <v/>
      </c>
      <c r="G273" s="43" t="n"/>
      <c r="H273" s="41">
        <f>IF($G273="","",$E273-$G273)</f>
        <v/>
      </c>
    </row>
    <row r="274">
      <c r="A274" s="13" t="inlineStr">
        <is>
          <t>2606904V</t>
        </is>
      </c>
      <c r="B274" s="13" t="inlineStr">
        <is>
          <t>Symal - FYR26 (Melb) - 24.8.26</t>
        </is>
      </c>
      <c r="C274" s="41">
        <f>SUMIFS(tbl_WIP[Amount],tbl_WIP[Job Number],$A274,tbl_WIP[Month],"&lt;&gt;",tbl_WIP[Month],"&lt;"&amp;$C$4)</f>
        <v/>
      </c>
      <c r="D274" s="41">
        <f>SUMIFS(tbl_WIP[Amount],tbl_WIP[Job Number],$A274,tbl_WIP[Month],$C$4)</f>
        <v/>
      </c>
      <c r="E274" s="41">
        <f>C274+D274</f>
        <v/>
      </c>
      <c r="F274" s="42">
        <f>IF(ROUND(C274,2)+ROUND(D274,2)=0,"","yes")</f>
        <v/>
      </c>
      <c r="G274" s="43" t="n"/>
      <c r="H274" s="41">
        <f>IF($G274="","",$E274-$G274)</f>
        <v/>
      </c>
    </row>
    <row r="275">
      <c r="A275" s="13" t="inlineStr">
        <is>
          <t>2606905</t>
        </is>
      </c>
      <c r="B275" s="13" t="inlineStr">
        <is>
          <t>Dimensional - Audio Tech Support - 22.6.26</t>
        </is>
      </c>
      <c r="C275" s="41">
        <f>SUMIFS(tbl_WIP[Amount],tbl_WIP[Job Number],$A275,tbl_WIP[Month],"&lt;&gt;",tbl_WIP[Month],"&lt;"&amp;$C$4)</f>
        <v/>
      </c>
      <c r="D275" s="41">
        <f>SUMIFS(tbl_WIP[Amount],tbl_WIP[Job Number],$A275,tbl_WIP[Month],$C$4)</f>
        <v/>
      </c>
      <c r="E275" s="41">
        <f>C275+D275</f>
        <v/>
      </c>
      <c r="F275" s="42">
        <f>IF(ROUND(C275,2)+ROUND(D275,2)=0,"","yes")</f>
        <v/>
      </c>
      <c r="G275" s="43" t="n"/>
      <c r="H275" s="41">
        <f>IF($G275="","",$E275-$G275)</f>
        <v/>
      </c>
    </row>
    <row r="276">
      <c r="A276" s="13" t="inlineStr">
        <is>
          <t>2606906</t>
        </is>
      </c>
      <c r="B276" s="13" t="inlineStr">
        <is>
          <t>St Catherines Case Study Video Non-Chrgable</t>
        </is>
      </c>
      <c r="C276" s="41">
        <f>SUMIFS(tbl_WIP[Amount],tbl_WIP[Job Number],$A276,tbl_WIP[Month],"&lt;&gt;",tbl_WIP[Month],"&lt;"&amp;$C$4)</f>
        <v/>
      </c>
      <c r="D276" s="41">
        <f>SUMIFS(tbl_WIP[Amount],tbl_WIP[Job Number],$A276,tbl_WIP[Month],$C$4)</f>
        <v/>
      </c>
      <c r="E276" s="41">
        <f>C276+D276</f>
        <v/>
      </c>
      <c r="F276" s="42">
        <f>IF(ROUND(C276,2)+ROUND(D276,2)=0,"","yes")</f>
        <v/>
      </c>
      <c r="G276" s="43" t="n"/>
      <c r="H276" s="41">
        <f>IF($G276="","",$E276-$G276)</f>
        <v/>
      </c>
    </row>
    <row r="277">
      <c r="A277" s="13" t="inlineStr">
        <is>
          <t>26071303</t>
        </is>
      </c>
      <c r="B277" s="13" t="inlineStr">
        <is>
          <t>Ventia - Melbourne Office Event - 30.7.26</t>
        </is>
      </c>
      <c r="C277" s="41">
        <f>SUMIFS(tbl_WIP[Amount],tbl_WIP[Job Number],$A277,tbl_WIP[Month],"&lt;&gt;",tbl_WIP[Month],"&lt;"&amp;$C$4)</f>
        <v/>
      </c>
      <c r="D277" s="41">
        <f>SUMIFS(tbl_WIP[Amount],tbl_WIP[Job Number],$A277,tbl_WIP[Month],$C$4)</f>
        <v/>
      </c>
      <c r="E277" s="41">
        <f>C277+D277</f>
        <v/>
      </c>
      <c r="F277" s="42">
        <f>IF(ROUND(C277,2)+ROUND(D277,2)=0,"","yes")</f>
        <v/>
      </c>
      <c r="G277" s="43" t="n"/>
      <c r="H277" s="41">
        <f>IF($G277="","",$E277-$G277)</f>
        <v/>
      </c>
    </row>
    <row r="278">
      <c r="A278" s="13" t="inlineStr">
        <is>
          <t>26071304</t>
        </is>
      </c>
      <c r="B278" s="13" t="inlineStr">
        <is>
          <t>YSG | Orange Room Upgrade</t>
        </is>
      </c>
      <c r="C278" s="41">
        <f>SUMIFS(tbl_WIP[Amount],tbl_WIP[Job Number],$A278,tbl_WIP[Month],"&lt;&gt;",tbl_WIP[Month],"&lt;"&amp;$C$4)</f>
        <v/>
      </c>
      <c r="D278" s="41">
        <f>SUMIFS(tbl_WIP[Amount],tbl_WIP[Job Number],$A278,tbl_WIP[Month],$C$4)</f>
        <v/>
      </c>
      <c r="E278" s="41">
        <f>C278+D278</f>
        <v/>
      </c>
      <c r="F278" s="42">
        <f>IF(ROUND(C278,2)+ROUND(D278,2)=0,"","yes")</f>
        <v/>
      </c>
      <c r="G278" s="43" t="n"/>
      <c r="H278" s="41">
        <f>IF($G278="","",$E278-$G278)</f>
        <v/>
      </c>
    </row>
    <row r="279">
      <c r="A279" s="13" t="inlineStr">
        <is>
          <t>26071403</t>
        </is>
      </c>
      <c r="B279" s="13" t="inlineStr">
        <is>
          <t>Elkiem - Studio Support - 4.11.26</t>
        </is>
      </c>
      <c r="C279" s="41">
        <f>SUMIFS(tbl_WIP[Amount],tbl_WIP[Job Number],$A279,tbl_WIP[Month],"&lt;&gt;",tbl_WIP[Month],"&lt;"&amp;$C$4)</f>
        <v/>
      </c>
      <c r="D279" s="41">
        <f>SUMIFS(tbl_WIP[Amount],tbl_WIP[Job Number],$A279,tbl_WIP[Month],$C$4)</f>
        <v/>
      </c>
      <c r="E279" s="41">
        <f>C279+D279</f>
        <v/>
      </c>
      <c r="F279" s="42">
        <f>IF(ROUND(C279,2)+ROUND(D279,2)=0,"","yes")</f>
        <v/>
      </c>
      <c r="G279" s="43" t="n"/>
      <c r="H279" s="41">
        <f>IF($G279="","",$E279-$G279)</f>
        <v/>
      </c>
    </row>
    <row r="280">
      <c r="A280" s="13" t="inlineStr">
        <is>
          <t>26071404</t>
        </is>
      </c>
      <c r="B280" s="13" t="inlineStr">
        <is>
          <t>Elkiem - Studio Support - 9.12.26</t>
        </is>
      </c>
      <c r="C280" s="41">
        <f>SUMIFS(tbl_WIP[Amount],tbl_WIP[Job Number],$A280,tbl_WIP[Month],"&lt;&gt;",tbl_WIP[Month],"&lt;"&amp;$C$4)</f>
        <v/>
      </c>
      <c r="D280" s="41">
        <f>SUMIFS(tbl_WIP[Amount],tbl_WIP[Job Number],$A280,tbl_WIP[Month],$C$4)</f>
        <v/>
      </c>
      <c r="E280" s="41">
        <f>C280+D280</f>
        <v/>
      </c>
      <c r="F280" s="42">
        <f>IF(ROUND(C280,2)+ROUND(D280,2)=0,"","yes")</f>
        <v/>
      </c>
      <c r="G280" s="43" t="n"/>
      <c r="H280" s="41">
        <f>IF($G280="","",$E280-$G280)</f>
        <v/>
      </c>
    </row>
    <row r="281">
      <c r="A281" s="13" t="inlineStr">
        <is>
          <t>26071405</t>
        </is>
      </c>
      <c r="B281" s="13" t="inlineStr">
        <is>
          <t>PWC - Event Technician - 29.7.26</t>
        </is>
      </c>
      <c r="C281" s="41">
        <f>SUMIFS(tbl_WIP[Amount],tbl_WIP[Job Number],$A281,tbl_WIP[Month],"&lt;&gt;",tbl_WIP[Month],"&lt;"&amp;$C$4)</f>
        <v/>
      </c>
      <c r="D281" s="41">
        <f>SUMIFS(tbl_WIP[Amount],tbl_WIP[Job Number],$A281,tbl_WIP[Month],$C$4)</f>
        <v/>
      </c>
      <c r="E281" s="41">
        <f>C281+D281</f>
        <v/>
      </c>
      <c r="F281" s="42">
        <f>IF(ROUND(C281,2)+ROUND(D281,2)=0,"","yes")</f>
        <v/>
      </c>
      <c r="G281" s="43" t="n"/>
      <c r="H281" s="41">
        <f>IF($G281="","",$E281-$G281)</f>
        <v/>
      </c>
    </row>
    <row r="282">
      <c r="A282" s="13" t="inlineStr">
        <is>
          <t>26071501</t>
        </is>
      </c>
      <c r="B282" s="13" t="inlineStr">
        <is>
          <t>Ventia - Half Year Results Briefing - 24.8.26</t>
        </is>
      </c>
      <c r="C282" s="41">
        <f>SUMIFS(tbl_WIP[Amount],tbl_WIP[Job Number],$A282,tbl_WIP[Month],"&lt;&gt;",tbl_WIP[Month],"&lt;"&amp;$C$4)</f>
        <v/>
      </c>
      <c r="D282" s="41">
        <f>SUMIFS(tbl_WIP[Amount],tbl_WIP[Job Number],$A282,tbl_WIP[Month],$C$4)</f>
        <v/>
      </c>
      <c r="E282" s="41">
        <f>C282+D282</f>
        <v/>
      </c>
      <c r="F282" s="42">
        <f>IF(ROUND(C282,2)+ROUND(D282,2)=0,"","yes")</f>
        <v/>
      </c>
      <c r="G282" s="43" t="n"/>
      <c r="H282" s="41">
        <f>IF($G282="","",$E282-$G282)</f>
        <v/>
      </c>
    </row>
    <row r="283">
      <c r="A283" s="13" t="inlineStr">
        <is>
          <t>26071501V</t>
        </is>
      </c>
      <c r="B283" s="13" t="inlineStr">
        <is>
          <t>Ventia - Half Year Results Briefing - 24.8.26</t>
        </is>
      </c>
      <c r="C283" s="41">
        <f>SUMIFS(tbl_WIP[Amount],tbl_WIP[Job Number],$A283,tbl_WIP[Month],"&lt;&gt;",tbl_WIP[Month],"&lt;"&amp;$C$4)</f>
        <v/>
      </c>
      <c r="D283" s="41">
        <f>SUMIFS(tbl_WIP[Amount],tbl_WIP[Job Number],$A283,tbl_WIP[Month],$C$4)</f>
        <v/>
      </c>
      <c r="E283" s="41">
        <f>C283+D283</f>
        <v/>
      </c>
      <c r="F283" s="42">
        <f>IF(ROUND(C283,2)+ROUND(D283,2)=0,"","yes")</f>
        <v/>
      </c>
      <c r="G283" s="43" t="n"/>
      <c r="H283" s="41">
        <f>IF($G283="","",$E283-$G283)</f>
        <v/>
      </c>
    </row>
    <row r="284">
      <c r="A284" s="13" t="inlineStr">
        <is>
          <t>26071601</t>
        </is>
      </c>
      <c r="B284" s="13" t="inlineStr">
        <is>
          <t>Aware | PER | Barry Marshall and Albany Rooms BYOD USB-C Replcmnt</t>
        </is>
      </c>
      <c r="C284" s="41">
        <f>SUMIFS(tbl_WIP[Amount],tbl_WIP[Job Number],$A284,tbl_WIP[Month],"&lt;&gt;",tbl_WIP[Month],"&lt;"&amp;$C$4)</f>
        <v/>
      </c>
      <c r="D284" s="41">
        <f>SUMIFS(tbl_WIP[Amount],tbl_WIP[Job Number],$A284,tbl_WIP[Month],$C$4)</f>
        <v/>
      </c>
      <c r="E284" s="41">
        <f>C284+D284</f>
        <v/>
      </c>
      <c r="F284" s="42">
        <f>IF(ROUND(C284,2)+ROUND(D284,2)=0,"","yes")</f>
        <v/>
      </c>
      <c r="G284" s="43" t="n"/>
      <c r="H284" s="41">
        <f>IF($G284="","",$E284-$G284)</f>
        <v/>
      </c>
    </row>
    <row r="285">
      <c r="A285" s="13" t="inlineStr">
        <is>
          <t>26071701</t>
        </is>
      </c>
      <c r="B285" s="13" t="inlineStr">
        <is>
          <t>ASX Live - 9.9.26</t>
        </is>
      </c>
      <c r="C285" s="41">
        <f>SUMIFS(tbl_WIP[Amount],tbl_WIP[Job Number],$A285,tbl_WIP[Month],"&lt;&gt;",tbl_WIP[Month],"&lt;"&amp;$C$4)</f>
        <v/>
      </c>
      <c r="D285" s="41">
        <f>SUMIFS(tbl_WIP[Amount],tbl_WIP[Job Number],$A285,tbl_WIP[Month],$C$4)</f>
        <v/>
      </c>
      <c r="E285" s="41">
        <f>C285+D285</f>
        <v/>
      </c>
      <c r="F285" s="42">
        <f>IF(ROUND(C285,2)+ROUND(D285,2)=0,"","yes")</f>
        <v/>
      </c>
      <c r="G285" s="43" t="n"/>
      <c r="H285" s="41">
        <f>IF($G285="","",$E285-$G285)</f>
        <v/>
      </c>
    </row>
    <row r="286">
      <c r="A286" s="13" t="inlineStr">
        <is>
          <t>26071701V</t>
        </is>
      </c>
      <c r="B286" s="13" t="inlineStr">
        <is>
          <t>ASX Live - 9.9.26</t>
        </is>
      </c>
      <c r="C286" s="41">
        <f>SUMIFS(tbl_WIP[Amount],tbl_WIP[Job Number],$A286,tbl_WIP[Month],"&lt;&gt;",tbl_WIP[Month],"&lt;"&amp;$C$4)</f>
        <v/>
      </c>
      <c r="D286" s="41">
        <f>SUMIFS(tbl_WIP[Amount],tbl_WIP[Job Number],$A286,tbl_WIP[Month],$C$4)</f>
        <v/>
      </c>
      <c r="E286" s="41">
        <f>C286+D286</f>
        <v/>
      </c>
      <c r="F286" s="42">
        <f>IF(ROUND(C286,2)+ROUND(D286,2)=0,"","yes")</f>
        <v/>
      </c>
      <c r="G286" s="43" t="n"/>
      <c r="H286" s="41">
        <f>IF($G286="","",$E286-$G286)</f>
        <v/>
      </c>
    </row>
    <row r="287">
      <c r="A287" s="13" t="inlineStr">
        <is>
          <t>26071901</t>
        </is>
      </c>
      <c r="B287" s="13" t="inlineStr">
        <is>
          <t>Elkiem - Studio Support - 11.8.26</t>
        </is>
      </c>
      <c r="C287" s="41">
        <f>SUMIFS(tbl_WIP[Amount],tbl_WIP[Job Number],$A287,tbl_WIP[Month],"&lt;&gt;",tbl_WIP[Month],"&lt;"&amp;$C$4)</f>
        <v/>
      </c>
      <c r="D287" s="41">
        <f>SUMIFS(tbl_WIP[Amount],tbl_WIP[Job Number],$A287,tbl_WIP[Month],$C$4)</f>
        <v/>
      </c>
      <c r="E287" s="41">
        <f>C287+D287</f>
        <v/>
      </c>
      <c r="F287" s="42">
        <f>IF(ROUND(C287,2)+ROUND(D287,2)=0,"","yes")</f>
        <v/>
      </c>
      <c r="G287" s="43" t="n"/>
      <c r="H287" s="41">
        <f>IF($G287="","",$E287-$G287)</f>
        <v/>
      </c>
    </row>
    <row r="288">
      <c r="A288" s="13" t="inlineStr">
        <is>
          <t>26072003</t>
        </is>
      </c>
      <c r="B288" s="13" t="inlineStr">
        <is>
          <t>CBA Live Event Support August 2026</t>
        </is>
      </c>
      <c r="C288" s="41">
        <f>SUMIFS(tbl_WIP[Amount],tbl_WIP[Job Number],$A288,tbl_WIP[Month],"&lt;&gt;",tbl_WIP[Month],"&lt;"&amp;$C$4)</f>
        <v/>
      </c>
      <c r="D288" s="41">
        <f>SUMIFS(tbl_WIP[Amount],tbl_WIP[Job Number],$A288,tbl_WIP[Month],$C$4)</f>
        <v/>
      </c>
      <c r="E288" s="41">
        <f>C288+D288</f>
        <v/>
      </c>
      <c r="F288" s="42">
        <f>IF(ROUND(C288,2)+ROUND(D288,2)=0,"","yes")</f>
        <v/>
      </c>
      <c r="G288" s="43" t="n"/>
      <c r="H288" s="41">
        <f>IF($G288="","",$E288-$G288)</f>
        <v/>
      </c>
    </row>
    <row r="289">
      <c r="A289" s="13" t="inlineStr">
        <is>
          <t>26072101</t>
        </is>
      </c>
      <c r="B289" s="13" t="inlineStr">
        <is>
          <t>Aware MEL 17.02 Amp Replacement</t>
        </is>
      </c>
      <c r="C289" s="41">
        <f>SUMIFS(tbl_WIP[Amount],tbl_WIP[Job Number],$A289,tbl_WIP[Month],"&lt;&gt;",tbl_WIP[Month],"&lt;"&amp;$C$4)</f>
        <v/>
      </c>
      <c r="D289" s="41">
        <f>SUMIFS(tbl_WIP[Amount],tbl_WIP[Job Number],$A289,tbl_WIP[Month],$C$4)</f>
        <v/>
      </c>
      <c r="E289" s="41">
        <f>C289+D289</f>
        <v/>
      </c>
      <c r="F289" s="42">
        <f>IF(ROUND(C289,2)+ROUND(D289,2)=0,"","yes")</f>
        <v/>
      </c>
      <c r="G289" s="43" t="n"/>
      <c r="H289" s="41">
        <f>IF($G289="","",$E289-$G289)</f>
        <v/>
      </c>
    </row>
    <row r="290">
      <c r="A290" s="13" t="inlineStr">
        <is>
          <t>26072101</t>
        </is>
      </c>
      <c r="B290" s="13" t="inlineStr">
        <is>
          <t>Aware_Mel 17.02 Amp Replacement</t>
        </is>
      </c>
      <c r="C290" s="41">
        <f>SUMIFS(tbl_WIP[Amount],tbl_WIP[Job Number],$A290,tbl_WIP[Month],"&lt;&gt;",tbl_WIP[Month],"&lt;"&amp;$C$4)</f>
        <v/>
      </c>
      <c r="D290" s="41">
        <f>SUMIFS(tbl_WIP[Amount],tbl_WIP[Job Number],$A290,tbl_WIP[Month],$C$4)</f>
        <v/>
      </c>
      <c r="E290" s="41">
        <f>C290+D290</f>
        <v/>
      </c>
      <c r="F290" s="42">
        <f>IF(ROUND(C290,2)+ROUND(D290,2)=0,"","yes")</f>
        <v/>
      </c>
      <c r="G290" s="43" t="n"/>
      <c r="H290" s="41">
        <f>IF($G290="","",$E290-$G290)</f>
        <v/>
      </c>
    </row>
    <row r="291">
      <c r="A291" s="13" t="inlineStr">
        <is>
          <t>26072102</t>
        </is>
      </c>
      <c r="B291" s="13" t="inlineStr">
        <is>
          <t>Ventia - RUOK? Day - 10.09.2026</t>
        </is>
      </c>
      <c r="C291" s="41">
        <f>SUMIFS(tbl_WIP[Amount],tbl_WIP[Job Number],$A291,tbl_WIP[Month],"&lt;&gt;",tbl_WIP[Month],"&lt;"&amp;$C$4)</f>
        <v/>
      </c>
      <c r="D291" s="41">
        <f>SUMIFS(tbl_WIP[Amount],tbl_WIP[Job Number],$A291,tbl_WIP[Month],$C$4)</f>
        <v/>
      </c>
      <c r="E291" s="41">
        <f>C291+D291</f>
        <v/>
      </c>
      <c r="F291" s="42">
        <f>IF(ROUND(C291,2)+ROUND(D291,2)=0,"","yes")</f>
        <v/>
      </c>
      <c r="G291" s="43" t="n"/>
      <c r="H291" s="41">
        <f>IF($G291="","",$E291-$G291)</f>
        <v/>
      </c>
    </row>
    <row r="292">
      <c r="A292" s="13" t="inlineStr">
        <is>
          <t>26072102V</t>
        </is>
      </c>
      <c r="B292" s="13" t="inlineStr">
        <is>
          <t>Ventia - RUOK? Day - 10.09.2026</t>
        </is>
      </c>
      <c r="C292" s="41">
        <f>SUMIFS(tbl_WIP[Amount],tbl_WIP[Job Number],$A292,tbl_WIP[Month],"&lt;&gt;",tbl_WIP[Month],"&lt;"&amp;$C$4)</f>
        <v/>
      </c>
      <c r="D292" s="41">
        <f>SUMIFS(tbl_WIP[Amount],tbl_WIP[Job Number],$A292,tbl_WIP[Month],$C$4)</f>
        <v/>
      </c>
      <c r="E292" s="41">
        <f>C292+D292</f>
        <v/>
      </c>
      <c r="F292" s="42">
        <f>IF(ROUND(C292,2)+ROUND(D292,2)=0,"","yes")</f>
        <v/>
      </c>
      <c r="G292" s="43" t="n"/>
      <c r="H292" s="41">
        <f>IF($G292="","",$E292-$G292)</f>
        <v/>
      </c>
    </row>
    <row r="293">
      <c r="A293" s="13" t="inlineStr">
        <is>
          <t>26072802</t>
        </is>
      </c>
      <c r="B293" s="13" t="inlineStr">
        <is>
          <t>ON24 KWM Sydney Event - 18.08.2026</t>
        </is>
      </c>
      <c r="C293" s="41">
        <f>SUMIFS(tbl_WIP[Amount],tbl_WIP[Job Number],$A293,tbl_WIP[Month],"&lt;&gt;",tbl_WIP[Month],"&lt;"&amp;$C$4)</f>
        <v/>
      </c>
      <c r="D293" s="41">
        <f>SUMIFS(tbl_WIP[Amount],tbl_WIP[Job Number],$A293,tbl_WIP[Month],$C$4)</f>
        <v/>
      </c>
      <c r="E293" s="41">
        <f>C293+D293</f>
        <v/>
      </c>
      <c r="F293" s="42">
        <f>IF(ROUND(C293,2)+ROUND(D293,2)=0,"","yes")</f>
        <v/>
      </c>
      <c r="G293" s="43" t="n"/>
      <c r="H293" s="41">
        <f>IF($G293="","",$E293-$G293)</f>
        <v/>
      </c>
    </row>
    <row r="294">
      <c r="A294" s="13" t="inlineStr">
        <is>
          <t>26072802V</t>
        </is>
      </c>
      <c r="B294" s="13" t="inlineStr">
        <is>
          <t>ON24 KWM Sydney Event - 18.08.2026</t>
        </is>
      </c>
      <c r="C294" s="41">
        <f>SUMIFS(tbl_WIP[Amount],tbl_WIP[Job Number],$A294,tbl_WIP[Month],"&lt;&gt;",tbl_WIP[Month],"&lt;"&amp;$C$4)</f>
        <v/>
      </c>
      <c r="D294" s="41">
        <f>SUMIFS(tbl_WIP[Amount],tbl_WIP[Job Number],$A294,tbl_WIP[Month],$C$4)</f>
        <v/>
      </c>
      <c r="E294" s="41">
        <f>C294+D294</f>
        <v/>
      </c>
      <c r="F294" s="42">
        <f>IF(ROUND(C294,2)+ROUND(D294,2)=0,"","yes")</f>
        <v/>
      </c>
      <c r="G294" s="43" t="n"/>
      <c r="H294" s="41">
        <f>IF($G294="","",$E294-$G294)</f>
        <v/>
      </c>
    </row>
    <row r="295">
      <c r="A295" s="13" t="inlineStr">
        <is>
          <t>26072902</t>
        </is>
      </c>
      <c r="B295" s="13" t="inlineStr">
        <is>
          <t>PWC AI Townhall 6.8.26</t>
        </is>
      </c>
      <c r="C295" s="41">
        <f>SUMIFS(tbl_WIP[Amount],tbl_WIP[Job Number],$A295,tbl_WIP[Month],"&lt;&gt;",tbl_WIP[Month],"&lt;"&amp;$C$4)</f>
        <v/>
      </c>
      <c r="D295" s="41">
        <f>SUMIFS(tbl_WIP[Amount],tbl_WIP[Job Number],$A295,tbl_WIP[Month],$C$4)</f>
        <v/>
      </c>
      <c r="E295" s="41">
        <f>C295+D295</f>
        <v/>
      </c>
      <c r="F295" s="42">
        <f>IF(ROUND(C295,2)+ROUND(D295,2)=0,"","yes")</f>
        <v/>
      </c>
      <c r="G295" s="43" t="n"/>
      <c r="H295" s="41">
        <f>IF($G295="","",$E295-$G295)</f>
        <v/>
      </c>
    </row>
    <row r="296">
      <c r="A296" s="13" t="inlineStr">
        <is>
          <t>26072902V</t>
        </is>
      </c>
      <c r="B296" s="13" t="inlineStr">
        <is>
          <t>PWC AI Townhall 6.8.26</t>
        </is>
      </c>
      <c r="C296" s="41">
        <f>SUMIFS(tbl_WIP[Amount],tbl_WIP[Job Number],$A296,tbl_WIP[Month],"&lt;&gt;",tbl_WIP[Month],"&lt;"&amp;$C$4)</f>
        <v/>
      </c>
      <c r="D296" s="41">
        <f>SUMIFS(tbl_WIP[Amount],tbl_WIP[Job Number],$A296,tbl_WIP[Month],$C$4)</f>
        <v/>
      </c>
      <c r="E296" s="41">
        <f>C296+D296</f>
        <v/>
      </c>
      <c r="F296" s="42">
        <f>IF(ROUND(C296,2)+ROUND(D296,2)=0,"","yes")</f>
        <v/>
      </c>
      <c r="G296" s="43" t="n"/>
      <c r="H296" s="41">
        <f>IF($G296="","",$E296-$G296)</f>
        <v/>
      </c>
    </row>
    <row r="297">
      <c r="A297" s="13" t="inlineStr">
        <is>
          <t>26072903</t>
        </is>
      </c>
      <c r="B297" s="13" t="inlineStr">
        <is>
          <t>PWC - GB Webcast - 11.8.26</t>
        </is>
      </c>
      <c r="C297" s="41">
        <f>SUMIFS(tbl_WIP[Amount],tbl_WIP[Job Number],$A297,tbl_WIP[Month],"&lt;&gt;",tbl_WIP[Month],"&lt;"&amp;$C$4)</f>
        <v/>
      </c>
      <c r="D297" s="41">
        <f>SUMIFS(tbl_WIP[Amount],tbl_WIP[Job Number],$A297,tbl_WIP[Month],$C$4)</f>
        <v/>
      </c>
      <c r="E297" s="41">
        <f>C297+D297</f>
        <v/>
      </c>
      <c r="F297" s="42">
        <f>IF(ROUND(C297,2)+ROUND(D297,2)=0,"","yes")</f>
        <v/>
      </c>
      <c r="G297" s="43" t="n"/>
      <c r="H297" s="41">
        <f>IF($G297="","",$E297-$G297)</f>
        <v/>
      </c>
    </row>
    <row r="298">
      <c r="A298" s="13" t="inlineStr">
        <is>
          <t>26072903V</t>
        </is>
      </c>
      <c r="B298" s="13" t="inlineStr">
        <is>
          <t>PWC - GB Webcast - 11.8.26</t>
        </is>
      </c>
      <c r="C298" s="41">
        <f>SUMIFS(tbl_WIP[Amount],tbl_WIP[Job Number],$A298,tbl_WIP[Month],"&lt;&gt;",tbl_WIP[Month],"&lt;"&amp;$C$4)</f>
        <v/>
      </c>
      <c r="D298" s="41">
        <f>SUMIFS(tbl_WIP[Amount],tbl_WIP[Job Number],$A298,tbl_WIP[Month],$C$4)</f>
        <v/>
      </c>
      <c r="E298" s="41">
        <f>C298+D298</f>
        <v/>
      </c>
      <c r="F298" s="42">
        <f>IF(ROUND(C298,2)+ROUND(D298,2)=0,"","yes")</f>
        <v/>
      </c>
      <c r="G298" s="43" t="n"/>
      <c r="H298" s="41">
        <f>IF($G298="","",$E298-$G298)</f>
        <v/>
      </c>
    </row>
    <row r="299">
      <c r="A299" s="13" t="inlineStr">
        <is>
          <t>26072906</t>
        </is>
      </c>
      <c r="B299" s="13" t="inlineStr">
        <is>
          <t>ASX Advisory Group on Corporate Governance</t>
        </is>
      </c>
      <c r="C299" s="41">
        <f>SUMIFS(tbl_WIP[Amount],tbl_WIP[Job Number],$A299,tbl_WIP[Month],"&lt;&gt;",tbl_WIP[Month],"&lt;"&amp;$C$4)</f>
        <v/>
      </c>
      <c r="D299" s="41">
        <f>SUMIFS(tbl_WIP[Amount],tbl_WIP[Job Number],$A299,tbl_WIP[Month],$C$4)</f>
        <v/>
      </c>
      <c r="E299" s="41">
        <f>C299+D299</f>
        <v/>
      </c>
      <c r="F299" s="42">
        <f>IF(ROUND(C299,2)+ROUND(D299,2)=0,"","yes")</f>
        <v/>
      </c>
      <c r="G299" s="43" t="n"/>
      <c r="H299" s="41">
        <f>IF($G299="","",$E299-$G299)</f>
        <v/>
      </c>
    </row>
    <row r="300">
      <c r="A300" s="13" t="inlineStr">
        <is>
          <t>26072906V</t>
        </is>
      </c>
      <c r="B300" s="13" t="inlineStr">
        <is>
          <t>ASX Advisory Group on Corporate Governance</t>
        </is>
      </c>
      <c r="C300" s="41">
        <f>SUMIFS(tbl_WIP[Amount],tbl_WIP[Job Number],$A300,tbl_WIP[Month],"&lt;&gt;",tbl_WIP[Month],"&lt;"&amp;$C$4)</f>
        <v/>
      </c>
      <c r="D300" s="41">
        <f>SUMIFS(tbl_WIP[Amount],tbl_WIP[Job Number],$A300,tbl_WIP[Month],$C$4)</f>
        <v/>
      </c>
      <c r="E300" s="41">
        <f>C300+D300</f>
        <v/>
      </c>
      <c r="F300" s="42">
        <f>IF(ROUND(C300,2)+ROUND(D300,2)=0,"","yes")</f>
        <v/>
      </c>
      <c r="G300" s="43" t="n"/>
      <c r="H300" s="41">
        <f>IF($G300="","",$E300-$G300)</f>
        <v/>
      </c>
    </row>
    <row r="301">
      <c r="A301" s="13" t="inlineStr">
        <is>
          <t>26073103</t>
        </is>
      </c>
      <c r="B301" s="13" t="inlineStr">
        <is>
          <t>DTTL PER AV &amp; Hospitality Tech (SEP26-FEB27)</t>
        </is>
      </c>
      <c r="C301" s="41">
        <f>SUMIFS(tbl_WIP[Amount],tbl_WIP[Job Number],$A301,tbl_WIP[Month],"&lt;&gt;",tbl_WIP[Month],"&lt;"&amp;$C$4)</f>
        <v/>
      </c>
      <c r="D301" s="41">
        <f>SUMIFS(tbl_WIP[Amount],tbl_WIP[Job Number],$A301,tbl_WIP[Month],$C$4)</f>
        <v/>
      </c>
      <c r="E301" s="41">
        <f>C301+D301</f>
        <v/>
      </c>
      <c r="F301" s="42">
        <f>IF(ROUND(C301,2)+ROUND(D301,2)=0,"","yes")</f>
        <v/>
      </c>
      <c r="G301" s="43" t="n"/>
      <c r="H301" s="41">
        <f>IF($G301="","",$E301-$G301)</f>
        <v/>
      </c>
    </row>
    <row r="302">
      <c r="A302" s="13" t="inlineStr">
        <is>
          <t>26073103N</t>
        </is>
      </c>
      <c r="B302" s="13" t="inlineStr">
        <is>
          <t>DTTL PER AV &amp; Hospitality Tech (SEP26-FEB27) [ONS] non-chargeable</t>
        </is>
      </c>
      <c r="C302" s="41">
        <f>SUMIFS(tbl_WIP[Amount],tbl_WIP[Job Number],$A302,tbl_WIP[Month],"&lt;&gt;",tbl_WIP[Month],"&lt;"&amp;$C$4)</f>
        <v/>
      </c>
      <c r="D302" s="41">
        <f>SUMIFS(tbl_WIP[Amount],tbl_WIP[Job Number],$A302,tbl_WIP[Month],$C$4)</f>
        <v/>
      </c>
      <c r="E302" s="41">
        <f>C302+D302</f>
        <v/>
      </c>
      <c r="F302" s="42">
        <f>IF(ROUND(C302,2)+ROUND(D302,2)=0,"","yes")</f>
        <v/>
      </c>
      <c r="G302" s="43" t="n"/>
      <c r="H302" s="41">
        <f>IF($G302="","",$E302-$G302)</f>
        <v/>
      </c>
    </row>
    <row r="303">
      <c r="A303" s="13" t="inlineStr">
        <is>
          <t>26073105</t>
        </is>
      </c>
      <c r="B303" s="13" t="inlineStr">
        <is>
          <t>Elkiem - Studio Support - 25.8.26</t>
        </is>
      </c>
      <c r="C303" s="41">
        <f>SUMIFS(tbl_WIP[Amount],tbl_WIP[Job Number],$A303,tbl_WIP[Month],"&lt;&gt;",tbl_WIP[Month],"&lt;"&amp;$C$4)</f>
        <v/>
      </c>
      <c r="D303" s="41">
        <f>SUMIFS(tbl_WIP[Amount],tbl_WIP[Job Number],$A303,tbl_WIP[Month],$C$4)</f>
        <v/>
      </c>
      <c r="E303" s="41">
        <f>C303+D303</f>
        <v/>
      </c>
      <c r="F303" s="42">
        <f>IF(ROUND(C303,2)+ROUND(D303,2)=0,"","yes")</f>
        <v/>
      </c>
      <c r="G303" s="43" t="n"/>
      <c r="H303" s="41">
        <f>IF($G303="","",$E303-$G303)</f>
        <v/>
      </c>
    </row>
    <row r="304">
      <c r="A304" s="13" t="inlineStr">
        <is>
          <t>26073106</t>
        </is>
      </c>
      <c r="B304" s="13" t="inlineStr">
        <is>
          <t>Elkiem - Studio Support - 18.9.26</t>
        </is>
      </c>
      <c r="C304" s="41">
        <f>SUMIFS(tbl_WIP[Amount],tbl_WIP[Job Number],$A304,tbl_WIP[Month],"&lt;&gt;",tbl_WIP[Month],"&lt;"&amp;$C$4)</f>
        <v/>
      </c>
      <c r="D304" s="41">
        <f>SUMIFS(tbl_WIP[Amount],tbl_WIP[Job Number],$A304,tbl_WIP[Month],$C$4)</f>
        <v/>
      </c>
      <c r="E304" s="41">
        <f>C304+D304</f>
        <v/>
      </c>
      <c r="F304" s="42">
        <f>IF(ROUND(C304,2)+ROUND(D304,2)=0,"","yes")</f>
        <v/>
      </c>
      <c r="G304" s="43" t="n"/>
      <c r="H304" s="41">
        <f>IF($G304="","",$E304-$G304)</f>
        <v/>
      </c>
    </row>
    <row r="305">
      <c r="A305" s="13" t="inlineStr">
        <is>
          <t>26073107</t>
        </is>
      </c>
      <c r="B305" s="13" t="inlineStr">
        <is>
          <t>DTTL Travel for Technician &amp; Coverage ADL-HOB</t>
        </is>
      </c>
      <c r="C305" s="41">
        <f>SUMIFS(tbl_WIP[Amount],tbl_WIP[Job Number],$A305,tbl_WIP[Month],"&lt;&gt;",tbl_WIP[Month],"&lt;"&amp;$C$4)</f>
        <v/>
      </c>
      <c r="D305" s="41">
        <f>SUMIFS(tbl_WIP[Amount],tbl_WIP[Job Number],$A305,tbl_WIP[Month],$C$4)</f>
        <v/>
      </c>
      <c r="E305" s="41">
        <f>C305+D305</f>
        <v/>
      </c>
      <c r="F305" s="42">
        <f>IF(ROUND(C305,2)+ROUND(D305,2)=0,"","yes")</f>
        <v/>
      </c>
      <c r="G305" s="43" t="n"/>
      <c r="H305" s="41">
        <f>IF($G305="","",$E305-$G305)</f>
        <v/>
      </c>
    </row>
    <row r="306">
      <c r="A306" s="13" t="inlineStr">
        <is>
          <t>26073110</t>
        </is>
      </c>
      <c r="B306" s="13" t="inlineStr">
        <is>
          <t>Garvan - Weizmann Dinner Event - 20.8.26</t>
        </is>
      </c>
      <c r="C306" s="41">
        <f>SUMIFS(tbl_WIP[Amount],tbl_WIP[Job Number],$A306,tbl_WIP[Month],"&lt;&gt;",tbl_WIP[Month],"&lt;"&amp;$C$4)</f>
        <v/>
      </c>
      <c r="D306" s="41">
        <f>SUMIFS(tbl_WIP[Amount],tbl_WIP[Job Number],$A306,tbl_WIP[Month],$C$4)</f>
        <v/>
      </c>
      <c r="E306" s="41">
        <f>C306+D306</f>
        <v/>
      </c>
      <c r="F306" s="42">
        <f>IF(ROUND(C306,2)+ROUND(D306,2)=0,"","yes")</f>
        <v/>
      </c>
      <c r="G306" s="43" t="n"/>
      <c r="H306" s="41">
        <f>IF($G306="","",$E306-$G306)</f>
        <v/>
      </c>
    </row>
    <row r="307">
      <c r="A307" s="13" t="inlineStr">
        <is>
          <t>26073110V</t>
        </is>
      </c>
      <c r="B307" s="13" t="inlineStr">
        <is>
          <t>Garvan - Weizmann Dinner Event - 20.8.26</t>
        </is>
      </c>
      <c r="C307" s="41">
        <f>SUMIFS(tbl_WIP[Amount],tbl_WIP[Job Number],$A307,tbl_WIP[Month],"&lt;&gt;",tbl_WIP[Month],"&lt;"&amp;$C$4)</f>
        <v/>
      </c>
      <c r="D307" s="41">
        <f>SUMIFS(tbl_WIP[Amount],tbl_WIP[Job Number],$A307,tbl_WIP[Month],$C$4)</f>
        <v/>
      </c>
      <c r="E307" s="41">
        <f>C307+D307</f>
        <v/>
      </c>
      <c r="F307" s="42">
        <f>IF(ROUND(C307,2)+ROUND(D307,2)=0,"","yes")</f>
        <v/>
      </c>
      <c r="G307" s="43" t="n"/>
      <c r="H307" s="41">
        <f>IF($G307="","",$E307-$G307)</f>
        <v/>
      </c>
    </row>
    <row r="308">
      <c r="A308" s="13" t="inlineStr">
        <is>
          <t>26073111</t>
        </is>
      </c>
      <c r="B308" s="13" t="inlineStr">
        <is>
          <t>Downer - FYR &amp; Employee Webcast - 25.8.26</t>
        </is>
      </c>
      <c r="C308" s="41">
        <f>SUMIFS(tbl_WIP[Amount],tbl_WIP[Job Number],$A308,tbl_WIP[Month],"&lt;&gt;",tbl_WIP[Month],"&lt;"&amp;$C$4)</f>
        <v/>
      </c>
      <c r="D308" s="41">
        <f>SUMIFS(tbl_WIP[Amount],tbl_WIP[Job Number],$A308,tbl_WIP[Month],$C$4)</f>
        <v/>
      </c>
      <c r="E308" s="41">
        <f>C308+D308</f>
        <v/>
      </c>
      <c r="F308" s="42">
        <f>IF(ROUND(C308,2)+ROUND(D308,2)=0,"","yes")</f>
        <v/>
      </c>
      <c r="G308" s="43" t="n"/>
      <c r="H308" s="41">
        <f>IF($G308="","",$E308-$G308)</f>
        <v/>
      </c>
    </row>
    <row r="309">
      <c r="A309" s="13" t="inlineStr">
        <is>
          <t>26073111V</t>
        </is>
      </c>
      <c r="B309" s="13" t="inlineStr">
        <is>
          <t>Downer - FYR &amp; Employee Webcast - 25.8.26</t>
        </is>
      </c>
      <c r="C309" s="41">
        <f>SUMIFS(tbl_WIP[Amount],tbl_WIP[Job Number],$A309,tbl_WIP[Month],"&lt;&gt;",tbl_WIP[Month],"&lt;"&amp;$C$4)</f>
        <v/>
      </c>
      <c r="D309" s="41">
        <f>SUMIFS(tbl_WIP[Amount],tbl_WIP[Job Number],$A309,tbl_WIP[Month],$C$4)</f>
        <v/>
      </c>
      <c r="E309" s="41">
        <f>C309+D309</f>
        <v/>
      </c>
      <c r="F309" s="42">
        <f>IF(ROUND(C309,2)+ROUND(D309,2)=0,"","yes")</f>
        <v/>
      </c>
      <c r="G309" s="43" t="n"/>
      <c r="H309" s="41">
        <f>IF($G309="","",$E309-$G309)</f>
        <v/>
      </c>
    </row>
    <row r="310">
      <c r="A310" s="13" t="inlineStr">
        <is>
          <t>2607703</t>
        </is>
      </c>
      <c r="B310" s="13" t="inlineStr">
        <is>
          <t>Garvan - YPO Event - 6.8.2026</t>
        </is>
      </c>
      <c r="C310" s="41">
        <f>SUMIFS(tbl_WIP[Amount],tbl_WIP[Job Number],$A310,tbl_WIP[Month],"&lt;&gt;",tbl_WIP[Month],"&lt;"&amp;$C$4)</f>
        <v/>
      </c>
      <c r="D310" s="41">
        <f>SUMIFS(tbl_WIP[Amount],tbl_WIP[Job Number],$A310,tbl_WIP[Month],$C$4)</f>
        <v/>
      </c>
      <c r="E310" s="41">
        <f>C310+D310</f>
        <v/>
      </c>
      <c r="F310" s="42">
        <f>IF(ROUND(C310,2)+ROUND(D310,2)=0,"","yes")</f>
        <v/>
      </c>
      <c r="G310" s="43" t="n"/>
      <c r="H310" s="41">
        <f>IF($G310="","",$E310-$G310)</f>
        <v/>
      </c>
    </row>
    <row r="311">
      <c r="A311" s="13" t="inlineStr">
        <is>
          <t>2607703V</t>
        </is>
      </c>
      <c r="B311" s="13" t="inlineStr">
        <is>
          <t>Garvan - YPO Event - 6.8.2026</t>
        </is>
      </c>
      <c r="C311" s="41">
        <f>SUMIFS(tbl_WIP[Amount],tbl_WIP[Job Number],$A311,tbl_WIP[Month],"&lt;&gt;",tbl_WIP[Month],"&lt;"&amp;$C$4)</f>
        <v/>
      </c>
      <c r="D311" s="41">
        <f>SUMIFS(tbl_WIP[Amount],tbl_WIP[Job Number],$A311,tbl_WIP[Month],$C$4)</f>
        <v/>
      </c>
      <c r="E311" s="41">
        <f>C311+D311</f>
        <v/>
      </c>
      <c r="F311" s="42">
        <f>IF(ROUND(C311,2)+ROUND(D311,2)=0,"","yes")</f>
        <v/>
      </c>
      <c r="G311" s="43" t="n"/>
      <c r="H311" s="41">
        <f>IF($G311="","",$E311-$G311)</f>
        <v/>
      </c>
    </row>
    <row r="312">
      <c r="A312" s="13" t="inlineStr">
        <is>
          <t>2608101</t>
        </is>
      </c>
      <c r="B312" s="13" t="inlineStr">
        <is>
          <t>ART - AMM Captioning - 25.11.26</t>
        </is>
      </c>
      <c r="C312" s="41">
        <f>SUMIFS(tbl_WIP[Amount],tbl_WIP[Job Number],$A312,tbl_WIP[Month],"&lt;&gt;",tbl_WIP[Month],"&lt;"&amp;$C$4)</f>
        <v/>
      </c>
      <c r="D312" s="41">
        <f>SUMIFS(tbl_WIP[Amount],tbl_WIP[Job Number],$A312,tbl_WIP[Month],$C$4)</f>
        <v/>
      </c>
      <c r="E312" s="41">
        <f>C312+D312</f>
        <v/>
      </c>
      <c r="F312" s="42">
        <f>IF(ROUND(C312,2)+ROUND(D312,2)=0,"","yes")</f>
        <v/>
      </c>
      <c r="G312" s="43" t="n"/>
      <c r="H312" s="41">
        <f>IF($G312="","",$E312-$G312)</f>
        <v/>
      </c>
    </row>
    <row r="313">
      <c r="A313" s="13" t="inlineStr">
        <is>
          <t>2608101V</t>
        </is>
      </c>
      <c r="B313" s="13" t="inlineStr">
        <is>
          <t>ART - AMM Captioning - 25.11.26</t>
        </is>
      </c>
      <c r="C313" s="41">
        <f>SUMIFS(tbl_WIP[Amount],tbl_WIP[Job Number],$A313,tbl_WIP[Month],"&lt;&gt;",tbl_WIP[Month],"&lt;"&amp;$C$4)</f>
        <v/>
      </c>
      <c r="D313" s="41">
        <f>SUMIFS(tbl_WIP[Amount],tbl_WIP[Job Number],$A313,tbl_WIP[Month],$C$4)</f>
        <v/>
      </c>
      <c r="E313" s="41">
        <f>C313+D313</f>
        <v/>
      </c>
      <c r="F313" s="42">
        <f>IF(ROUND(C313,2)+ROUND(D313,2)=0,"","yes")</f>
        <v/>
      </c>
      <c r="G313" s="43" t="n"/>
      <c r="H313" s="41">
        <f>IF($G313="","",$E313-$G313)</f>
        <v/>
      </c>
    </row>
    <row r="314">
      <c r="A314" s="13" t="inlineStr">
        <is>
          <t>2608102</t>
        </is>
      </c>
      <c r="B314" s="13" t="inlineStr">
        <is>
          <t>ART - Education Session Captioning - 25.11.26</t>
        </is>
      </c>
      <c r="C314" s="41">
        <f>SUMIFS(tbl_WIP[Amount],tbl_WIP[Job Number],$A314,tbl_WIP[Month],"&lt;&gt;",tbl_WIP[Month],"&lt;"&amp;$C$4)</f>
        <v/>
      </c>
      <c r="D314" s="41">
        <f>SUMIFS(tbl_WIP[Amount],tbl_WIP[Job Number],$A314,tbl_WIP[Month],$C$4)</f>
        <v/>
      </c>
      <c r="E314" s="41">
        <f>C314+D314</f>
        <v/>
      </c>
      <c r="F314" s="42">
        <f>IF(ROUND(C314,2)+ROUND(D314,2)=0,"","yes")</f>
        <v/>
      </c>
      <c r="G314" s="43" t="n"/>
      <c r="H314" s="41">
        <f>IF($G314="","",$E314-$G314)</f>
        <v/>
      </c>
    </row>
    <row r="315">
      <c r="A315" s="13" t="inlineStr">
        <is>
          <t>26081101</t>
        </is>
      </c>
      <c r="B315" s="13" t="inlineStr">
        <is>
          <t>Vega Global - Payments Forum - 17.9.26</t>
        </is>
      </c>
      <c r="C315" s="41">
        <f>SUMIFS(tbl_WIP[Amount],tbl_WIP[Job Number],$A315,tbl_WIP[Month],"&lt;&gt;",tbl_WIP[Month],"&lt;"&amp;$C$4)</f>
        <v/>
      </c>
      <c r="D315" s="41">
        <f>SUMIFS(tbl_WIP[Amount],tbl_WIP[Job Number],$A315,tbl_WIP[Month],$C$4)</f>
        <v/>
      </c>
      <c r="E315" s="41">
        <f>C315+D315</f>
        <v/>
      </c>
      <c r="F315" s="42">
        <f>IF(ROUND(C315,2)+ROUND(D315,2)=0,"","yes")</f>
        <v/>
      </c>
      <c r="G315" s="43" t="n"/>
      <c r="H315" s="41">
        <f>IF($G315="","",$E315-$G315)</f>
        <v/>
      </c>
    </row>
    <row r="316">
      <c r="A316" s="13" t="inlineStr">
        <is>
          <t>26081302</t>
        </is>
      </c>
      <c r="B316" s="13" t="inlineStr">
        <is>
          <t>Ubank - Volunteer Day - 11.11.26</t>
        </is>
      </c>
      <c r="C316" s="41">
        <f>SUMIFS(tbl_WIP[Amount],tbl_WIP[Job Number],$A316,tbl_WIP[Month],"&lt;&gt;",tbl_WIP[Month],"&lt;"&amp;$C$4)</f>
        <v/>
      </c>
      <c r="D316" s="41">
        <f>SUMIFS(tbl_WIP[Amount],tbl_WIP[Job Number],$A316,tbl_WIP[Month],$C$4)</f>
        <v/>
      </c>
      <c r="E316" s="41">
        <f>C316+D316</f>
        <v/>
      </c>
      <c r="F316" s="42">
        <f>IF(ROUND(C316,2)+ROUND(D316,2)=0,"","yes")</f>
        <v/>
      </c>
      <c r="G316" s="43" t="n"/>
      <c r="H316" s="41">
        <f>IF($G316="","",$E316-$G316)</f>
        <v/>
      </c>
    </row>
    <row r="317">
      <c r="A317" s="13" t="inlineStr">
        <is>
          <t>26081302V</t>
        </is>
      </c>
      <c r="B317" s="13" t="inlineStr">
        <is>
          <t>Ubank - Volunteer Day - 11.11.26</t>
        </is>
      </c>
      <c r="C317" s="41">
        <f>SUMIFS(tbl_WIP[Amount],tbl_WIP[Job Number],$A317,tbl_WIP[Month],"&lt;&gt;",tbl_WIP[Month],"&lt;"&amp;$C$4)</f>
        <v/>
      </c>
      <c r="D317" s="41">
        <f>SUMIFS(tbl_WIP[Amount],tbl_WIP[Job Number],$A317,tbl_WIP[Month],$C$4)</f>
        <v/>
      </c>
      <c r="E317" s="41">
        <f>C317+D317</f>
        <v/>
      </c>
      <c r="F317" s="42">
        <f>IF(ROUND(C317,2)+ROUND(D317,2)=0,"","yes")</f>
        <v/>
      </c>
      <c r="G317" s="43" t="n"/>
      <c r="H317" s="41">
        <f>IF($G317="","",$E317-$G317)</f>
        <v/>
      </c>
    </row>
    <row r="318">
      <c r="A318" s="13" t="inlineStr">
        <is>
          <t>26081402</t>
        </is>
      </c>
      <c r="B318" s="13" t="inlineStr">
        <is>
          <t>Dimensional - AV Support - 19.8.26</t>
        </is>
      </c>
      <c r="C318" s="41">
        <f>SUMIFS(tbl_WIP[Amount],tbl_WIP[Job Number],$A318,tbl_WIP[Month],"&lt;&gt;",tbl_WIP[Month],"&lt;"&amp;$C$4)</f>
        <v/>
      </c>
      <c r="D318" s="41">
        <f>SUMIFS(tbl_WIP[Amount],tbl_WIP[Job Number],$A318,tbl_WIP[Month],$C$4)</f>
        <v/>
      </c>
      <c r="E318" s="41">
        <f>C318+D318</f>
        <v/>
      </c>
      <c r="F318" s="42">
        <f>IF(ROUND(C318,2)+ROUND(D318,2)=0,"","yes")</f>
        <v/>
      </c>
      <c r="G318" s="43" t="n"/>
      <c r="H318" s="41">
        <f>IF($G318="","",$E318-$G318)</f>
        <v/>
      </c>
    </row>
    <row r="319">
      <c r="A319" s="13" t="inlineStr">
        <is>
          <t>26081801</t>
        </is>
      </c>
      <c r="B319" s="13" t="inlineStr">
        <is>
          <t>Microsoft - SME&amp;C Town Hall 14.10.2026</t>
        </is>
      </c>
      <c r="C319" s="41">
        <f>SUMIFS(tbl_WIP[Amount],tbl_WIP[Job Number],$A319,tbl_WIP[Month],"&lt;&gt;",tbl_WIP[Month],"&lt;"&amp;$C$4)</f>
        <v/>
      </c>
      <c r="D319" s="41">
        <f>SUMIFS(tbl_WIP[Amount],tbl_WIP[Job Number],$A319,tbl_WIP[Month],$C$4)</f>
        <v/>
      </c>
      <c r="E319" s="41">
        <f>C319+D319</f>
        <v/>
      </c>
      <c r="F319" s="42">
        <f>IF(ROUND(C319,2)+ROUND(D319,2)=0,"","yes")</f>
        <v/>
      </c>
      <c r="G319" s="43" t="n"/>
      <c r="H319" s="41">
        <f>IF($G319="","",$E319-$G319)</f>
        <v/>
      </c>
    </row>
    <row r="320">
      <c r="A320" s="13" t="inlineStr">
        <is>
          <t>26081801V</t>
        </is>
      </c>
      <c r="B320" s="13" t="inlineStr">
        <is>
          <t>Microsoft - SME&amp;C Town Hall 14.10.2026</t>
        </is>
      </c>
      <c r="C320" s="41">
        <f>SUMIFS(tbl_WIP[Amount],tbl_WIP[Job Number],$A320,tbl_WIP[Month],"&lt;&gt;",tbl_WIP[Month],"&lt;"&amp;$C$4)</f>
        <v/>
      </c>
      <c r="D320" s="41">
        <f>SUMIFS(tbl_WIP[Amount],tbl_WIP[Job Number],$A320,tbl_WIP[Month],$C$4)</f>
        <v/>
      </c>
      <c r="E320" s="41">
        <f>C320+D320</f>
        <v/>
      </c>
      <c r="F320" s="42">
        <f>IF(ROUND(C320,2)+ROUND(D320,2)=0,"","yes")</f>
        <v/>
      </c>
      <c r="G320" s="43" t="n"/>
      <c r="H320" s="41">
        <f>IF($G320="","",$E320-$G320)</f>
        <v/>
      </c>
    </row>
    <row r="321">
      <c r="A321" s="13" t="inlineStr">
        <is>
          <t>26081901</t>
        </is>
      </c>
      <c r="B321" s="13" t="inlineStr">
        <is>
          <t>AusPayNet Logitech Essentials for Room License Renewal</t>
        </is>
      </c>
      <c r="C321" s="41">
        <f>SUMIFS(tbl_WIP[Amount],tbl_WIP[Job Number],$A321,tbl_WIP[Month],"&lt;&gt;",tbl_WIP[Month],"&lt;"&amp;$C$4)</f>
        <v/>
      </c>
      <c r="D321" s="41">
        <f>SUMIFS(tbl_WIP[Amount],tbl_WIP[Job Number],$A321,tbl_WIP[Month],$C$4)</f>
        <v/>
      </c>
      <c r="E321" s="41">
        <f>C321+D321</f>
        <v/>
      </c>
      <c r="F321" s="42">
        <f>IF(ROUND(C321,2)+ROUND(D321,2)=0,"","yes")</f>
        <v/>
      </c>
      <c r="G321" s="43" t="n"/>
      <c r="H321" s="41">
        <f>IF($G321="","",$E321-$G321)</f>
        <v/>
      </c>
    </row>
    <row r="322">
      <c r="A322" s="13" t="inlineStr">
        <is>
          <t>26081904</t>
        </is>
      </c>
      <c r="B322" s="13" t="inlineStr">
        <is>
          <t>Garvan - AllClear Program Meeting - 2.9.26</t>
        </is>
      </c>
      <c r="C322" s="41">
        <f>SUMIFS(tbl_WIP[Amount],tbl_WIP[Job Number],$A322,tbl_WIP[Month],"&lt;&gt;",tbl_WIP[Month],"&lt;"&amp;$C$4)</f>
        <v/>
      </c>
      <c r="D322" s="41">
        <f>SUMIFS(tbl_WIP[Amount],tbl_WIP[Job Number],$A322,tbl_WIP[Month],$C$4)</f>
        <v/>
      </c>
      <c r="E322" s="41">
        <f>C322+D322</f>
        <v/>
      </c>
      <c r="F322" s="42">
        <f>IF(ROUND(C322,2)+ROUND(D322,2)=0,"","yes")</f>
        <v/>
      </c>
      <c r="G322" s="43" t="n"/>
      <c r="H322" s="41">
        <f>IF($G322="","",$E322-$G322)</f>
        <v/>
      </c>
    </row>
    <row r="323">
      <c r="A323" s="13" t="inlineStr">
        <is>
          <t>26082402</t>
        </is>
      </c>
      <c r="B323" s="13" t="inlineStr">
        <is>
          <t>TLC - 2026 AGM - 14.10.26</t>
        </is>
      </c>
      <c r="C323" s="41">
        <f>SUMIFS(tbl_WIP[Amount],tbl_WIP[Job Number],$A323,tbl_WIP[Month],"&lt;&gt;",tbl_WIP[Month],"&lt;"&amp;$C$4)</f>
        <v/>
      </c>
      <c r="D323" s="41">
        <f>SUMIFS(tbl_WIP[Amount],tbl_WIP[Job Number],$A323,tbl_WIP[Month],$C$4)</f>
        <v/>
      </c>
      <c r="E323" s="41">
        <f>C323+D323</f>
        <v/>
      </c>
      <c r="F323" s="42">
        <f>IF(ROUND(C323,2)+ROUND(D323,2)=0,"","yes")</f>
        <v/>
      </c>
      <c r="G323" s="43" t="n"/>
      <c r="H323" s="41">
        <f>IF($G323="","",$E323-$G323)</f>
        <v/>
      </c>
    </row>
    <row r="324">
      <c r="A324" s="13" t="inlineStr">
        <is>
          <t>26082402V</t>
        </is>
      </c>
      <c r="B324" s="13" t="inlineStr">
        <is>
          <t>TLC - 2026 AGM - 14.10.26</t>
        </is>
      </c>
      <c r="C324" s="41">
        <f>SUMIFS(tbl_WIP[Amount],tbl_WIP[Job Number],$A324,tbl_WIP[Month],"&lt;&gt;",tbl_WIP[Month],"&lt;"&amp;$C$4)</f>
        <v/>
      </c>
      <c r="D324" s="41">
        <f>SUMIFS(tbl_WIP[Amount],tbl_WIP[Job Number],$A324,tbl_WIP[Month],$C$4)</f>
        <v/>
      </c>
      <c r="E324" s="41">
        <f>C324+D324</f>
        <v/>
      </c>
      <c r="F324" s="42">
        <f>IF(ROUND(C324,2)+ROUND(D324,2)=0,"","yes")</f>
        <v/>
      </c>
      <c r="G324" s="43" t="n"/>
      <c r="H324" s="41">
        <f>IF($G324="","",$E324-$G324)</f>
        <v/>
      </c>
    </row>
    <row r="325">
      <c r="A325" s="13" t="inlineStr">
        <is>
          <t>26082501</t>
        </is>
      </c>
      <c r="B325" s="13" t="inlineStr">
        <is>
          <t>CBA - LES - September 2026</t>
        </is>
      </c>
      <c r="C325" s="41">
        <f>SUMIFS(tbl_WIP[Amount],tbl_WIP[Job Number],$A325,tbl_WIP[Month],"&lt;&gt;",tbl_WIP[Month],"&lt;"&amp;$C$4)</f>
        <v/>
      </c>
      <c r="D325" s="41">
        <f>SUMIFS(tbl_WIP[Amount],tbl_WIP[Job Number],$A325,tbl_WIP[Month],$C$4)</f>
        <v/>
      </c>
      <c r="E325" s="41">
        <f>C325+D325</f>
        <v/>
      </c>
      <c r="F325" s="42">
        <f>IF(ROUND(C325,2)+ROUND(D325,2)=0,"","yes")</f>
        <v/>
      </c>
      <c r="G325" s="43" t="n"/>
      <c r="H325" s="41">
        <f>IF($G325="","",$E325-$G325)</f>
        <v/>
      </c>
    </row>
    <row r="326">
      <c r="A326" s="13" t="inlineStr">
        <is>
          <t>26082502</t>
        </is>
      </c>
      <c r="B326" s="13" t="inlineStr">
        <is>
          <t>ICC - Presenter &amp; Speaker Preparation - September 2026</t>
        </is>
      </c>
      <c r="C326" s="41">
        <f>SUMIFS(tbl_WIP[Amount],tbl_WIP[Job Number],$A326,tbl_WIP[Month],"&lt;&gt;",tbl_WIP[Month],"&lt;"&amp;$C$4)</f>
        <v/>
      </c>
      <c r="D326" s="41">
        <f>SUMIFS(tbl_WIP[Amount],tbl_WIP[Job Number],$A326,tbl_WIP[Month],$C$4)</f>
        <v/>
      </c>
      <c r="E326" s="41">
        <f>C326+D326</f>
        <v/>
      </c>
      <c r="F326" s="42">
        <f>IF(ROUND(C326,2)+ROUND(D326,2)=0,"","yes")</f>
        <v/>
      </c>
      <c r="G326" s="43" t="n"/>
      <c r="H326" s="41">
        <f>IF($G326="","",$E326-$G326)</f>
        <v/>
      </c>
    </row>
    <row r="327">
      <c r="A327" s="13" t="inlineStr">
        <is>
          <t>26082502V</t>
        </is>
      </c>
      <c r="B327" s="13" t="inlineStr">
        <is>
          <t>ICC - Presenter &amp; Speaker Preparation - September 2026</t>
        </is>
      </c>
      <c r="C327" s="41">
        <f>SUMIFS(tbl_WIP[Amount],tbl_WIP[Job Number],$A327,tbl_WIP[Month],"&lt;&gt;",tbl_WIP[Month],"&lt;"&amp;$C$4)</f>
        <v/>
      </c>
      <c r="D327" s="41">
        <f>SUMIFS(tbl_WIP[Amount],tbl_WIP[Job Number],$A327,tbl_WIP[Month],$C$4)</f>
        <v/>
      </c>
      <c r="E327" s="41">
        <f>C327+D327</f>
        <v/>
      </c>
      <c r="F327" s="42">
        <f>IF(ROUND(C327,2)+ROUND(D327,2)=0,"","yes")</f>
        <v/>
      </c>
      <c r="G327" s="43" t="n"/>
      <c r="H327" s="41">
        <f>IF($G327="","",$E327-$G327)</f>
        <v/>
      </c>
    </row>
    <row r="328">
      <c r="A328" s="13" t="inlineStr">
        <is>
          <t>26082702</t>
        </is>
      </c>
      <c r="B328" s="13" t="inlineStr">
        <is>
          <t>Garvan - Breast Cancer Public Lecture - 1.10.26</t>
        </is>
      </c>
      <c r="C328" s="41">
        <f>SUMIFS(tbl_WIP[Amount],tbl_WIP[Job Number],$A328,tbl_WIP[Month],"&lt;&gt;",tbl_WIP[Month],"&lt;"&amp;$C$4)</f>
        <v/>
      </c>
      <c r="D328" s="41">
        <f>SUMIFS(tbl_WIP[Amount],tbl_WIP[Job Number],$A328,tbl_WIP[Month],$C$4)</f>
        <v/>
      </c>
      <c r="E328" s="41">
        <f>C328+D328</f>
        <v/>
      </c>
      <c r="F328" s="42">
        <f>IF(ROUND(C328,2)+ROUND(D328,2)=0,"","yes")</f>
        <v/>
      </c>
      <c r="G328" s="43" t="n"/>
      <c r="H328" s="41">
        <f>IF($G328="","",$E328-$G328)</f>
        <v/>
      </c>
    </row>
    <row r="329">
      <c r="A329" s="13" t="inlineStr">
        <is>
          <t>26082703</t>
        </is>
      </c>
      <c r="B329" s="13" t="inlineStr">
        <is>
          <t>APA - RUOK Day - 10.9.26</t>
        </is>
      </c>
      <c r="C329" s="41">
        <f>SUMIFS(tbl_WIP[Amount],tbl_WIP[Job Number],$A329,tbl_WIP[Month],"&lt;&gt;",tbl_WIP[Month],"&lt;"&amp;$C$4)</f>
        <v/>
      </c>
      <c r="D329" s="41">
        <f>SUMIFS(tbl_WIP[Amount],tbl_WIP[Job Number],$A329,tbl_WIP[Month],$C$4)</f>
        <v/>
      </c>
      <c r="E329" s="41">
        <f>C329+D329</f>
        <v/>
      </c>
      <c r="F329" s="42">
        <f>IF(ROUND(C329,2)+ROUND(D329,2)=0,"","yes")</f>
        <v/>
      </c>
      <c r="G329" s="43" t="n"/>
      <c r="H329" s="41">
        <f>IF($G329="","",$E329-$G329)</f>
        <v/>
      </c>
    </row>
    <row r="330">
      <c r="A330" s="13" t="inlineStr">
        <is>
          <t>26082703V</t>
        </is>
      </c>
      <c r="B330" s="13" t="inlineStr">
        <is>
          <t>APA - RUOK Day - 10.9.26</t>
        </is>
      </c>
      <c r="C330" s="41">
        <f>SUMIFS(tbl_WIP[Amount],tbl_WIP[Job Number],$A330,tbl_WIP[Month],"&lt;&gt;",tbl_WIP[Month],"&lt;"&amp;$C$4)</f>
        <v/>
      </c>
      <c r="D330" s="41">
        <f>SUMIFS(tbl_WIP[Amount],tbl_WIP[Job Number],$A330,tbl_WIP[Month],$C$4)</f>
        <v/>
      </c>
      <c r="E330" s="41">
        <f>C330+D330</f>
        <v/>
      </c>
      <c r="F330" s="42">
        <f>IF(ROUND(C330,2)+ROUND(D330,2)=0,"","yes")</f>
        <v/>
      </c>
      <c r="G330" s="43" t="n"/>
      <c r="H330" s="41">
        <f>IF($G330="","",$E330-$G330)</f>
        <v/>
      </c>
    </row>
    <row r="331">
      <c r="A331" s="13" t="inlineStr">
        <is>
          <t>26082704</t>
        </is>
      </c>
      <c r="B331" s="13" t="inlineStr">
        <is>
          <t>DTTL Travel for National STL &amp; Coverage SYD-PER</t>
        </is>
      </c>
      <c r="C331" s="41">
        <f>SUMIFS(tbl_WIP[Amount],tbl_WIP[Job Number],$A331,tbl_WIP[Month],"&lt;&gt;",tbl_WIP[Month],"&lt;"&amp;$C$4)</f>
        <v/>
      </c>
      <c r="D331" s="41">
        <f>SUMIFS(tbl_WIP[Amount],tbl_WIP[Job Number],$A331,tbl_WIP[Month],$C$4)</f>
        <v/>
      </c>
      <c r="E331" s="41">
        <f>C331+D331</f>
        <v/>
      </c>
      <c r="F331" s="42">
        <f>IF(ROUND(C331,2)+ROUND(D331,2)=0,"","yes")</f>
        <v/>
      </c>
      <c r="G331" s="43" t="n"/>
      <c r="H331" s="41">
        <f>IF($G331="","",$E331-$G331)</f>
        <v/>
      </c>
    </row>
    <row r="332">
      <c r="A332" s="13" t="inlineStr">
        <is>
          <t>26082801</t>
        </is>
      </c>
      <c r="B332" s="13" t="inlineStr">
        <is>
          <t>Ricoh Australia - SHELL AV Support</t>
        </is>
      </c>
      <c r="C332" s="41">
        <f>SUMIFS(tbl_WIP[Amount],tbl_WIP[Job Number],$A332,tbl_WIP[Month],"&lt;&gt;",tbl_WIP[Month],"&lt;"&amp;$C$4)</f>
        <v/>
      </c>
      <c r="D332" s="41">
        <f>SUMIFS(tbl_WIP[Amount],tbl_WIP[Job Number],$A332,tbl_WIP[Month],$C$4)</f>
        <v/>
      </c>
      <c r="E332" s="41">
        <f>C332+D332</f>
        <v/>
      </c>
      <c r="F332" s="42">
        <f>IF(ROUND(C332,2)+ROUND(D332,2)=0,"","yes")</f>
        <v/>
      </c>
      <c r="G332" s="43" t="n"/>
      <c r="H332" s="41">
        <f>IF($G332="","",$E332-$G332)</f>
        <v/>
      </c>
    </row>
    <row r="333">
      <c r="A333" s="13" t="inlineStr">
        <is>
          <t>2608402</t>
        </is>
      </c>
      <c r="B333" s="13" t="inlineStr">
        <is>
          <t>Garvan - Suttons Event - 15.10.26</t>
        </is>
      </c>
      <c r="C333" s="41">
        <f>SUMIFS(tbl_WIP[Amount],tbl_WIP[Job Number],$A333,tbl_WIP[Month],"&lt;&gt;",tbl_WIP[Month],"&lt;"&amp;$C$4)</f>
        <v/>
      </c>
      <c r="D333" s="41">
        <f>SUMIFS(tbl_WIP[Amount],tbl_WIP[Job Number],$A333,tbl_WIP[Month],$C$4)</f>
        <v/>
      </c>
      <c r="E333" s="41">
        <f>C333+D333</f>
        <v/>
      </c>
      <c r="F333" s="42">
        <f>IF(ROUND(C333,2)+ROUND(D333,2)=0,"","yes")</f>
        <v/>
      </c>
      <c r="G333" s="43" t="n"/>
      <c r="H333" s="41">
        <f>IF($G333="","",$E333-$G333)</f>
        <v/>
      </c>
    </row>
    <row r="334">
      <c r="A334" s="13" t="inlineStr">
        <is>
          <t>2608404</t>
        </is>
      </c>
      <c r="B334" s="13" t="inlineStr">
        <is>
          <t>St Vincents Public Hospital - Awards Night - 26.8.25</t>
        </is>
      </c>
      <c r="C334" s="41">
        <f>SUMIFS(tbl_WIP[Amount],tbl_WIP[Job Number],$A334,tbl_WIP[Month],"&lt;&gt;",tbl_WIP[Month],"&lt;"&amp;$C$4)</f>
        <v/>
      </c>
      <c r="D334" s="41">
        <f>SUMIFS(tbl_WIP[Amount],tbl_WIP[Job Number],$A334,tbl_WIP[Month],$C$4)</f>
        <v/>
      </c>
      <c r="E334" s="41">
        <f>C334+D334</f>
        <v/>
      </c>
      <c r="F334" s="42">
        <f>IF(ROUND(C334,2)+ROUND(D334,2)=0,"","yes")</f>
        <v/>
      </c>
      <c r="G334" s="43" t="n"/>
      <c r="H334" s="41">
        <f>IF($G334="","",$E334-$G334)</f>
        <v/>
      </c>
    </row>
    <row r="335">
      <c r="A335" s="13" t="inlineStr">
        <is>
          <t>2608404V</t>
        </is>
      </c>
      <c r="B335" s="13" t="inlineStr">
        <is>
          <t>St Vincents Public Hospital - Awards Night - 26.8.25</t>
        </is>
      </c>
      <c r="C335" s="41">
        <f>SUMIFS(tbl_WIP[Amount],tbl_WIP[Job Number],$A335,tbl_WIP[Month],"&lt;&gt;",tbl_WIP[Month],"&lt;"&amp;$C$4)</f>
        <v/>
      </c>
      <c r="D335" s="41">
        <f>SUMIFS(tbl_WIP[Amount],tbl_WIP[Job Number],$A335,tbl_WIP[Month],$C$4)</f>
        <v/>
      </c>
      <c r="E335" s="41">
        <f>C335+D335</f>
        <v/>
      </c>
      <c r="F335" s="42">
        <f>IF(ROUND(C335,2)+ROUND(D335,2)=0,"","yes")</f>
        <v/>
      </c>
      <c r="G335" s="43" t="n"/>
      <c r="H335" s="41">
        <f>IF($G335="","",$E335-$G335)</f>
        <v/>
      </c>
    </row>
    <row r="336">
      <c r="A336" s="13" t="inlineStr">
        <is>
          <t>2608604</t>
        </is>
      </c>
      <c r="B336" s="13" t="inlineStr">
        <is>
          <t>ASX - FYR Employee Town Hall - 13.8.26</t>
        </is>
      </c>
      <c r="C336" s="41">
        <f>SUMIFS(tbl_WIP[Amount],tbl_WIP[Job Number],$A336,tbl_WIP[Month],"&lt;&gt;",tbl_WIP[Month],"&lt;"&amp;$C$4)</f>
        <v/>
      </c>
      <c r="D336" s="41">
        <f>SUMIFS(tbl_WIP[Amount],tbl_WIP[Job Number],$A336,tbl_WIP[Month],$C$4)</f>
        <v/>
      </c>
      <c r="E336" s="41">
        <f>C336+D336</f>
        <v/>
      </c>
      <c r="F336" s="42">
        <f>IF(ROUND(C336,2)+ROUND(D336,2)=0,"","yes")</f>
        <v/>
      </c>
      <c r="G336" s="43" t="n"/>
      <c r="H336" s="41">
        <f>IF($G336="","",$E336-$G336)</f>
        <v/>
      </c>
    </row>
    <row r="337">
      <c r="A337" s="13" t="inlineStr">
        <is>
          <t>2608604V</t>
        </is>
      </c>
      <c r="B337" s="13" t="inlineStr">
        <is>
          <t>ASX - FYR Employee Town Hall - 13.8.26</t>
        </is>
      </c>
      <c r="C337" s="41">
        <f>SUMIFS(tbl_WIP[Amount],tbl_WIP[Job Number],$A337,tbl_WIP[Month],"&lt;&gt;",tbl_WIP[Month],"&lt;"&amp;$C$4)</f>
        <v/>
      </c>
      <c r="D337" s="41">
        <f>SUMIFS(tbl_WIP[Amount],tbl_WIP[Job Number],$A337,tbl_WIP[Month],$C$4)</f>
        <v/>
      </c>
      <c r="E337" s="41">
        <f>C337+D337</f>
        <v/>
      </c>
      <c r="F337" s="42">
        <f>IF(ROUND(C337,2)+ROUND(D337,2)=0,"","yes")</f>
        <v/>
      </c>
      <c r="G337" s="43" t="n"/>
      <c r="H337" s="41">
        <f>IF($G337="","",$E337-$G337)</f>
        <v/>
      </c>
    </row>
    <row r="338">
      <c r="A338" s="13" t="inlineStr">
        <is>
          <t>2608701</t>
        </is>
      </c>
      <c r="B338" s="13" t="inlineStr">
        <is>
          <t>Elkeim - Studio Support - 10.9.26</t>
        </is>
      </c>
      <c r="C338" s="41">
        <f>SUMIFS(tbl_WIP[Amount],tbl_WIP[Job Number],$A338,tbl_WIP[Month],"&lt;&gt;",tbl_WIP[Month],"&lt;"&amp;$C$4)</f>
        <v/>
      </c>
      <c r="D338" s="41">
        <f>SUMIFS(tbl_WIP[Amount],tbl_WIP[Job Number],$A338,tbl_WIP[Month],$C$4)</f>
        <v/>
      </c>
      <c r="E338" s="41">
        <f>C338+D338</f>
        <v/>
      </c>
      <c r="F338" s="42">
        <f>IF(ROUND(C338,2)+ROUND(D338,2)=0,"","yes")</f>
        <v/>
      </c>
      <c r="G338" s="43" t="n"/>
      <c r="H338" s="41">
        <f>IF($G338="","",$E338-$G338)</f>
        <v/>
      </c>
    </row>
    <row r="339">
      <c r="A339" s="13" t="inlineStr">
        <is>
          <t>2608702</t>
        </is>
      </c>
      <c r="B339" s="13" t="inlineStr">
        <is>
          <t>APA - Qtly All Hands SYD Screen Hire - 20.8.26</t>
        </is>
      </c>
      <c r="C339" s="41">
        <f>SUMIFS(tbl_WIP[Amount],tbl_WIP[Job Number],$A339,tbl_WIP[Month],"&lt;&gt;",tbl_WIP[Month],"&lt;"&amp;$C$4)</f>
        <v/>
      </c>
      <c r="D339" s="41">
        <f>SUMIFS(tbl_WIP[Amount],tbl_WIP[Job Number],$A339,tbl_WIP[Month],$C$4)</f>
        <v/>
      </c>
      <c r="E339" s="41">
        <f>C339+D339</f>
        <v/>
      </c>
      <c r="F339" s="42">
        <f>IF(ROUND(C339,2)+ROUND(D339,2)=0,"","yes")</f>
        <v/>
      </c>
      <c r="G339" s="43" t="n"/>
      <c r="H339" s="41">
        <f>IF($G339="","",$E339-$G339)</f>
        <v/>
      </c>
    </row>
    <row r="340">
      <c r="A340" s="13" t="inlineStr">
        <is>
          <t>26091002</t>
        </is>
      </c>
      <c r="B340" s="13" t="inlineStr">
        <is>
          <t>GP - Talking Philanthropy - Event Videography 18.9.26</t>
        </is>
      </c>
      <c r="C340" s="41">
        <f>SUMIFS(tbl_WIP[Amount],tbl_WIP[Job Number],$A340,tbl_WIP[Month],"&lt;&gt;",tbl_WIP[Month],"&lt;"&amp;$C$4)</f>
        <v/>
      </c>
      <c r="D340" s="41">
        <f>SUMIFS(tbl_WIP[Amount],tbl_WIP[Job Number],$A340,tbl_WIP[Month],$C$4)</f>
        <v/>
      </c>
      <c r="E340" s="41">
        <f>C340+D340</f>
        <v/>
      </c>
      <c r="F340" s="42">
        <f>IF(ROUND(C340,2)+ROUND(D340,2)=0,"","yes")</f>
        <v/>
      </c>
      <c r="G340" s="43" t="n"/>
      <c r="H340" s="41">
        <f>IF($G340="","",$E340-$G340)</f>
        <v/>
      </c>
    </row>
    <row r="341">
      <c r="A341" s="13" t="inlineStr">
        <is>
          <t>26091002V</t>
        </is>
      </c>
      <c r="B341" s="13" t="inlineStr">
        <is>
          <t>GP - Talking Philanthropy - Event Videography 18.9.26</t>
        </is>
      </c>
      <c r="C341" s="41">
        <f>SUMIFS(tbl_WIP[Amount],tbl_WIP[Job Number],$A341,tbl_WIP[Month],"&lt;&gt;",tbl_WIP[Month],"&lt;"&amp;$C$4)</f>
        <v/>
      </c>
      <c r="D341" s="41">
        <f>SUMIFS(tbl_WIP[Amount],tbl_WIP[Job Number],$A341,tbl_WIP[Month],$C$4)</f>
        <v/>
      </c>
      <c r="E341" s="41">
        <f>C341+D341</f>
        <v/>
      </c>
      <c r="F341" s="42">
        <f>IF(ROUND(C341,2)+ROUND(D341,2)=0,"","yes")</f>
        <v/>
      </c>
      <c r="G341" s="43" t="n"/>
      <c r="H341" s="41">
        <f>IF($G341="","",$E341-$G341)</f>
        <v/>
      </c>
    </row>
    <row r="342">
      <c r="A342" s="13" t="inlineStr">
        <is>
          <t>26091601</t>
        </is>
      </c>
      <c r="B342" s="13" t="inlineStr">
        <is>
          <t>Automic - September All Hands - 25.9.26</t>
        </is>
      </c>
      <c r="C342" s="41">
        <f>SUMIFS(tbl_WIP[Amount],tbl_WIP[Job Number],$A342,tbl_WIP[Month],"&lt;&gt;",tbl_WIP[Month],"&lt;"&amp;$C$4)</f>
        <v/>
      </c>
      <c r="D342" s="41">
        <f>SUMIFS(tbl_WIP[Amount],tbl_WIP[Job Number],$A342,tbl_WIP[Month],$C$4)</f>
        <v/>
      </c>
      <c r="E342" s="41">
        <f>C342+D342</f>
        <v/>
      </c>
      <c r="F342" s="42">
        <f>IF(ROUND(C342,2)+ROUND(D342,2)=0,"","yes")</f>
        <v/>
      </c>
      <c r="G342" s="43" t="n"/>
      <c r="H342" s="41">
        <f>IF($G342="","",$E342-$G342)</f>
        <v/>
      </c>
    </row>
    <row r="343">
      <c r="A343" s="13" t="inlineStr">
        <is>
          <t>26091601V</t>
        </is>
      </c>
      <c r="B343" s="13" t="inlineStr">
        <is>
          <t>Automic - September All Hands - 25.9.26</t>
        </is>
      </c>
      <c r="C343" s="41">
        <f>SUMIFS(tbl_WIP[Amount],tbl_WIP[Job Number],$A343,tbl_WIP[Month],"&lt;&gt;",tbl_WIP[Month],"&lt;"&amp;$C$4)</f>
        <v/>
      </c>
      <c r="D343" s="41">
        <f>SUMIFS(tbl_WIP[Amount],tbl_WIP[Job Number],$A343,tbl_WIP[Month],$C$4)</f>
        <v/>
      </c>
      <c r="E343" s="41">
        <f>C343+D343</f>
        <v/>
      </c>
      <c r="F343" s="42">
        <f>IF(ROUND(C343,2)+ROUND(D343,2)=0,"","yes")</f>
        <v/>
      </c>
      <c r="G343" s="43" t="n"/>
      <c r="H343" s="41">
        <f>IF($G343="","",$E343-$G343)</f>
        <v/>
      </c>
    </row>
    <row r="344">
      <c r="A344" s="13" t="inlineStr">
        <is>
          <t>26091604</t>
        </is>
      </c>
      <c r="B344" s="13" t="inlineStr">
        <is>
          <t>The George Institute - SYD CV Symposium - 29-30.10.26</t>
        </is>
      </c>
      <c r="C344" s="41">
        <f>SUMIFS(tbl_WIP[Amount],tbl_WIP[Job Number],$A344,tbl_WIP[Month],"&lt;&gt;",tbl_WIP[Month],"&lt;"&amp;$C$4)</f>
        <v/>
      </c>
      <c r="D344" s="41">
        <f>SUMIFS(tbl_WIP[Amount],tbl_WIP[Job Number],$A344,tbl_WIP[Month],$C$4)</f>
        <v/>
      </c>
      <c r="E344" s="41">
        <f>C344+D344</f>
        <v/>
      </c>
      <c r="F344" s="42">
        <f>IF(ROUND(C344,2)+ROUND(D344,2)=0,"","yes")</f>
        <v/>
      </c>
      <c r="G344" s="43" t="n"/>
      <c r="H344" s="41">
        <f>IF($G344="","",$E344-$G344)</f>
        <v/>
      </c>
    </row>
    <row r="345">
      <c r="A345" s="13" t="inlineStr">
        <is>
          <t>26091604V</t>
        </is>
      </c>
      <c r="B345" s="13" t="inlineStr">
        <is>
          <t>The George Institute - SYD CV Symposium - 29-30.10.26</t>
        </is>
      </c>
      <c r="C345" s="41">
        <f>SUMIFS(tbl_WIP[Amount],tbl_WIP[Job Number],$A345,tbl_WIP[Month],"&lt;&gt;",tbl_WIP[Month],"&lt;"&amp;$C$4)</f>
        <v/>
      </c>
      <c r="D345" s="41">
        <f>SUMIFS(tbl_WIP[Amount],tbl_WIP[Job Number],$A345,tbl_WIP[Month],$C$4)</f>
        <v/>
      </c>
      <c r="E345" s="41">
        <f>C345+D345</f>
        <v/>
      </c>
      <c r="F345" s="42">
        <f>IF(ROUND(C345,2)+ROUND(D345,2)=0,"","yes")</f>
        <v/>
      </c>
      <c r="G345" s="43" t="n"/>
      <c r="H345" s="41">
        <f>IF($G345="","",$E345-$G345)</f>
        <v/>
      </c>
    </row>
    <row r="346">
      <c r="A346" s="13" t="inlineStr">
        <is>
          <t>2609402</t>
        </is>
      </c>
      <c r="B346" s="13" t="inlineStr">
        <is>
          <t>MUFG - SUN Investor Day - 29.10.26</t>
        </is>
      </c>
      <c r="C346" s="41">
        <f>SUMIFS(tbl_WIP[Amount],tbl_WIP[Job Number],$A346,tbl_WIP[Month],"&lt;&gt;",tbl_WIP[Month],"&lt;"&amp;$C$4)</f>
        <v/>
      </c>
      <c r="D346" s="41">
        <f>SUMIFS(tbl_WIP[Amount],tbl_WIP[Job Number],$A346,tbl_WIP[Month],$C$4)</f>
        <v/>
      </c>
      <c r="E346" s="41">
        <f>C346+D346</f>
        <v/>
      </c>
      <c r="F346" s="42">
        <f>IF(ROUND(C346,2)+ROUND(D346,2)=0,"","yes")</f>
        <v/>
      </c>
      <c r="G346" s="43" t="n"/>
      <c r="H346" s="41">
        <f>IF($G346="","",$E346-$G346)</f>
        <v/>
      </c>
    </row>
    <row r="347">
      <c r="A347" s="13" t="inlineStr">
        <is>
          <t>2609402V</t>
        </is>
      </c>
      <c r="B347" s="13" t="inlineStr">
        <is>
          <t>MUFG - SUN Investor Day - 29.10.26</t>
        </is>
      </c>
      <c r="C347" s="41">
        <f>SUMIFS(tbl_WIP[Amount],tbl_WIP[Job Number],$A347,tbl_WIP[Month],"&lt;&gt;",tbl_WIP[Month],"&lt;"&amp;$C$4)</f>
        <v/>
      </c>
      <c r="D347" s="41">
        <f>SUMIFS(tbl_WIP[Amount],tbl_WIP[Job Number],$A347,tbl_WIP[Month],$C$4)</f>
        <v/>
      </c>
      <c r="E347" s="41">
        <f>C347+D347</f>
        <v/>
      </c>
      <c r="F347" s="42">
        <f>IF(ROUND(C347,2)+ROUND(D347,2)=0,"","yes")</f>
        <v/>
      </c>
      <c r="G347" s="43" t="n"/>
      <c r="H347" s="41">
        <f>IF($G347="","",$E347-$G347)</f>
        <v/>
      </c>
    </row>
    <row r="348">
      <c r="A348" s="13" t="inlineStr">
        <is>
          <t>2609801</t>
        </is>
      </c>
      <c r="B348" s="13" t="inlineStr">
        <is>
          <t>Elkiem - Studio Support - 16.9.26</t>
        </is>
      </c>
      <c r="C348" s="41">
        <f>SUMIFS(tbl_WIP[Amount],tbl_WIP[Job Number],$A348,tbl_WIP[Month],"&lt;&gt;",tbl_WIP[Month],"&lt;"&amp;$C$4)</f>
        <v/>
      </c>
      <c r="D348" s="41">
        <f>SUMIFS(tbl_WIP[Amount],tbl_WIP[Job Number],$A348,tbl_WIP[Month],$C$4)</f>
        <v/>
      </c>
      <c r="E348" s="41">
        <f>C348+D348</f>
        <v/>
      </c>
      <c r="F348" s="42">
        <f>IF(ROUND(C348,2)+ROUND(D348,2)=0,"","yes")</f>
        <v/>
      </c>
      <c r="G348" s="43" t="n"/>
      <c r="H348" s="41">
        <f>IF($G348="","",$E348-$G348)</f>
        <v/>
      </c>
    </row>
    <row r="349">
      <c r="A349" s="13" t="inlineStr">
        <is>
          <t>2645</t>
        </is>
      </c>
      <c r="B349" s="13" t="inlineStr">
        <is>
          <t>EY SYD Tech Support</t>
        </is>
      </c>
      <c r="C349" s="41">
        <f>SUMIFS(tbl_WIP[Amount],tbl_WIP[Job Number],$A349,tbl_WIP[Month],"&lt;&gt;",tbl_WIP[Month],"&lt;"&amp;$C$4)</f>
        <v/>
      </c>
      <c r="D349" s="41">
        <f>SUMIFS(tbl_WIP[Amount],tbl_WIP[Job Number],$A349,tbl_WIP[Month],$C$4)</f>
        <v/>
      </c>
      <c r="E349" s="41">
        <f>C349+D349</f>
        <v/>
      </c>
      <c r="F349" s="42">
        <f>IF(ROUND(C349,2)+ROUND(D349,2)=0,"","yes")</f>
        <v/>
      </c>
      <c r="G349" s="43" t="n"/>
      <c r="H349" s="41">
        <f>IF($G349="","",$E349-$G349)</f>
        <v/>
      </c>
    </row>
    <row r="350">
      <c r="A350" s="13" t="inlineStr">
        <is>
          <t>2648</t>
        </is>
      </c>
      <c r="B350" s="13" t="inlineStr">
        <is>
          <t>DTTL MEL Additional Tech</t>
        </is>
      </c>
      <c r="C350" s="41">
        <f>SUMIFS(tbl_WIP[Amount],tbl_WIP[Job Number],$A350,tbl_WIP[Month],"&lt;&gt;",tbl_WIP[Month],"&lt;"&amp;$C$4)</f>
        <v/>
      </c>
      <c r="D350" s="41">
        <f>SUMIFS(tbl_WIP[Amount],tbl_WIP[Job Number],$A350,tbl_WIP[Month],$C$4)</f>
        <v/>
      </c>
      <c r="E350" s="41">
        <f>C350+D350</f>
        <v/>
      </c>
      <c r="F350" s="42">
        <f>IF(ROUND(C350,2)+ROUND(D350,2)=0,"","yes")</f>
        <v/>
      </c>
      <c r="G350" s="43" t="n"/>
      <c r="H350" s="41">
        <f>IF($G350="","",$E350-$G350)</f>
        <v/>
      </c>
    </row>
    <row r="351">
      <c r="A351" s="13" t="inlineStr">
        <is>
          <t>2658</t>
        </is>
      </c>
      <c r="B351" s="13" t="inlineStr">
        <is>
          <t>EY MELB Tech</t>
        </is>
      </c>
      <c r="C351" s="41">
        <f>SUMIFS(tbl_WIP[Amount],tbl_WIP[Job Number],$A351,tbl_WIP[Month],"&lt;&gt;",tbl_WIP[Month],"&lt;"&amp;$C$4)</f>
        <v/>
      </c>
      <c r="D351" s="41">
        <f>SUMIFS(tbl_WIP[Amount],tbl_WIP[Job Number],$A351,tbl_WIP[Month],$C$4)</f>
        <v/>
      </c>
      <c r="E351" s="41">
        <f>C351+D351</f>
        <v/>
      </c>
      <c r="F351" s="42">
        <f>IF(ROUND(C351,2)+ROUND(D351,2)=0,"","yes")</f>
        <v/>
      </c>
      <c r="G351" s="43" t="n"/>
      <c r="H351" s="41">
        <f>IF($G351="","",$E351-$G351)</f>
        <v/>
      </c>
    </row>
    <row r="352">
      <c r="A352" s="13" t="inlineStr">
        <is>
          <t>2675</t>
        </is>
      </c>
      <c r="B352" s="13" t="inlineStr">
        <is>
          <t>ONS EY (non-chargeable)</t>
        </is>
      </c>
      <c r="C352" s="41">
        <f>SUMIFS(tbl_WIP[Amount],tbl_WIP[Job Number],$A352,tbl_WIP[Month],"&lt;&gt;",tbl_WIP[Month],"&lt;"&amp;$C$4)</f>
        <v/>
      </c>
      <c r="D352" s="41">
        <f>SUMIFS(tbl_WIP[Amount],tbl_WIP[Job Number],$A352,tbl_WIP[Month],$C$4)</f>
        <v/>
      </c>
      <c r="E352" s="41">
        <f>C352+D352</f>
        <v/>
      </c>
      <c r="F352" s="42">
        <f>IF(ROUND(C352,2)+ROUND(D352,2)=0,"","yes")</f>
        <v/>
      </c>
      <c r="G352" s="43" t="n"/>
      <c r="H352" s="41">
        <f>IF($G352="","",$E352-$G352)</f>
        <v/>
      </c>
    </row>
    <row r="353">
      <c r="A353" s="13" t="inlineStr">
        <is>
          <t>2685</t>
        </is>
      </c>
      <c r="B353" s="13" t="inlineStr">
        <is>
          <t>APA Proxyclick BNE &amp; DRW</t>
        </is>
      </c>
      <c r="C353" s="41">
        <f>SUMIFS(tbl_WIP[Amount],tbl_WIP[Job Number],$A353,tbl_WIP[Month],"&lt;&gt;",tbl_WIP[Month],"&lt;"&amp;$C$4)</f>
        <v/>
      </c>
      <c r="D353" s="41">
        <f>SUMIFS(tbl_WIP[Amount],tbl_WIP[Job Number],$A353,tbl_WIP[Month],$C$4)</f>
        <v/>
      </c>
      <c r="E353" s="41">
        <f>C353+D353</f>
        <v/>
      </c>
      <c r="F353" s="42">
        <f>IF(ROUND(C353,2)+ROUND(D353,2)=0,"","yes")</f>
        <v/>
      </c>
      <c r="G353" s="43" t="n"/>
      <c r="H353" s="41">
        <f>IF($G353="","",$E353-$G353)</f>
        <v/>
      </c>
    </row>
    <row r="354">
      <c r="A354" s="13" t="inlineStr">
        <is>
          <t>2706</t>
        </is>
      </c>
      <c r="B354" s="13" t="inlineStr">
        <is>
          <t>EPA 6PSQ Proxyclick VMS</t>
        </is>
      </c>
      <c r="C354" s="41">
        <f>SUMIFS(tbl_WIP[Amount],tbl_WIP[Job Number],$A354,tbl_WIP[Month],"&lt;&gt;",tbl_WIP[Month],"&lt;"&amp;$C$4)</f>
        <v/>
      </c>
      <c r="D354" s="41">
        <f>SUMIFS(tbl_WIP[Amount],tbl_WIP[Job Number],$A354,tbl_WIP[Month],$C$4)</f>
        <v/>
      </c>
      <c r="E354" s="41">
        <f>C354+D354</f>
        <v/>
      </c>
      <c r="F354" s="42">
        <f>IF(ROUND(C354,2)+ROUND(D354,2)=0,"","yes")</f>
        <v/>
      </c>
      <c r="G354" s="43" t="n"/>
      <c r="H354" s="41">
        <f>IF($G354="","",$E354-$G354)</f>
        <v/>
      </c>
    </row>
    <row r="355">
      <c r="A355" s="13" t="inlineStr">
        <is>
          <t>2719</t>
        </is>
      </c>
      <c r="B355" s="13" t="inlineStr">
        <is>
          <t>GSP - 6PSQProxyclickOnb</t>
        </is>
      </c>
      <c r="C355" s="41">
        <f>SUMIFS(tbl_WIP[Amount],tbl_WIP[Job Number],$A355,tbl_WIP[Month],"&lt;&gt;",tbl_WIP[Month],"&lt;"&amp;$C$4)</f>
        <v/>
      </c>
      <c r="D355" s="41">
        <f>SUMIFS(tbl_WIP[Amount],tbl_WIP[Job Number],$A355,tbl_WIP[Month],$C$4)</f>
        <v/>
      </c>
      <c r="E355" s="41">
        <f>C355+D355</f>
        <v/>
      </c>
      <c r="F355" s="42">
        <f>IF(ROUND(C355,2)+ROUND(D355,2)=0,"","yes")</f>
        <v/>
      </c>
      <c r="G355" s="43" t="n"/>
      <c r="H355" s="41">
        <f>IF($G355="","",$E355-$G355)</f>
        <v/>
      </c>
    </row>
    <row r="356">
      <c r="A356" s="13" t="inlineStr">
        <is>
          <t>2722</t>
        </is>
      </c>
      <c r="B356" s="13" t="inlineStr">
        <is>
          <t>PWC Monthly Consulting</t>
        </is>
      </c>
      <c r="C356" s="41">
        <f>SUMIFS(tbl_WIP[Amount],tbl_WIP[Job Number],$A356,tbl_WIP[Month],"&lt;&gt;",tbl_WIP[Month],"&lt;"&amp;$C$4)</f>
        <v/>
      </c>
      <c r="D356" s="41">
        <f>SUMIFS(tbl_WIP[Amount],tbl_WIP[Job Number],$A356,tbl_WIP[Month],$C$4)</f>
        <v/>
      </c>
      <c r="E356" s="41">
        <f>C356+D356</f>
        <v/>
      </c>
      <c r="F356" s="42">
        <f>IF(ROUND(C356,2)+ROUND(D356,2)=0,"","yes")</f>
        <v/>
      </c>
      <c r="G356" s="43" t="n"/>
      <c r="H356" s="41">
        <f>IF($G356="","",$E356-$G356)</f>
        <v/>
      </c>
    </row>
    <row r="357">
      <c r="A357" s="13" t="inlineStr">
        <is>
          <t>2726</t>
        </is>
      </c>
      <c r="B357" s="13" t="inlineStr">
        <is>
          <t>KPMG MEL Tech</t>
        </is>
      </c>
      <c r="C357" s="41">
        <f>SUMIFS(tbl_WIP[Amount],tbl_WIP[Job Number],$A357,tbl_WIP[Month],"&lt;&gt;",tbl_WIP[Month],"&lt;"&amp;$C$4)</f>
        <v/>
      </c>
      <c r="D357" s="41">
        <f>SUMIFS(tbl_WIP[Amount],tbl_WIP[Job Number],$A357,tbl_WIP[Month],$C$4)</f>
        <v/>
      </c>
      <c r="E357" s="41">
        <f>C357+D357</f>
        <v/>
      </c>
      <c r="F357" s="42">
        <f>IF(ROUND(C357,2)+ROUND(D357,2)=0,"","yes")</f>
        <v/>
      </c>
      <c r="G357" s="43" t="n"/>
      <c r="H357" s="41">
        <f>IF($G357="","",$E357-$G357)</f>
        <v/>
      </c>
    </row>
    <row r="358">
      <c r="A358" s="13" t="inlineStr">
        <is>
          <t>2756</t>
        </is>
      </c>
      <c r="B358" s="13" t="inlineStr">
        <is>
          <t>CTS Mgmt Meetings</t>
        </is>
      </c>
      <c r="C358" s="41">
        <f>SUMIFS(tbl_WIP[Amount],tbl_WIP[Job Number],$A358,tbl_WIP[Month],"&lt;&gt;",tbl_WIP[Month],"&lt;"&amp;$C$4)</f>
        <v/>
      </c>
      <c r="D358" s="41">
        <f>SUMIFS(tbl_WIP[Amount],tbl_WIP[Job Number],$A358,tbl_WIP[Month],$C$4)</f>
        <v/>
      </c>
      <c r="E358" s="41">
        <f>C358+D358</f>
        <v/>
      </c>
      <c r="F358" s="42">
        <f>IF(ROUND(C358,2)+ROUND(D358,2)=0,"","yes")</f>
        <v/>
      </c>
      <c r="G358" s="43" t="n"/>
      <c r="H358" s="41">
        <f>IF($G358="","",$E358-$G358)</f>
        <v/>
      </c>
    </row>
    <row r="359">
      <c r="A359" s="13" t="inlineStr">
        <is>
          <t>2834</t>
        </is>
      </c>
      <c r="B359" s="13" t="inlineStr">
        <is>
          <t>APA Young - Visitor Mgmt</t>
        </is>
      </c>
      <c r="C359" s="41">
        <f>SUMIFS(tbl_WIP[Amount],tbl_WIP[Job Number],$A359,tbl_WIP[Month],"&lt;&gt;",tbl_WIP[Month],"&lt;"&amp;$C$4)</f>
        <v/>
      </c>
      <c r="D359" s="41">
        <f>SUMIFS(tbl_WIP[Amount],tbl_WIP[Job Number],$A359,tbl_WIP[Month],$C$4)</f>
        <v/>
      </c>
      <c r="E359" s="41">
        <f>C359+D359</f>
        <v/>
      </c>
      <c r="F359" s="42">
        <f>IF(ROUND(C359,2)+ROUND(D359,2)=0,"","yes")</f>
        <v/>
      </c>
      <c r="G359" s="43" t="n"/>
      <c r="H359" s="41">
        <f>IF($G359="","",$E359-$G359)</f>
        <v/>
      </c>
    </row>
    <row r="360">
      <c r="A360" s="13" t="inlineStr">
        <is>
          <t>2838</t>
        </is>
      </c>
      <c r="B360" s="13" t="inlineStr">
        <is>
          <t>KPMG SYD Tech</t>
        </is>
      </c>
      <c r="C360" s="41">
        <f>SUMIFS(tbl_WIP[Amount],tbl_WIP[Job Number],$A360,tbl_WIP[Month],"&lt;&gt;",tbl_WIP[Month],"&lt;"&amp;$C$4)</f>
        <v/>
      </c>
      <c r="D360" s="41">
        <f>SUMIFS(tbl_WIP[Amount],tbl_WIP[Job Number],$A360,tbl_WIP[Month],$C$4)</f>
        <v/>
      </c>
      <c r="E360" s="41">
        <f>C360+D360</f>
        <v/>
      </c>
      <c r="F360" s="42">
        <f>IF(ROUND(C360,2)+ROUND(D360,2)=0,"","yes")</f>
        <v/>
      </c>
      <c r="G360" s="43" t="n"/>
      <c r="H360" s="41">
        <f>IF($G360="","",$E360-$G360)</f>
        <v/>
      </c>
    </row>
    <row r="361">
      <c r="A361" s="13" t="inlineStr">
        <is>
          <t>2846</t>
        </is>
      </c>
      <c r="B361" s="13" t="inlineStr">
        <is>
          <t>DTTL National STL</t>
        </is>
      </c>
      <c r="C361" s="41">
        <f>SUMIFS(tbl_WIP[Amount],tbl_WIP[Job Number],$A361,tbl_WIP[Month],"&lt;&gt;",tbl_WIP[Month],"&lt;"&amp;$C$4)</f>
        <v/>
      </c>
      <c r="D361" s="41">
        <f>SUMIFS(tbl_WIP[Amount],tbl_WIP[Job Number],$A361,tbl_WIP[Month],$C$4)</f>
        <v/>
      </c>
      <c r="E361" s="41">
        <f>C361+D361</f>
        <v/>
      </c>
      <c r="F361" s="42">
        <f>IF(ROUND(C361,2)+ROUND(D361,2)=0,"","yes")</f>
        <v/>
      </c>
      <c r="G361" s="43" t="n"/>
      <c r="H361" s="41">
        <f>IF($G361="","",$E361-$G361)</f>
        <v/>
      </c>
    </row>
    <row r="362">
      <c r="A362" s="13" t="inlineStr">
        <is>
          <t>2848</t>
        </is>
      </c>
      <c r="B362" s="13" t="inlineStr">
        <is>
          <t>APA ADL Visitor Mgmt</t>
        </is>
      </c>
      <c r="C362" s="41">
        <f>SUMIFS(tbl_WIP[Amount],tbl_WIP[Job Number],$A362,tbl_WIP[Month],"&lt;&gt;",tbl_WIP[Month],"&lt;"&amp;$C$4)</f>
        <v/>
      </c>
      <c r="D362" s="41">
        <f>SUMIFS(tbl_WIP[Amount],tbl_WIP[Job Number],$A362,tbl_WIP[Month],$C$4)</f>
        <v/>
      </c>
      <c r="E362" s="41">
        <f>C362+D362</f>
        <v/>
      </c>
      <c r="F362" s="42">
        <f>IF(ROUND(C362,2)+ROUND(D362,2)=0,"","yes")</f>
        <v/>
      </c>
      <c r="G362" s="43" t="n"/>
      <c r="H362" s="41">
        <f>IF($G362="","",$E362-$G362)</f>
        <v/>
      </c>
    </row>
    <row r="363">
      <c r="A363" s="13" t="inlineStr">
        <is>
          <t>2849</t>
        </is>
      </c>
      <c r="B363" s="13" t="inlineStr">
        <is>
          <t>DTTL SYD Internal</t>
        </is>
      </c>
      <c r="C363" s="41">
        <f>SUMIFS(tbl_WIP[Amount],tbl_WIP[Job Number],$A363,tbl_WIP[Month],"&lt;&gt;",tbl_WIP[Month],"&lt;"&amp;$C$4)</f>
        <v/>
      </c>
      <c r="D363" s="41">
        <f>SUMIFS(tbl_WIP[Amount],tbl_WIP[Job Number],$A363,tbl_WIP[Month],$C$4)</f>
        <v/>
      </c>
      <c r="E363" s="41">
        <f>C363+D363</f>
        <v/>
      </c>
      <c r="F363" s="42">
        <f>IF(ROUND(C363,2)+ROUND(D363,2)=0,"","yes")</f>
        <v/>
      </c>
      <c r="G363" s="43" t="n"/>
      <c r="H363" s="41">
        <f>IF($G363="","",$E363-$G363)</f>
        <v/>
      </c>
    </row>
    <row r="364">
      <c r="A364" s="13" t="inlineStr">
        <is>
          <t>2855</t>
        </is>
      </c>
      <c r="B364" s="13" t="inlineStr">
        <is>
          <t>APA Melbourne VMS</t>
        </is>
      </c>
      <c r="C364" s="41">
        <f>SUMIFS(tbl_WIP[Amount],tbl_WIP[Job Number],$A364,tbl_WIP[Month],"&lt;&gt;",tbl_WIP[Month],"&lt;"&amp;$C$4)</f>
        <v/>
      </c>
      <c r="D364" s="41">
        <f>SUMIFS(tbl_WIP[Amount],tbl_WIP[Job Number],$A364,tbl_WIP[Month],$C$4)</f>
        <v/>
      </c>
      <c r="E364" s="41">
        <f>C364+D364</f>
        <v/>
      </c>
      <c r="F364" s="42">
        <f>IF(ROUND(C364,2)+ROUND(D364,2)=0,"","yes")</f>
        <v/>
      </c>
      <c r="G364" s="43" t="n"/>
      <c r="H364" s="41">
        <f>IF($G364="","",$E364-$G364)</f>
        <v/>
      </c>
    </row>
    <row r="365">
      <c r="A365" s="13" t="inlineStr">
        <is>
          <t>2857</t>
        </is>
      </c>
      <c r="B365" s="13" t="inlineStr">
        <is>
          <t>APA Sydney Visitor Mgmt</t>
        </is>
      </c>
      <c r="C365" s="41">
        <f>SUMIFS(tbl_WIP[Amount],tbl_WIP[Job Number],$A365,tbl_WIP[Month],"&lt;&gt;",tbl_WIP[Month],"&lt;"&amp;$C$4)</f>
        <v/>
      </c>
      <c r="D365" s="41">
        <f>SUMIFS(tbl_WIP[Amount],tbl_WIP[Job Number],$A365,tbl_WIP[Month],$C$4)</f>
        <v/>
      </c>
      <c r="E365" s="41">
        <f>C365+D365</f>
        <v/>
      </c>
      <c r="F365" s="42">
        <f>IF(ROUND(C365,2)+ROUND(D365,2)=0,"","yes")</f>
        <v/>
      </c>
      <c r="G365" s="43" t="n"/>
      <c r="H365" s="41">
        <f>IF($G365="","",$E365-$G365)</f>
        <v/>
      </c>
    </row>
    <row r="366">
      <c r="A366" s="13" t="inlineStr">
        <is>
          <t>2877</t>
        </is>
      </c>
      <c r="B366" s="13" t="inlineStr">
        <is>
          <t>DEWR Maintenance Ext</t>
        </is>
      </c>
      <c r="C366" s="41">
        <f>SUMIFS(tbl_WIP[Amount],tbl_WIP[Job Number],$A366,tbl_WIP[Month],"&lt;&gt;",tbl_WIP[Month],"&lt;"&amp;$C$4)</f>
        <v/>
      </c>
      <c r="D366" s="41">
        <f>SUMIFS(tbl_WIP[Amount],tbl_WIP[Job Number],$A366,tbl_WIP[Month],$C$4)</f>
        <v/>
      </c>
      <c r="E366" s="41">
        <f>C366+D366</f>
        <v/>
      </c>
      <c r="F366" s="42">
        <f>IF(ROUND(C366,2)+ROUND(D366,2)=0,"","yes")</f>
        <v/>
      </c>
      <c r="G366" s="43" t="n"/>
      <c r="H366" s="41">
        <f>IF($G366="","",$E366-$G366)</f>
        <v/>
      </c>
    </row>
    <row r="367">
      <c r="A367" s="13" t="inlineStr">
        <is>
          <t>2879</t>
        </is>
      </c>
      <c r="B367" s="13" t="inlineStr">
        <is>
          <t>ONS Ricoh-QANTAS (non-chgble)</t>
        </is>
      </c>
      <c r="C367" s="41">
        <f>SUMIFS(tbl_WIP[Amount],tbl_WIP[Job Number],$A367,tbl_WIP[Month],"&lt;&gt;",tbl_WIP[Month],"&lt;"&amp;$C$4)</f>
        <v/>
      </c>
      <c r="D367" s="41">
        <f>SUMIFS(tbl_WIP[Amount],tbl_WIP[Job Number],$A367,tbl_WIP[Month],$C$4)</f>
        <v/>
      </c>
      <c r="E367" s="41">
        <f>C367+D367</f>
        <v/>
      </c>
      <c r="F367" s="42">
        <f>IF(ROUND(C367,2)+ROUND(D367,2)=0,"","yes")</f>
        <v/>
      </c>
      <c r="G367" s="43" t="n"/>
      <c r="H367" s="41">
        <f>IF($G367="","",$E367-$G367)</f>
        <v/>
      </c>
    </row>
    <row r="368">
      <c r="A368" s="13" t="inlineStr">
        <is>
          <t>2880</t>
        </is>
      </c>
      <c r="B368" s="13" t="inlineStr">
        <is>
          <t>Ricoh - QANTAS</t>
        </is>
      </c>
      <c r="C368" s="41">
        <f>SUMIFS(tbl_WIP[Amount],tbl_WIP[Job Number],$A368,tbl_WIP[Month],"&lt;&gt;",tbl_WIP[Month],"&lt;"&amp;$C$4)</f>
        <v/>
      </c>
      <c r="D368" s="41">
        <f>SUMIFS(tbl_WIP[Amount],tbl_WIP[Job Number],$A368,tbl_WIP[Month],$C$4)</f>
        <v/>
      </c>
      <c r="E368" s="41">
        <f>C368+D368</f>
        <v/>
      </c>
      <c r="F368" s="42">
        <f>IF(ROUND(C368,2)+ROUND(D368,2)=0,"","yes")</f>
        <v/>
      </c>
      <c r="G368" s="43" t="n"/>
      <c r="H368" s="41">
        <f>IF($G368="","",$E368-$G368)</f>
        <v/>
      </c>
    </row>
    <row r="369">
      <c r="A369" s="13" t="inlineStr">
        <is>
          <t>2892</t>
        </is>
      </c>
      <c r="B369" s="13" t="inlineStr">
        <is>
          <t>JP Morgan Onsite Tech</t>
        </is>
      </c>
      <c r="C369" s="41">
        <f>SUMIFS(tbl_WIP[Amount],tbl_WIP[Job Number],$A369,tbl_WIP[Month],"&lt;&gt;",tbl_WIP[Month],"&lt;"&amp;$C$4)</f>
        <v/>
      </c>
      <c r="D369" s="41">
        <f>SUMIFS(tbl_WIP[Amount],tbl_WIP[Job Number],$A369,tbl_WIP[Month],$C$4)</f>
        <v/>
      </c>
      <c r="E369" s="41">
        <f>C369+D369</f>
        <v/>
      </c>
      <c r="F369" s="42">
        <f>IF(ROUND(C369,2)+ROUND(D369,2)=0,"","yes")</f>
        <v/>
      </c>
      <c r="G369" s="43" t="n"/>
      <c r="H369" s="41">
        <f>IF($G369="","",$E369-$G369)</f>
        <v/>
      </c>
    </row>
    <row r="370">
      <c r="A370" s="13" t="inlineStr">
        <is>
          <t>2896</t>
        </is>
      </c>
      <c r="B370" s="13" t="inlineStr">
        <is>
          <t>ONS KPMG (non-chargeable)</t>
        </is>
      </c>
      <c r="C370" s="41">
        <f>SUMIFS(tbl_WIP[Amount],tbl_WIP[Job Number],$A370,tbl_WIP[Month],"&lt;&gt;",tbl_WIP[Month],"&lt;"&amp;$C$4)</f>
        <v/>
      </c>
      <c r="D370" s="41">
        <f>SUMIFS(tbl_WIP[Amount],tbl_WIP[Job Number],$A370,tbl_WIP[Month],$C$4)</f>
        <v/>
      </c>
      <c r="E370" s="41">
        <f>C370+D370</f>
        <v/>
      </c>
      <c r="F370" s="42">
        <f>IF(ROUND(C370,2)+ROUND(D370,2)=0,"","yes")</f>
        <v/>
      </c>
      <c r="G370" s="43" t="n"/>
      <c r="H370" s="41">
        <f>IF($G370="","",$E370-$G370)</f>
        <v/>
      </c>
    </row>
    <row r="371">
      <c r="A371" s="13" t="inlineStr">
        <is>
          <t>2897</t>
        </is>
      </c>
      <c r="B371" s="13" t="inlineStr">
        <is>
          <t>ONS JPM (non-chargeable)</t>
        </is>
      </c>
      <c r="C371" s="41">
        <f>SUMIFS(tbl_WIP[Amount],tbl_WIP[Job Number],$A371,tbl_WIP[Month],"&lt;&gt;",tbl_WIP[Month],"&lt;"&amp;$C$4)</f>
        <v/>
      </c>
      <c r="D371" s="41">
        <f>SUMIFS(tbl_WIP[Amount],tbl_WIP[Job Number],$A371,tbl_WIP[Month],$C$4)</f>
        <v/>
      </c>
      <c r="E371" s="41">
        <f>C371+D371</f>
        <v/>
      </c>
      <c r="F371" s="42">
        <f>IF(ROUND(C371,2)+ROUND(D371,2)=0,"","yes")</f>
        <v/>
      </c>
      <c r="G371" s="43" t="n"/>
      <c r="H371" s="41">
        <f>IF($G371="","",$E371-$G371)</f>
        <v/>
      </c>
    </row>
    <row r="372">
      <c r="A372" s="13" t="inlineStr">
        <is>
          <t>2900</t>
        </is>
      </c>
      <c r="B372" s="13" t="inlineStr">
        <is>
          <t>ONS Ammacus-Woolworths (non-chargeable)</t>
        </is>
      </c>
      <c r="C372" s="41">
        <f>SUMIFS(tbl_WIP[Amount],tbl_WIP[Job Number],$A372,tbl_WIP[Month],"&lt;&gt;",tbl_WIP[Month],"&lt;"&amp;$C$4)</f>
        <v/>
      </c>
      <c r="D372" s="41">
        <f>SUMIFS(tbl_WIP[Amount],tbl_WIP[Job Number],$A372,tbl_WIP[Month],$C$4)</f>
        <v/>
      </c>
      <c r="E372" s="41">
        <f>C372+D372</f>
        <v/>
      </c>
      <c r="F372" s="42">
        <f>IF(ROUND(C372,2)+ROUND(D372,2)=0,"","yes")</f>
        <v/>
      </c>
      <c r="G372" s="43" t="n"/>
      <c r="H372" s="41">
        <f>IF($G372="","",$E372-$G372)</f>
        <v/>
      </c>
    </row>
    <row r="373">
      <c r="A373" s="13" t="inlineStr">
        <is>
          <t>2906</t>
        </is>
      </c>
      <c r="B373" s="13" t="inlineStr">
        <is>
          <t>KPMG BNE Tech</t>
        </is>
      </c>
      <c r="C373" s="41">
        <f>SUMIFS(tbl_WIP[Amount],tbl_WIP[Job Number],$A373,tbl_WIP[Month],"&lt;&gt;",tbl_WIP[Month],"&lt;"&amp;$C$4)</f>
        <v/>
      </c>
      <c r="D373" s="41">
        <f>SUMIFS(tbl_WIP[Amount],tbl_WIP[Job Number],$A373,tbl_WIP[Month],$C$4)</f>
        <v/>
      </c>
      <c r="E373" s="41">
        <f>C373+D373</f>
        <v/>
      </c>
      <c r="F373" s="42">
        <f>IF(ROUND(C373,2)+ROUND(D373,2)=0,"","yes")</f>
        <v/>
      </c>
      <c r="G373" s="43" t="n"/>
      <c r="H373" s="41">
        <f>IF($G373="","",$E373-$G373)</f>
        <v/>
      </c>
    </row>
    <row r="374">
      <c r="A374" s="13" t="inlineStr">
        <is>
          <t>2907</t>
        </is>
      </c>
      <c r="B374" s="13" t="inlineStr">
        <is>
          <t>Ammacus-Woolworths Tech</t>
        </is>
      </c>
      <c r="C374" s="41">
        <f>SUMIFS(tbl_WIP[Amount],tbl_WIP[Job Number],$A374,tbl_WIP[Month],"&lt;&gt;",tbl_WIP[Month],"&lt;"&amp;$C$4)</f>
        <v/>
      </c>
      <c r="D374" s="41">
        <f>SUMIFS(tbl_WIP[Amount],tbl_WIP[Job Number],$A374,tbl_WIP[Month],$C$4)</f>
        <v/>
      </c>
      <c r="E374" s="41">
        <f>C374+D374</f>
        <v/>
      </c>
      <c r="F374" s="42">
        <f>IF(ROUND(C374,2)+ROUND(D374,2)=0,"","yes")</f>
        <v/>
      </c>
      <c r="G374" s="43" t="n"/>
      <c r="H374" s="41">
        <f>IF($G374="","",$E374-$G374)</f>
        <v/>
      </c>
    </row>
    <row r="375">
      <c r="A375" s="13" t="inlineStr">
        <is>
          <t>2910</t>
        </is>
      </c>
      <c r="B375" s="13" t="inlineStr">
        <is>
          <t>Office Move 2024</t>
        </is>
      </c>
      <c r="C375" s="41">
        <f>SUMIFS(tbl_WIP[Amount],tbl_WIP[Job Number],$A375,tbl_WIP[Month],"&lt;&gt;",tbl_WIP[Month],"&lt;"&amp;$C$4)</f>
        <v/>
      </c>
      <c r="D375" s="41">
        <f>SUMIFS(tbl_WIP[Amount],tbl_WIP[Job Number],$A375,tbl_WIP[Month],$C$4)</f>
        <v/>
      </c>
      <c r="E375" s="41">
        <f>C375+D375</f>
        <v/>
      </c>
      <c r="F375" s="42">
        <f>IF(ROUND(C375,2)+ROUND(D375,2)=0,"","yes")</f>
        <v/>
      </c>
      <c r="G375" s="43" t="n"/>
      <c r="H375" s="41">
        <f>IF($G375="","",$E375-$G375)</f>
        <v/>
      </c>
    </row>
    <row r="376">
      <c r="A376" s="13" t="inlineStr">
        <is>
          <t>2977</t>
        </is>
      </c>
      <c r="B376" s="13" t="inlineStr">
        <is>
          <t>St Catherine's School (CONS)</t>
        </is>
      </c>
      <c r="C376" s="41">
        <f>SUMIFS(tbl_WIP[Amount],tbl_WIP[Job Number],$A376,tbl_WIP[Month],"&lt;&gt;",tbl_WIP[Month],"&lt;"&amp;$C$4)</f>
        <v/>
      </c>
      <c r="D376" s="41">
        <f>SUMIFS(tbl_WIP[Amount],tbl_WIP[Job Number],$A376,tbl_WIP[Month],$C$4)</f>
        <v/>
      </c>
      <c r="E376" s="41">
        <f>C376+D376</f>
        <v/>
      </c>
      <c r="F376" s="42">
        <f>IF(ROUND(C376,2)+ROUND(D376,2)=0,"","yes")</f>
        <v/>
      </c>
      <c r="G376" s="43" t="n"/>
      <c r="H376" s="41">
        <f>IF($G376="","",$E376-$G376)</f>
        <v/>
      </c>
    </row>
    <row r="377">
      <c r="A377" s="13" t="inlineStr">
        <is>
          <t>3014</t>
        </is>
      </c>
      <c r="B377" s="13" t="inlineStr">
        <is>
          <t>ONS Ricoh/Campari (Chargeable)</t>
        </is>
      </c>
      <c r="C377" s="41">
        <f>SUMIFS(tbl_WIP[Amount],tbl_WIP[Job Number],$A377,tbl_WIP[Month],"&lt;&gt;",tbl_WIP[Month],"&lt;"&amp;$C$4)</f>
        <v/>
      </c>
      <c r="D377" s="41">
        <f>SUMIFS(tbl_WIP[Amount],tbl_WIP[Job Number],$A377,tbl_WIP[Month],$C$4)</f>
        <v/>
      </c>
      <c r="E377" s="41">
        <f>C377+D377</f>
        <v/>
      </c>
      <c r="F377" s="42">
        <f>IF(ROUND(C377,2)+ROUND(D377,2)=0,"","yes")</f>
        <v/>
      </c>
      <c r="G377" s="43" t="n"/>
      <c r="H377" s="41">
        <f>IF($G377="","",$E377-$G377)</f>
        <v/>
      </c>
    </row>
    <row r="378">
      <c r="A378" s="13" t="inlineStr">
        <is>
          <t>3015</t>
        </is>
      </c>
      <c r="B378" s="13" t="inlineStr">
        <is>
          <t>ONS Ricoh/Campari (Non Chgble)</t>
        </is>
      </c>
      <c r="C378" s="41">
        <f>SUMIFS(tbl_WIP[Amount],tbl_WIP[Job Number],$A378,tbl_WIP[Month],"&lt;&gt;",tbl_WIP[Month],"&lt;"&amp;$C$4)</f>
        <v/>
      </c>
      <c r="D378" s="41">
        <f>SUMIFS(tbl_WIP[Amount],tbl_WIP[Job Number],$A378,tbl_WIP[Month],$C$4)</f>
        <v/>
      </c>
      <c r="E378" s="41">
        <f>C378+D378</f>
        <v/>
      </c>
      <c r="F378" s="42">
        <f>IF(ROUND(C378,2)+ROUND(D378,2)=0,"","yes")</f>
        <v/>
      </c>
      <c r="G378" s="43" t="n"/>
      <c r="H378" s="41">
        <f>IF($G378="","",$E378-$G378)</f>
        <v/>
      </c>
    </row>
    <row r="379">
      <c r="A379" s="13" t="inlineStr">
        <is>
          <t>3027</t>
        </is>
      </c>
      <c r="B379" s="13" t="inlineStr">
        <is>
          <t>DPIE Elizabeth St Booking</t>
        </is>
      </c>
      <c r="C379" s="41">
        <f>SUMIFS(tbl_WIP[Amount],tbl_WIP[Job Number],$A379,tbl_WIP[Month],"&lt;&gt;",tbl_WIP[Month],"&lt;"&amp;$C$4)</f>
        <v/>
      </c>
      <c r="D379" s="41">
        <f>SUMIFS(tbl_WIP[Amount],tbl_WIP[Job Number],$A379,tbl_WIP[Month],$C$4)</f>
        <v/>
      </c>
      <c r="E379" s="41">
        <f>C379+D379</f>
        <v/>
      </c>
      <c r="F379" s="42">
        <f>IF(ROUND(C379,2)+ROUND(D379,2)=0,"","yes")</f>
        <v/>
      </c>
      <c r="G379" s="43" t="n"/>
      <c r="H379" s="41">
        <f>IF($G379="","",$E379-$G379)</f>
        <v/>
      </c>
    </row>
    <row r="380">
      <c r="A380" s="13" t="inlineStr">
        <is>
          <t>3028</t>
        </is>
      </c>
      <c r="B380" s="13" t="inlineStr">
        <is>
          <t>APA Kidman Park VMS</t>
        </is>
      </c>
      <c r="C380" s="41">
        <f>SUMIFS(tbl_WIP[Amount],tbl_WIP[Job Number],$A380,tbl_WIP[Month],"&lt;&gt;",tbl_WIP[Month],"&lt;"&amp;$C$4)</f>
        <v/>
      </c>
      <c r="D380" s="41">
        <f>SUMIFS(tbl_WIP[Amount],tbl_WIP[Job Number],$A380,tbl_WIP[Month],$C$4)</f>
        <v/>
      </c>
      <c r="E380" s="41">
        <f>C380+D380</f>
        <v/>
      </c>
      <c r="F380" s="42">
        <f>IF(ROUND(C380,2)+ROUND(D380,2)=0,"","yes")</f>
        <v/>
      </c>
      <c r="G380" s="43" t="n"/>
      <c r="H380" s="41">
        <f>IF($G380="","",$E380-$G380)</f>
        <v/>
      </c>
    </row>
    <row r="381">
      <c r="A381" s="13" t="inlineStr">
        <is>
          <t>3034</t>
        </is>
      </c>
      <c r="B381" s="13" t="inlineStr">
        <is>
          <t>ARUP ONS (non-chargeable)</t>
        </is>
      </c>
      <c r="C381" s="41">
        <f>SUMIFS(tbl_WIP[Amount],tbl_WIP[Job Number],$A381,tbl_WIP[Month],"&lt;&gt;",tbl_WIP[Month],"&lt;"&amp;$C$4)</f>
        <v/>
      </c>
      <c r="D381" s="41">
        <f>SUMIFS(tbl_WIP[Amount],tbl_WIP[Job Number],$A381,tbl_WIP[Month],$C$4)</f>
        <v/>
      </c>
      <c r="E381" s="41">
        <f>C381+D381</f>
        <v/>
      </c>
      <c r="F381" s="42">
        <f>IF(ROUND(C381,2)+ROUND(D381,2)=0,"","yes")</f>
        <v/>
      </c>
      <c r="G381" s="43" t="n"/>
      <c r="H381" s="41">
        <f>IF($G381="","",$E381-$G381)</f>
        <v/>
      </c>
    </row>
    <row r="382">
      <c r="A382" s="13" t="inlineStr">
        <is>
          <t>3035</t>
        </is>
      </c>
      <c r="B382" s="13" t="inlineStr">
        <is>
          <t>ARUP ONS National (Chargeable)</t>
        </is>
      </c>
      <c r="C382" s="41">
        <f>SUMIFS(tbl_WIP[Amount],tbl_WIP[Job Number],$A382,tbl_WIP[Month],"&lt;&gt;",tbl_WIP[Month],"&lt;"&amp;$C$4)</f>
        <v/>
      </c>
      <c r="D382" s="41">
        <f>SUMIFS(tbl_WIP[Amount],tbl_WIP[Job Number],$A382,tbl_WIP[Month],$C$4)</f>
        <v/>
      </c>
      <c r="E382" s="41">
        <f>C382+D382</f>
        <v/>
      </c>
      <c r="F382" s="42">
        <f>IF(ROUND(C382,2)+ROUND(D382,2)=0,"","yes")</f>
        <v/>
      </c>
      <c r="G382" s="43" t="n"/>
      <c r="H382" s="41">
        <f>IF($G382="","",$E382-$G382)</f>
        <v/>
      </c>
    </row>
    <row r="383">
      <c r="A383" s="13" t="inlineStr">
        <is>
          <t>3040</t>
        </is>
      </c>
      <c r="B383" s="13" t="inlineStr">
        <is>
          <t>Corrs MELB Office Reloc</t>
        </is>
      </c>
      <c r="C383" s="41">
        <f>SUMIFS(tbl_WIP[Amount],tbl_WIP[Job Number],$A383,tbl_WIP[Month],"&lt;&gt;",tbl_WIP[Month],"&lt;"&amp;$C$4)</f>
        <v/>
      </c>
      <c r="D383" s="41">
        <f>SUMIFS(tbl_WIP[Amount],tbl_WIP[Job Number],$A383,tbl_WIP[Month],$C$4)</f>
        <v/>
      </c>
      <c r="E383" s="41">
        <f>C383+D383</f>
        <v/>
      </c>
      <c r="F383" s="42">
        <f>IF(ROUND(C383,2)+ROUND(D383,2)=0,"","yes")</f>
        <v/>
      </c>
      <c r="G383" s="43" t="n"/>
      <c r="H383" s="41">
        <f>IF($G383="","",$E383-$G383)</f>
        <v/>
      </c>
    </row>
    <row r="384">
      <c r="A384" s="13" t="inlineStr">
        <is>
          <t>3042</t>
        </is>
      </c>
      <c r="B384" s="13" t="inlineStr">
        <is>
          <t>Corrs-PER Office Reloc</t>
        </is>
      </c>
      <c r="C384" s="41">
        <f>SUMIFS(tbl_WIP[Amount],tbl_WIP[Job Number],$A384,tbl_WIP[Month],"&lt;&gt;",tbl_WIP[Month],"&lt;"&amp;$C$4)</f>
        <v/>
      </c>
      <c r="D384" s="41">
        <f>SUMIFS(tbl_WIP[Amount],tbl_WIP[Job Number],$A384,tbl_WIP[Month],$C$4)</f>
        <v/>
      </c>
      <c r="E384" s="41">
        <f>C384+D384</f>
        <v/>
      </c>
      <c r="F384" s="42">
        <f>IF(ROUND(C384,2)+ROUND(D384,2)=0,"","yes")</f>
        <v/>
      </c>
      <c r="G384" s="43" t="n"/>
      <c r="H384" s="41">
        <f>IF($G384="","",$E384-$G384)</f>
        <v/>
      </c>
    </row>
    <row r="385">
      <c r="A385" s="13" t="inlineStr">
        <is>
          <t>3046</t>
        </is>
      </c>
      <c r="B385" s="13" t="inlineStr">
        <is>
          <t>Stone&amp;Chalk ONS [chargeable]</t>
        </is>
      </c>
      <c r="C385" s="41">
        <f>SUMIFS(tbl_WIP[Amount],tbl_WIP[Job Number],$A385,tbl_WIP[Month],"&lt;&gt;",tbl_WIP[Month],"&lt;"&amp;$C$4)</f>
        <v/>
      </c>
      <c r="D385" s="41">
        <f>SUMIFS(tbl_WIP[Amount],tbl_WIP[Job Number],$A385,tbl_WIP[Month],$C$4)</f>
        <v/>
      </c>
      <c r="E385" s="41">
        <f>C385+D385</f>
        <v/>
      </c>
      <c r="F385" s="42">
        <f>IF(ROUND(C385,2)+ROUND(D385,2)=0,"","yes")</f>
        <v/>
      </c>
      <c r="G385" s="43" t="n"/>
      <c r="H385" s="41">
        <f>IF($G385="","",$E385-$G385)</f>
        <v/>
      </c>
    </row>
    <row r="386">
      <c r="A386" s="13" t="inlineStr">
        <is>
          <t>3047</t>
        </is>
      </c>
      <c r="B386" s="13" t="inlineStr">
        <is>
          <t>Stone&amp;Chalk ONS [non-chargable]</t>
        </is>
      </c>
      <c r="C386" s="41">
        <f>SUMIFS(tbl_WIP[Amount],tbl_WIP[Job Number],$A386,tbl_WIP[Month],"&lt;&gt;",tbl_WIP[Month],"&lt;"&amp;$C$4)</f>
        <v/>
      </c>
      <c r="D386" s="41">
        <f>SUMIFS(tbl_WIP[Amount],tbl_WIP[Job Number],$A386,tbl_WIP[Month],$C$4)</f>
        <v/>
      </c>
      <c r="E386" s="41">
        <f>C386+D386</f>
        <v/>
      </c>
      <c r="F386" s="42">
        <f>IF(ROUND(C386,2)+ROUND(D386,2)=0,"","yes")</f>
        <v/>
      </c>
      <c r="G386" s="43" t="n"/>
      <c r="H386" s="41">
        <f>IF($G386="","",$E386-$G386)</f>
        <v/>
      </c>
    </row>
    <row r="387">
      <c r="A387" s="13" t="inlineStr">
        <is>
          <t>3048</t>
        </is>
      </c>
      <c r="B387" s="13" t="inlineStr">
        <is>
          <t>Stone &amp; Chalk Audit 2</t>
        </is>
      </c>
      <c r="C387" s="41">
        <f>SUMIFS(tbl_WIP[Amount],tbl_WIP[Job Number],$A387,tbl_WIP[Month],"&lt;&gt;",tbl_WIP[Month],"&lt;"&amp;$C$4)</f>
        <v/>
      </c>
      <c r="D387" s="41">
        <f>SUMIFS(tbl_WIP[Amount],tbl_WIP[Job Number],$A387,tbl_WIP[Month],$C$4)</f>
        <v/>
      </c>
      <c r="E387" s="41">
        <f>C387+D387</f>
        <v/>
      </c>
      <c r="F387" s="42">
        <f>IF(ROUND(C387,2)+ROUND(D387,2)=0,"","yes")</f>
        <v/>
      </c>
      <c r="G387" s="43" t="n"/>
      <c r="H387" s="41">
        <f>IF($G387="","",$E387-$G387)</f>
        <v/>
      </c>
    </row>
    <row r="388">
      <c r="A388" s="13" t="inlineStr">
        <is>
          <t>3056</t>
        </is>
      </c>
      <c r="B388" s="13" t="inlineStr">
        <is>
          <t>AusPayNet Onsite [Chargeable]</t>
        </is>
      </c>
      <c r="C388" s="41">
        <f>SUMIFS(tbl_WIP[Amount],tbl_WIP[Job Number],$A388,tbl_WIP[Month],"&lt;&gt;",tbl_WIP[Month],"&lt;"&amp;$C$4)</f>
        <v/>
      </c>
      <c r="D388" s="41">
        <f>SUMIFS(tbl_WIP[Amount],tbl_WIP[Job Number],$A388,tbl_WIP[Month],$C$4)</f>
        <v/>
      </c>
      <c r="E388" s="41">
        <f>C388+D388</f>
        <v/>
      </c>
      <c r="F388" s="42">
        <f>IF(ROUND(C388,2)+ROUND(D388,2)=0,"","yes")</f>
        <v/>
      </c>
      <c r="G388" s="43" t="n"/>
      <c r="H388" s="41">
        <f>IF($G388="","",$E388-$G388)</f>
        <v/>
      </c>
    </row>
    <row r="389">
      <c r="A389" s="13" t="inlineStr">
        <is>
          <t>3057</t>
        </is>
      </c>
      <c r="B389" s="13" t="inlineStr">
        <is>
          <t>AusPayNet ONS[Non-Chargeable]</t>
        </is>
      </c>
      <c r="C389" s="41">
        <f>SUMIFS(tbl_WIP[Amount],tbl_WIP[Job Number],$A389,tbl_WIP[Month],"&lt;&gt;",tbl_WIP[Month],"&lt;"&amp;$C$4)</f>
        <v/>
      </c>
      <c r="D389" s="41">
        <f>SUMIFS(tbl_WIP[Amount],tbl_WIP[Job Number],$A389,tbl_WIP[Month],$C$4)</f>
        <v/>
      </c>
      <c r="E389" s="41">
        <f>C389+D389</f>
        <v/>
      </c>
      <c r="F389" s="42">
        <f>IF(ROUND(C389,2)+ROUND(D389,2)=0,"","yes")</f>
        <v/>
      </c>
      <c r="G389" s="43" t="n"/>
      <c r="H389" s="41">
        <f>IF($G389="","",$E389-$G389)</f>
        <v/>
      </c>
    </row>
    <row r="390">
      <c r="A390" s="13" t="inlineStr">
        <is>
          <t>3059</t>
        </is>
      </c>
      <c r="B390" s="13" t="inlineStr">
        <is>
          <t>CBA AGM 2025</t>
        </is>
      </c>
      <c r="C390" s="41">
        <f>SUMIFS(tbl_WIP[Amount],tbl_WIP[Job Number],$A390,tbl_WIP[Month],"&lt;&gt;",tbl_WIP[Month],"&lt;"&amp;$C$4)</f>
        <v/>
      </c>
      <c r="D390" s="41">
        <f>SUMIFS(tbl_WIP[Amount],tbl_WIP[Job Number],$A390,tbl_WIP[Month],$C$4)</f>
        <v/>
      </c>
      <c r="E390" s="41">
        <f>C390+D390</f>
        <v/>
      </c>
      <c r="F390" s="42">
        <f>IF(ROUND(C390,2)+ROUND(D390,2)=0,"","yes")</f>
        <v/>
      </c>
      <c r="G390" s="43" t="n"/>
      <c r="H390" s="41">
        <f>IF($G390="","",$E390-$G390)</f>
        <v/>
      </c>
    </row>
    <row r="391">
      <c r="A391" s="13" t="inlineStr">
        <is>
          <t>3068</t>
        </is>
      </c>
      <c r="B391" s="13" t="inlineStr">
        <is>
          <t>DPIE Pitt and Penrith</t>
        </is>
      </c>
      <c r="C391" s="41">
        <f>SUMIFS(tbl_WIP[Amount],tbl_WIP[Job Number],$A391,tbl_WIP[Month],"&lt;&gt;",tbl_WIP[Month],"&lt;"&amp;$C$4)</f>
        <v/>
      </c>
      <c r="D391" s="41">
        <f>SUMIFS(tbl_WIP[Amount],tbl_WIP[Job Number],$A391,tbl_WIP[Month],$C$4)</f>
        <v/>
      </c>
      <c r="E391" s="41">
        <f>C391+D391</f>
        <v/>
      </c>
      <c r="F391" s="42">
        <f>IF(ROUND(C391,2)+ROUND(D391,2)=0,"","yes")</f>
        <v/>
      </c>
      <c r="G391" s="43" t="n"/>
      <c r="H391" s="41">
        <f>IF($G391="","",$E391-$G391)</f>
        <v/>
      </c>
    </row>
    <row r="392">
      <c r="A392" s="13" t="inlineStr">
        <is>
          <t>3072</t>
        </is>
      </c>
      <c r="B392" s="13" t="inlineStr">
        <is>
          <t>APA Thomastown</t>
        </is>
      </c>
      <c r="C392" s="41">
        <f>SUMIFS(tbl_WIP[Amount],tbl_WIP[Job Number],$A392,tbl_WIP[Month],"&lt;&gt;",tbl_WIP[Month],"&lt;"&amp;$C$4)</f>
        <v/>
      </c>
      <c r="D392" s="41">
        <f>SUMIFS(tbl_WIP[Amount],tbl_WIP[Job Number],$A392,tbl_WIP[Month],$C$4)</f>
        <v/>
      </c>
      <c r="E392" s="41">
        <f>C392+D392</f>
        <v/>
      </c>
      <c r="F392" s="42">
        <f>IF(ROUND(C392,2)+ROUND(D392,2)=0,"","yes")</f>
        <v/>
      </c>
      <c r="G392" s="43" t="n"/>
      <c r="H392" s="41">
        <f>IF($G392="","",$E392-$G392)</f>
        <v/>
      </c>
    </row>
    <row r="393">
      <c r="A393" s="13" t="inlineStr">
        <is>
          <t>585</t>
        </is>
      </c>
      <c r="B393" s="13" t="inlineStr">
        <is>
          <t>CBA Team Leader</t>
        </is>
      </c>
      <c r="C393" s="41">
        <f>SUMIFS(tbl_WIP[Amount],tbl_WIP[Job Number],$A393,tbl_WIP[Month],"&lt;&gt;",tbl_WIP[Month],"&lt;"&amp;$C$4)</f>
        <v/>
      </c>
      <c r="D393" s="41">
        <f>SUMIFS(tbl_WIP[Amount],tbl_WIP[Job Number],$A393,tbl_WIP[Month],$C$4)</f>
        <v/>
      </c>
      <c r="E393" s="41">
        <f>C393+D393</f>
        <v/>
      </c>
      <c r="F393" s="42">
        <f>IF(ROUND(C393,2)+ROUND(D393,2)=0,"","yes")</f>
        <v/>
      </c>
      <c r="G393" s="43" t="n"/>
      <c r="H393" s="41">
        <f>IF($G393="","",$E393-$G393)</f>
        <v/>
      </c>
    </row>
    <row r="394">
      <c r="A394" s="13" t="inlineStr">
        <is>
          <t>586</t>
        </is>
      </c>
      <c r="B394" s="13" t="inlineStr">
        <is>
          <t>CBA Tech NP</t>
        </is>
      </c>
      <c r="C394" s="41">
        <f>SUMIFS(tbl_WIP[Amount],tbl_WIP[Job Number],$A394,tbl_WIP[Month],"&lt;&gt;",tbl_WIP[Month],"&lt;"&amp;$C$4)</f>
        <v/>
      </c>
      <c r="D394" s="41">
        <f>SUMIFS(tbl_WIP[Amount],tbl_WIP[Job Number],$A394,tbl_WIP[Month],$C$4)</f>
        <v/>
      </c>
      <c r="E394" s="41">
        <f>C394+D394</f>
        <v/>
      </c>
      <c r="F394" s="42">
        <f>IF(ROUND(C394,2)+ROUND(D394,2)=0,"","yes")</f>
        <v/>
      </c>
      <c r="G394" s="43" t="n"/>
      <c r="H394" s="41">
        <f>IF($G394="","",$E394-$G394)</f>
        <v/>
      </c>
    </row>
    <row r="395">
      <c r="A395" s="13" t="inlineStr">
        <is>
          <t>587</t>
        </is>
      </c>
      <c r="B395" s="13" t="inlineStr">
        <is>
          <t>CBA Tech TN</t>
        </is>
      </c>
      <c r="C395" s="41">
        <f>SUMIFS(tbl_WIP[Amount],tbl_WIP[Job Number],$A395,tbl_WIP[Month],"&lt;&gt;",tbl_WIP[Month],"&lt;"&amp;$C$4)</f>
        <v/>
      </c>
      <c r="D395" s="41">
        <f>SUMIFS(tbl_WIP[Amount],tbl_WIP[Job Number],$A395,tbl_WIP[Month],$C$4)</f>
        <v/>
      </c>
      <c r="E395" s="41">
        <f>C395+D395</f>
        <v/>
      </c>
      <c r="F395" s="42">
        <f>IF(ROUND(C395,2)+ROUND(D395,2)=0,"","yes")</f>
        <v/>
      </c>
      <c r="G395" s="43" t="n"/>
      <c r="H395" s="41">
        <f>IF($G395="","",$E395-$G395)</f>
        <v/>
      </c>
    </row>
    <row r="396">
      <c r="A396" s="13" t="inlineStr">
        <is>
          <t>724</t>
        </is>
      </c>
      <c r="B396" s="13" t="inlineStr">
        <is>
          <t>DTTL SYD NTSL</t>
        </is>
      </c>
      <c r="C396" s="41">
        <f>SUMIFS(tbl_WIP[Amount],tbl_WIP[Job Number],$A396,tbl_WIP[Month],"&lt;&gt;",tbl_WIP[Month],"&lt;"&amp;$C$4)</f>
        <v/>
      </c>
      <c r="D396" s="41">
        <f>SUMIFS(tbl_WIP[Amount],tbl_WIP[Job Number],$A396,tbl_WIP[Month],$C$4)</f>
        <v/>
      </c>
      <c r="E396" s="41">
        <f>C396+D396</f>
        <v/>
      </c>
      <c r="F396" s="42">
        <f>IF(ROUND(C396,2)+ROUND(D396,2)=0,"","yes")</f>
        <v/>
      </c>
      <c r="G396" s="43" t="n"/>
      <c r="H396" s="41">
        <f>IF($G396="","",$E396-$G396)</f>
        <v/>
      </c>
    </row>
    <row r="397">
      <c r="A397" s="13" t="inlineStr">
        <is>
          <t>725</t>
        </is>
      </c>
      <c r="B397" s="13" t="inlineStr">
        <is>
          <t>DTTL Mel Tech FT 1</t>
        </is>
      </c>
      <c r="C397" s="41">
        <f>SUMIFS(tbl_WIP[Amount],tbl_WIP[Job Number],$A397,tbl_WIP[Month],"&lt;&gt;",tbl_WIP[Month],"&lt;"&amp;$C$4)</f>
        <v/>
      </c>
      <c r="D397" s="41">
        <f>SUMIFS(tbl_WIP[Amount],tbl_WIP[Job Number],$A397,tbl_WIP[Month],$C$4)</f>
        <v/>
      </c>
      <c r="E397" s="41">
        <f>C397+D397</f>
        <v/>
      </c>
      <c r="F397" s="42">
        <f>IF(ROUND(C397,2)+ROUND(D397,2)=0,"","yes")</f>
        <v/>
      </c>
      <c r="G397" s="43" t="n"/>
      <c r="H397" s="41">
        <f>IF($G397="","",$E397-$G397)</f>
        <v/>
      </c>
    </row>
    <row r="398">
      <c r="A398" s="13" t="inlineStr">
        <is>
          <t>729</t>
        </is>
      </c>
      <c r="B398" s="13" t="inlineStr">
        <is>
          <t>DTTL Consulting</t>
        </is>
      </c>
      <c r="C398" s="41">
        <f>SUMIFS(tbl_WIP[Amount],tbl_WIP[Job Number],$A398,tbl_WIP[Month],"&lt;&gt;",tbl_WIP[Month],"&lt;"&amp;$C$4)</f>
        <v/>
      </c>
      <c r="D398" s="41">
        <f>SUMIFS(tbl_WIP[Amount],tbl_WIP[Job Number],$A398,tbl_WIP[Month],$C$4)</f>
        <v/>
      </c>
      <c r="E398" s="41">
        <f>C398+D398</f>
        <v/>
      </c>
      <c r="F398" s="42">
        <f>IF(ROUND(C398,2)+ROUND(D398,2)=0,"","yes")</f>
        <v/>
      </c>
      <c r="G398" s="43" t="n"/>
      <c r="H398" s="41">
        <f>IF($G398="","",$E398-$G398)</f>
        <v/>
      </c>
    </row>
    <row r="399">
      <c r="A399" s="13" t="inlineStr">
        <is>
          <t>732</t>
        </is>
      </c>
      <c r="B399" s="13" t="inlineStr">
        <is>
          <t>Bank West Contract</t>
        </is>
      </c>
      <c r="C399" s="41">
        <f>SUMIFS(tbl_WIP[Amount],tbl_WIP[Job Number],$A399,tbl_WIP[Month],"&lt;&gt;",tbl_WIP[Month],"&lt;"&amp;$C$4)</f>
        <v/>
      </c>
      <c r="D399" s="41">
        <f>SUMIFS(tbl_WIP[Amount],tbl_WIP[Job Number],$A399,tbl_WIP[Month],$C$4)</f>
        <v/>
      </c>
      <c r="E399" s="41">
        <f>C399+D399</f>
        <v/>
      </c>
      <c r="F399" s="42">
        <f>IF(ROUND(C399,2)+ROUND(D399,2)=0,"","yes")</f>
        <v/>
      </c>
      <c r="G399" s="43" t="n"/>
      <c r="H399" s="41">
        <f>IF($G399="","",$E399-$G399)</f>
        <v/>
      </c>
    </row>
    <row r="400">
      <c r="A400" s="13" t="inlineStr">
        <is>
          <t>9000</t>
        </is>
      </c>
      <c r="B400" s="13" t="inlineStr">
        <is>
          <t>OFFICE / ADMIN</t>
        </is>
      </c>
      <c r="C400" s="41">
        <f>SUMIFS(tbl_WIP[Amount],tbl_WIP[Job Number],$A400,tbl_WIP[Month],"&lt;&gt;",tbl_WIP[Month],"&lt;"&amp;$C$4)</f>
        <v/>
      </c>
      <c r="D400" s="41">
        <f>SUMIFS(tbl_WIP[Amount],tbl_WIP[Job Number],$A400,tbl_WIP[Month],$C$4)</f>
        <v/>
      </c>
      <c r="E400" s="41">
        <f>C400+D400</f>
        <v/>
      </c>
      <c r="F400" s="42">
        <f>IF(ROUND(C400,2)+ROUND(D400,2)=0,"","yes")</f>
        <v/>
      </c>
      <c r="G400" s="43" t="n"/>
      <c r="H400" s="41">
        <f>IF($G400="","",$E400-$G400)</f>
        <v/>
      </c>
    </row>
    <row r="401">
      <c r="A401" s="13" t="inlineStr">
        <is>
          <t>9001</t>
        </is>
      </c>
      <c r="B401" s="13" t="inlineStr">
        <is>
          <t>OFFICE/ADMIN Orientation</t>
        </is>
      </c>
      <c r="C401" s="41">
        <f>SUMIFS(tbl_WIP[Amount],tbl_WIP[Job Number],$A401,tbl_WIP[Month],"&lt;&gt;",tbl_WIP[Month],"&lt;"&amp;$C$4)</f>
        <v/>
      </c>
      <c r="D401" s="41">
        <f>SUMIFS(tbl_WIP[Amount],tbl_WIP[Job Number],$A401,tbl_WIP[Month],$C$4)</f>
        <v/>
      </c>
      <c r="E401" s="41">
        <f>C401+D401</f>
        <v/>
      </c>
      <c r="F401" s="42">
        <f>IF(ROUND(C401,2)+ROUND(D401,2)=0,"","yes")</f>
        <v/>
      </c>
      <c r="G401" s="43" t="n"/>
      <c r="H401" s="41">
        <f>IF($G401="","",$E401-$G401)</f>
        <v/>
      </c>
    </row>
    <row r="402">
      <c r="A402" s="13" t="inlineStr">
        <is>
          <t>9050</t>
        </is>
      </c>
      <c r="B402" s="13" t="inlineStr">
        <is>
          <t>OFFICE ASSETS</t>
        </is>
      </c>
      <c r="C402" s="41">
        <f>SUMIFS(tbl_WIP[Amount],tbl_WIP[Job Number],$A402,tbl_WIP[Month],"&lt;&gt;",tbl_WIP[Month],"&lt;"&amp;$C$4)</f>
        <v/>
      </c>
      <c r="D402" s="41">
        <f>SUMIFS(tbl_WIP[Amount],tbl_WIP[Job Number],$A402,tbl_WIP[Month],$C$4)</f>
        <v/>
      </c>
      <c r="E402" s="41">
        <f>C402+D402</f>
        <v/>
      </c>
      <c r="F402" s="42">
        <f>IF(ROUND(C402,2)+ROUND(D402,2)=0,"","yes")</f>
        <v/>
      </c>
      <c r="G402" s="43" t="n"/>
      <c r="H402" s="41">
        <f>IF($G402="","",$E402-$G402)</f>
        <v/>
      </c>
    </row>
    <row r="403">
      <c r="A403" s="13" t="inlineStr">
        <is>
          <t>9100</t>
        </is>
      </c>
      <c r="B403" s="13" t="inlineStr">
        <is>
          <t>PRODUCTION</t>
        </is>
      </c>
      <c r="C403" s="41">
        <f>SUMIFS(tbl_WIP[Amount],tbl_WIP[Job Number],$A403,tbl_WIP[Month],"&lt;&gt;",tbl_WIP[Month],"&lt;"&amp;$C$4)</f>
        <v/>
      </c>
      <c r="D403" s="41">
        <f>SUMIFS(tbl_WIP[Amount],tbl_WIP[Job Number],$A403,tbl_WIP[Month],$C$4)</f>
        <v/>
      </c>
      <c r="E403" s="41">
        <f>C403+D403</f>
        <v/>
      </c>
      <c r="F403" s="42">
        <f>IF(ROUND(C403,2)+ROUND(D403,2)=0,"","yes")</f>
        <v/>
      </c>
      <c r="G403" s="43" t="n"/>
      <c r="H403" s="41">
        <f>IF($G403="","",$E403-$G403)</f>
        <v/>
      </c>
    </row>
    <row r="404">
      <c r="A404" s="13" t="inlineStr">
        <is>
          <t>9101</t>
        </is>
      </c>
      <c r="B404" s="13" t="inlineStr">
        <is>
          <t>PRODUCTION - Orientation</t>
        </is>
      </c>
      <c r="C404" s="41">
        <f>SUMIFS(tbl_WIP[Amount],tbl_WIP[Job Number],$A404,tbl_WIP[Month],"&lt;&gt;",tbl_WIP[Month],"&lt;"&amp;$C$4)</f>
        <v/>
      </c>
      <c r="D404" s="41">
        <f>SUMIFS(tbl_WIP[Amount],tbl_WIP[Job Number],$A404,tbl_WIP[Month],$C$4)</f>
        <v/>
      </c>
      <c r="E404" s="41">
        <f>C404+D404</f>
        <v/>
      </c>
      <c r="F404" s="42">
        <f>IF(ROUND(C404,2)+ROUND(D404,2)=0,"","yes")</f>
        <v/>
      </c>
      <c r="G404" s="43" t="n"/>
      <c r="H404" s="41">
        <f>IF($G404="","",$E404-$G404)</f>
        <v/>
      </c>
    </row>
    <row r="405">
      <c r="A405" s="13" t="inlineStr">
        <is>
          <t>9102</t>
        </is>
      </c>
      <c r="B405" s="13" t="inlineStr">
        <is>
          <t>Production - Training</t>
        </is>
      </c>
      <c r="C405" s="41">
        <f>SUMIFS(tbl_WIP[Amount],tbl_WIP[Job Number],$A405,tbl_WIP[Month],"&lt;&gt;",tbl_WIP[Month],"&lt;"&amp;$C$4)</f>
        <v/>
      </c>
      <c r="D405" s="41">
        <f>SUMIFS(tbl_WIP[Amount],tbl_WIP[Job Number],$A405,tbl_WIP[Month],$C$4)</f>
        <v/>
      </c>
      <c r="E405" s="41">
        <f>C405+D405</f>
        <v/>
      </c>
      <c r="F405" s="42">
        <f>IF(ROUND(C405,2)+ROUND(D405,2)=0,"","yes")</f>
        <v/>
      </c>
      <c r="G405" s="43" t="n"/>
      <c r="H405" s="41">
        <f>IF($G405="","",$E405-$G405)</f>
        <v/>
      </c>
    </row>
    <row r="406">
      <c r="A406" s="13" t="inlineStr">
        <is>
          <t>9105</t>
        </is>
      </c>
      <c r="B406" s="13" t="inlineStr">
        <is>
          <t>ONSITE (including PROD backup)</t>
        </is>
      </c>
      <c r="C406" s="41">
        <f>SUMIFS(tbl_WIP[Amount],tbl_WIP[Job Number],$A406,tbl_WIP[Month],"&lt;&gt;",tbl_WIP[Month],"&lt;"&amp;$C$4)</f>
        <v/>
      </c>
      <c r="D406" s="41">
        <f>SUMIFS(tbl_WIP[Amount],tbl_WIP[Job Number],$A406,tbl_WIP[Month],$C$4)</f>
        <v/>
      </c>
      <c r="E406" s="41">
        <f>C406+D406</f>
        <v/>
      </c>
      <c r="F406" s="42">
        <f>IF(ROUND(C406,2)+ROUND(D406,2)=0,"","yes")</f>
        <v/>
      </c>
      <c r="G406" s="43" t="n"/>
      <c r="H406" s="41">
        <f>IF($G406="","",$E406-$G406)</f>
        <v/>
      </c>
    </row>
    <row r="407">
      <c r="A407" s="13" t="inlineStr">
        <is>
          <t>9106</t>
        </is>
      </c>
      <c r="B407" s="13" t="inlineStr">
        <is>
          <t>ONSITE - Orientation</t>
        </is>
      </c>
      <c r="C407" s="41">
        <f>SUMIFS(tbl_WIP[Amount],tbl_WIP[Job Number],$A407,tbl_WIP[Month],"&lt;&gt;",tbl_WIP[Month],"&lt;"&amp;$C$4)</f>
        <v/>
      </c>
      <c r="D407" s="41">
        <f>SUMIFS(tbl_WIP[Amount],tbl_WIP[Job Number],$A407,tbl_WIP[Month],$C$4)</f>
        <v/>
      </c>
      <c r="E407" s="41">
        <f>C407+D407</f>
        <v/>
      </c>
      <c r="F407" s="42">
        <f>IF(ROUND(C407,2)+ROUND(D407,2)=0,"","yes")</f>
        <v/>
      </c>
      <c r="G407" s="43" t="n"/>
      <c r="H407" s="41">
        <f>IF($G407="","",$E407-$G407)</f>
        <v/>
      </c>
    </row>
    <row r="408">
      <c r="A408" s="13" t="inlineStr">
        <is>
          <t>9107</t>
        </is>
      </c>
      <c r="B408" s="13" t="inlineStr">
        <is>
          <t>ONSITE - Assets</t>
        </is>
      </c>
      <c r="C408" s="41">
        <f>SUMIFS(tbl_WIP[Amount],tbl_WIP[Job Number],$A408,tbl_WIP[Month],"&lt;&gt;",tbl_WIP[Month],"&lt;"&amp;$C$4)</f>
        <v/>
      </c>
      <c r="D408" s="41">
        <f>SUMIFS(tbl_WIP[Amount],tbl_WIP[Job Number],$A408,tbl_WIP[Month],$C$4)</f>
        <v/>
      </c>
      <c r="E408" s="41">
        <f>C408+D408</f>
        <v/>
      </c>
      <c r="F408" s="42">
        <f>IF(ROUND(C408,2)+ROUND(D408,2)=0,"","yes")</f>
        <v/>
      </c>
      <c r="G408" s="43" t="n"/>
      <c r="H408" s="41">
        <f>IF($G408="","",$E408-$G408)</f>
        <v/>
      </c>
    </row>
    <row r="409">
      <c r="A409" s="13" t="inlineStr">
        <is>
          <t>9108</t>
        </is>
      </c>
      <c r="B409" s="13" t="inlineStr">
        <is>
          <t>ONSITE - Sales</t>
        </is>
      </c>
      <c r="C409" s="41">
        <f>SUMIFS(tbl_WIP[Amount],tbl_WIP[Job Number],$A409,tbl_WIP[Month],"&lt;&gt;",tbl_WIP[Month],"&lt;"&amp;$C$4)</f>
        <v/>
      </c>
      <c r="D409" s="41">
        <f>SUMIFS(tbl_WIP[Amount],tbl_WIP[Job Number],$A409,tbl_WIP[Month],$C$4)</f>
        <v/>
      </c>
      <c r="E409" s="41">
        <f>C409+D409</f>
        <v/>
      </c>
      <c r="F409" s="42">
        <f>IF(ROUND(C409,2)+ROUND(D409,2)=0,"","yes")</f>
        <v/>
      </c>
      <c r="G409" s="43" t="n"/>
      <c r="H409" s="41">
        <f>IF($G409="","",$E409-$G409)</f>
        <v/>
      </c>
    </row>
    <row r="410">
      <c r="A410" s="13" t="inlineStr">
        <is>
          <t>9109</t>
        </is>
      </c>
      <c r="B410" s="13" t="inlineStr">
        <is>
          <t>ONSITE - Marketing</t>
        </is>
      </c>
      <c r="C410" s="41">
        <f>SUMIFS(tbl_WIP[Amount],tbl_WIP[Job Number],$A410,tbl_WIP[Month],"&lt;&gt;",tbl_WIP[Month],"&lt;"&amp;$C$4)</f>
        <v/>
      </c>
      <c r="D410" s="41">
        <f>SUMIFS(tbl_WIP[Amount],tbl_WIP[Job Number],$A410,tbl_WIP[Month],$C$4)</f>
        <v/>
      </c>
      <c r="E410" s="41">
        <f>C410+D410</f>
        <v/>
      </c>
      <c r="F410" s="42">
        <f>IF(ROUND(C410,2)+ROUND(D410,2)=0,"","yes")</f>
        <v/>
      </c>
      <c r="G410" s="43" t="n"/>
      <c r="H410" s="41">
        <f>IF($G410="","",$E410-$G410)</f>
        <v/>
      </c>
    </row>
    <row r="411">
      <c r="A411" s="13" t="inlineStr">
        <is>
          <t>9125</t>
        </is>
      </c>
      <c r="B411" s="13" t="inlineStr">
        <is>
          <t>VIDEO DEPT</t>
        </is>
      </c>
      <c r="C411" s="41">
        <f>SUMIFS(tbl_WIP[Amount],tbl_WIP[Job Number],$A411,tbl_WIP[Month],"&lt;&gt;",tbl_WIP[Month],"&lt;"&amp;$C$4)</f>
        <v/>
      </c>
      <c r="D411" s="41">
        <f>SUMIFS(tbl_WIP[Amount],tbl_WIP[Job Number],$A411,tbl_WIP[Month],$C$4)</f>
        <v/>
      </c>
      <c r="E411" s="41">
        <f>C411+D411</f>
        <v/>
      </c>
      <c r="F411" s="42">
        <f>IF(ROUND(C411,2)+ROUND(D411,2)=0,"","yes")</f>
        <v/>
      </c>
      <c r="G411" s="43" t="n"/>
      <c r="H411" s="41">
        <f>IF($G411="","",$E411-$G411)</f>
        <v/>
      </c>
    </row>
    <row r="412">
      <c r="A412" s="13" t="inlineStr">
        <is>
          <t>9126</t>
        </is>
      </c>
      <c r="B412" s="13" t="inlineStr">
        <is>
          <t>VIDEO - Orientation</t>
        </is>
      </c>
      <c r="C412" s="41">
        <f>SUMIFS(tbl_WIP[Amount],tbl_WIP[Job Number],$A412,tbl_WIP[Month],"&lt;&gt;",tbl_WIP[Month],"&lt;"&amp;$C$4)</f>
        <v/>
      </c>
      <c r="D412" s="41">
        <f>SUMIFS(tbl_WIP[Amount],tbl_WIP[Job Number],$A412,tbl_WIP[Month],$C$4)</f>
        <v/>
      </c>
      <c r="E412" s="41">
        <f>C412+D412</f>
        <v/>
      </c>
      <c r="F412" s="42">
        <f>IF(ROUND(C412,2)+ROUND(D412,2)=0,"","yes")</f>
        <v/>
      </c>
      <c r="G412" s="43" t="n"/>
      <c r="H412" s="41">
        <f>IF($G412="","",$E412-$G412)</f>
        <v/>
      </c>
    </row>
    <row r="413">
      <c r="A413" s="13" t="inlineStr">
        <is>
          <t>9127</t>
        </is>
      </c>
      <c r="B413" s="13" t="inlineStr">
        <is>
          <t>VIDEO - Assets</t>
        </is>
      </c>
      <c r="C413" s="41">
        <f>SUMIFS(tbl_WIP[Amount],tbl_WIP[Job Number],$A413,tbl_WIP[Month],"&lt;&gt;",tbl_WIP[Month],"&lt;"&amp;$C$4)</f>
        <v/>
      </c>
      <c r="D413" s="41">
        <f>SUMIFS(tbl_WIP[Amount],tbl_WIP[Job Number],$A413,tbl_WIP[Month],$C$4)</f>
        <v/>
      </c>
      <c r="E413" s="41">
        <f>C413+D413</f>
        <v/>
      </c>
      <c r="F413" s="42">
        <f>IF(ROUND(C413,2)+ROUND(D413,2)=0,"","yes")</f>
        <v/>
      </c>
      <c r="G413" s="43" t="n"/>
      <c r="H413" s="41">
        <f>IF($G413="","",$E413-$G413)</f>
        <v/>
      </c>
    </row>
    <row r="414">
      <c r="A414" s="13" t="inlineStr">
        <is>
          <t>9128</t>
        </is>
      </c>
      <c r="B414" s="13" t="inlineStr">
        <is>
          <t>VIDEO - Sales</t>
        </is>
      </c>
      <c r="C414" s="41">
        <f>SUMIFS(tbl_WIP[Amount],tbl_WIP[Job Number],$A414,tbl_WIP[Month],"&lt;&gt;",tbl_WIP[Month],"&lt;"&amp;$C$4)</f>
        <v/>
      </c>
      <c r="D414" s="41">
        <f>SUMIFS(tbl_WIP[Amount],tbl_WIP[Job Number],$A414,tbl_WIP[Month],$C$4)</f>
        <v/>
      </c>
      <c r="E414" s="41">
        <f>C414+D414</f>
        <v/>
      </c>
      <c r="F414" s="42">
        <f>IF(ROUND(C414,2)+ROUND(D414,2)=0,"","yes")</f>
        <v/>
      </c>
      <c r="G414" s="43" t="n"/>
      <c r="H414" s="41">
        <f>IF($G414="","",$E414-$G414)</f>
        <v/>
      </c>
    </row>
    <row r="415">
      <c r="A415" s="13" t="inlineStr">
        <is>
          <t>9129</t>
        </is>
      </c>
      <c r="B415" s="13" t="inlineStr">
        <is>
          <t>VIDEO - Marketing</t>
        </is>
      </c>
      <c r="C415" s="41">
        <f>SUMIFS(tbl_WIP[Amount],tbl_WIP[Job Number],$A415,tbl_WIP[Month],"&lt;&gt;",tbl_WIP[Month],"&lt;"&amp;$C$4)</f>
        <v/>
      </c>
      <c r="D415" s="41">
        <f>SUMIFS(tbl_WIP[Amount],tbl_WIP[Job Number],$A415,tbl_WIP[Month],$C$4)</f>
        <v/>
      </c>
      <c r="E415" s="41">
        <f>C415+D415</f>
        <v/>
      </c>
      <c r="F415" s="42">
        <f>IF(ROUND(C415,2)+ROUND(D415,2)=0,"","yes")</f>
        <v/>
      </c>
      <c r="G415" s="43" t="n"/>
      <c r="H415" s="41">
        <f>IF($G415="","",$E415-$G415)</f>
        <v/>
      </c>
    </row>
    <row r="416">
      <c r="A416" s="13" t="inlineStr">
        <is>
          <t>9150</t>
        </is>
      </c>
      <c r="B416" s="13" t="inlineStr">
        <is>
          <t>PRODUCTION - Assets</t>
        </is>
      </c>
      <c r="C416" s="41">
        <f>SUMIFS(tbl_WIP[Amount],tbl_WIP[Job Number],$A416,tbl_WIP[Month],"&lt;&gt;",tbl_WIP[Month],"&lt;"&amp;$C$4)</f>
        <v/>
      </c>
      <c r="D416" s="41">
        <f>SUMIFS(tbl_WIP[Amount],tbl_WIP[Job Number],$A416,tbl_WIP[Month],$C$4)</f>
        <v/>
      </c>
      <c r="E416" s="41">
        <f>C416+D416</f>
        <v/>
      </c>
      <c r="F416" s="42">
        <f>IF(ROUND(C416,2)+ROUND(D416,2)=0,"","yes")</f>
        <v/>
      </c>
      <c r="G416" s="43" t="n"/>
      <c r="H416" s="41">
        <f>IF($G416="","",$E416-$G416)</f>
        <v/>
      </c>
    </row>
    <row r="417">
      <c r="A417" s="13" t="inlineStr">
        <is>
          <t>9175</t>
        </is>
      </c>
      <c r="B417" s="13" t="inlineStr">
        <is>
          <t>PRODUCTION - Sales</t>
        </is>
      </c>
      <c r="C417" s="41">
        <f>SUMIFS(tbl_WIP[Amount],tbl_WIP[Job Number],$A417,tbl_WIP[Month],"&lt;&gt;",tbl_WIP[Month],"&lt;"&amp;$C$4)</f>
        <v/>
      </c>
      <c r="D417" s="41">
        <f>SUMIFS(tbl_WIP[Amount],tbl_WIP[Job Number],$A417,tbl_WIP[Month],$C$4)</f>
        <v/>
      </c>
      <c r="E417" s="41">
        <f>C417+D417</f>
        <v/>
      </c>
      <c r="F417" s="42">
        <f>IF(ROUND(C417,2)+ROUND(D417,2)=0,"","yes")</f>
        <v/>
      </c>
      <c r="G417" s="43" t="n"/>
      <c r="H417" s="41">
        <f>IF($G417="","",$E417-$G417)</f>
        <v/>
      </c>
    </row>
    <row r="418">
      <c r="A418" s="13" t="inlineStr">
        <is>
          <t>9176</t>
        </is>
      </c>
      <c r="B418" s="13" t="inlineStr">
        <is>
          <t>Production - Marketing</t>
        </is>
      </c>
      <c r="C418" s="41">
        <f>SUMIFS(tbl_WIP[Amount],tbl_WIP[Job Number],$A418,tbl_WIP[Month],"&lt;&gt;",tbl_WIP[Month],"&lt;"&amp;$C$4)</f>
        <v/>
      </c>
      <c r="D418" s="41">
        <f>SUMIFS(tbl_WIP[Amount],tbl_WIP[Job Number],$A418,tbl_WIP[Month],$C$4)</f>
        <v/>
      </c>
      <c r="E418" s="41">
        <f>C418+D418</f>
        <v/>
      </c>
      <c r="F418" s="42">
        <f>IF(ROUND(C418,2)+ROUND(D418,2)=0,"","yes")</f>
        <v/>
      </c>
      <c r="G418" s="43" t="n"/>
      <c r="H418" s="41">
        <f>IF($G418="","",$E418-$G418)</f>
        <v/>
      </c>
    </row>
    <row r="419">
      <c r="A419" s="13" t="inlineStr">
        <is>
          <t>9178</t>
        </is>
      </c>
      <c r="B419" s="13" t="inlineStr">
        <is>
          <t>Production – Webcasts</t>
        </is>
      </c>
      <c r="C419" s="41">
        <f>SUMIFS(tbl_WIP[Amount],tbl_WIP[Job Number],$A419,tbl_WIP[Month],"&lt;&gt;",tbl_WIP[Month],"&lt;"&amp;$C$4)</f>
        <v/>
      </c>
      <c r="D419" s="41">
        <f>SUMIFS(tbl_WIP[Amount],tbl_WIP[Job Number],$A419,tbl_WIP[Month],$C$4)</f>
        <v/>
      </c>
      <c r="E419" s="41">
        <f>C419+D419</f>
        <v/>
      </c>
      <c r="F419" s="42">
        <f>IF(ROUND(C419,2)+ROUND(D419,2)=0,"","yes")</f>
        <v/>
      </c>
      <c r="G419" s="43" t="n"/>
      <c r="H419" s="41">
        <f>IF($G419="","",$E419-$G419)</f>
        <v/>
      </c>
    </row>
    <row r="420">
      <c r="A420" s="13" t="inlineStr">
        <is>
          <t>9200</t>
        </is>
      </c>
      <c r="B420" s="13" t="inlineStr">
        <is>
          <t>INTEGRATION</t>
        </is>
      </c>
      <c r="C420" s="41">
        <f>SUMIFS(tbl_WIP[Amount],tbl_WIP[Job Number],$A420,tbl_WIP[Month],"&lt;&gt;",tbl_WIP[Month],"&lt;"&amp;$C$4)</f>
        <v/>
      </c>
      <c r="D420" s="41">
        <f>SUMIFS(tbl_WIP[Amount],tbl_WIP[Job Number],$A420,tbl_WIP[Month],$C$4)</f>
        <v/>
      </c>
      <c r="E420" s="41">
        <f>C420+D420</f>
        <v/>
      </c>
      <c r="F420" s="42">
        <f>IF(ROUND(C420,2)+ROUND(D420,2)=0,"","yes")</f>
        <v/>
      </c>
      <c r="G420" s="43" t="n"/>
      <c r="H420" s="41">
        <f>IF($G420="","",$E420-$G420)</f>
        <v/>
      </c>
    </row>
    <row r="421">
      <c r="A421" s="13" t="inlineStr">
        <is>
          <t>9201</t>
        </is>
      </c>
      <c r="B421" s="13" t="inlineStr">
        <is>
          <t>INTEGRATION - Orientation [INT</t>
        </is>
      </c>
      <c r="C421" s="41">
        <f>SUMIFS(tbl_WIP[Amount],tbl_WIP[Job Number],$A421,tbl_WIP[Month],"&lt;&gt;",tbl_WIP[Month],"&lt;"&amp;$C$4)</f>
        <v/>
      </c>
      <c r="D421" s="41">
        <f>SUMIFS(tbl_WIP[Amount],tbl_WIP[Job Number],$A421,tbl_WIP[Month],$C$4)</f>
        <v/>
      </c>
      <c r="E421" s="41">
        <f>C421+D421</f>
        <v/>
      </c>
      <c r="F421" s="42">
        <f>IF(ROUND(C421,2)+ROUND(D421,2)=0,"","yes")</f>
        <v/>
      </c>
      <c r="G421" s="43" t="n"/>
      <c r="H421" s="41">
        <f>IF($G421="","",$E421-$G421)</f>
        <v/>
      </c>
    </row>
    <row r="422">
      <c r="A422" s="13" t="inlineStr">
        <is>
          <t>9202</t>
        </is>
      </c>
      <c r="B422" s="13" t="inlineStr">
        <is>
          <t>INTEGRATION - Quotes</t>
        </is>
      </c>
      <c r="C422" s="41">
        <f>SUMIFS(tbl_WIP[Amount],tbl_WIP[Job Number],$A422,tbl_WIP[Month],"&lt;&gt;",tbl_WIP[Month],"&lt;"&amp;$C$4)</f>
        <v/>
      </c>
      <c r="D422" s="41">
        <f>SUMIFS(tbl_WIP[Amount],tbl_WIP[Job Number],$A422,tbl_WIP[Month],$C$4)</f>
        <v/>
      </c>
      <c r="E422" s="41">
        <f>C422+D422</f>
        <v/>
      </c>
      <c r="F422" s="42">
        <f>IF(ROUND(C422,2)+ROUND(D422,2)=0,"","yes")</f>
        <v/>
      </c>
      <c r="G422" s="43" t="n"/>
      <c r="H422" s="41">
        <f>IF($G422="","",$E422-$G422)</f>
        <v/>
      </c>
    </row>
    <row r="423">
      <c r="A423" s="13" t="inlineStr">
        <is>
          <t>9225</t>
        </is>
      </c>
      <c r="B423" s="13" t="inlineStr">
        <is>
          <t>Integration - SALES</t>
        </is>
      </c>
      <c r="C423" s="41">
        <f>SUMIFS(tbl_WIP[Amount],tbl_WIP[Job Number],$A423,tbl_WIP[Month],"&lt;&gt;",tbl_WIP[Month],"&lt;"&amp;$C$4)</f>
        <v/>
      </c>
      <c r="D423" s="41">
        <f>SUMIFS(tbl_WIP[Amount],tbl_WIP[Job Number],$A423,tbl_WIP[Month],$C$4)</f>
        <v/>
      </c>
      <c r="E423" s="41">
        <f>C423+D423</f>
        <v/>
      </c>
      <c r="F423" s="42">
        <f>IF(ROUND(C423,2)+ROUND(D423,2)=0,"","yes")</f>
        <v/>
      </c>
      <c r="G423" s="43" t="n"/>
      <c r="H423" s="41">
        <f>IF($G423="","",$E423-$G423)</f>
        <v/>
      </c>
    </row>
    <row r="424">
      <c r="A424" s="13" t="inlineStr">
        <is>
          <t>9226</t>
        </is>
      </c>
      <c r="B424" s="13" t="inlineStr">
        <is>
          <t>Integration - Marketing</t>
        </is>
      </c>
      <c r="C424" s="41">
        <f>SUMIFS(tbl_WIP[Amount],tbl_WIP[Job Number],$A424,tbl_WIP[Month],"&lt;&gt;",tbl_WIP[Month],"&lt;"&amp;$C$4)</f>
        <v/>
      </c>
      <c r="D424" s="41">
        <f>SUMIFS(tbl_WIP[Amount],tbl_WIP[Job Number],$A424,tbl_WIP[Month],$C$4)</f>
        <v/>
      </c>
      <c r="E424" s="41">
        <f>C424+D424</f>
        <v/>
      </c>
      <c r="F424" s="42">
        <f>IF(ROUND(C424,2)+ROUND(D424,2)=0,"","yes")</f>
        <v/>
      </c>
      <c r="G424" s="43" t="n"/>
      <c r="H424" s="41">
        <f>IF($G424="","",$E424-$G424)</f>
        <v/>
      </c>
    </row>
    <row r="425">
      <c r="A425" s="13" t="inlineStr">
        <is>
          <t>9300</t>
        </is>
      </c>
      <c r="B425" s="13" t="inlineStr">
        <is>
          <t>HUMAN RESOURCES</t>
        </is>
      </c>
      <c r="C425" s="41">
        <f>SUMIFS(tbl_WIP[Amount],tbl_WIP[Job Number],$A425,tbl_WIP[Month],"&lt;&gt;",tbl_WIP[Month],"&lt;"&amp;$C$4)</f>
        <v/>
      </c>
      <c r="D425" s="41">
        <f>SUMIFS(tbl_WIP[Amount],tbl_WIP[Job Number],$A425,tbl_WIP[Month],$C$4)</f>
        <v/>
      </c>
      <c r="E425" s="41">
        <f>C425+D425</f>
        <v/>
      </c>
      <c r="F425" s="42">
        <f>IF(ROUND(C425,2)+ROUND(D425,2)=0,"","yes")</f>
        <v/>
      </c>
      <c r="G425" s="43" t="n"/>
      <c r="H425" s="41">
        <f>IF($G425="","",$E425-$G425)</f>
        <v/>
      </c>
    </row>
    <row r="426">
      <c r="A426" s="13" t="inlineStr">
        <is>
          <t>9301</t>
        </is>
      </c>
      <c r="B426" s="13" t="inlineStr">
        <is>
          <t>Recruitment</t>
        </is>
      </c>
      <c r="C426" s="41">
        <f>SUMIFS(tbl_WIP[Amount],tbl_WIP[Job Number],$A426,tbl_WIP[Month],"&lt;&gt;",tbl_WIP[Month],"&lt;"&amp;$C$4)</f>
        <v/>
      </c>
      <c r="D426" s="41">
        <f>SUMIFS(tbl_WIP[Amount],tbl_WIP[Job Number],$A426,tbl_WIP[Month],$C$4)</f>
        <v/>
      </c>
      <c r="E426" s="41">
        <f>C426+D426</f>
        <v/>
      </c>
      <c r="F426" s="42">
        <f>IF(ROUND(C426,2)+ROUND(D426,2)=0,"","yes")</f>
        <v/>
      </c>
      <c r="G426" s="43" t="n"/>
      <c r="H426" s="41">
        <f>IF($G426="","",$E426-$G426)</f>
        <v/>
      </c>
    </row>
    <row r="427">
      <c r="A427" s="13" t="inlineStr">
        <is>
          <t>9350</t>
        </is>
      </c>
      <c r="B427" s="13" t="inlineStr">
        <is>
          <t>MARKETING (external)</t>
        </is>
      </c>
      <c r="C427" s="41">
        <f>SUMIFS(tbl_WIP[Amount],tbl_WIP[Job Number],$A427,tbl_WIP[Month],"&lt;&gt;",tbl_WIP[Month],"&lt;"&amp;$C$4)</f>
        <v/>
      </c>
      <c r="D427" s="41">
        <f>SUMIFS(tbl_WIP[Amount],tbl_WIP[Job Number],$A427,tbl_WIP[Month],$C$4)</f>
        <v/>
      </c>
      <c r="E427" s="41">
        <f>C427+D427</f>
        <v/>
      </c>
      <c r="F427" s="42">
        <f>IF(ROUND(C427,2)+ROUND(D427,2)=0,"","yes")</f>
        <v/>
      </c>
      <c r="G427" s="43" t="n"/>
      <c r="H427" s="41">
        <f>IF($G427="","",$E427-$G427)</f>
        <v/>
      </c>
    </row>
    <row r="428">
      <c r="A428" s="13" t="inlineStr">
        <is>
          <t>9375</t>
        </is>
      </c>
      <c r="B428" s="13" t="inlineStr">
        <is>
          <t>MARKETING / COMMS</t>
        </is>
      </c>
      <c r="C428" s="41">
        <f>SUMIFS(tbl_WIP[Amount],tbl_WIP[Job Number],$A428,tbl_WIP[Month],"&lt;&gt;",tbl_WIP[Month],"&lt;"&amp;$C$4)</f>
        <v/>
      </c>
      <c r="D428" s="41">
        <f>SUMIFS(tbl_WIP[Amount],tbl_WIP[Job Number],$A428,tbl_WIP[Month],$C$4)</f>
        <v/>
      </c>
      <c r="E428" s="41">
        <f>C428+D428</f>
        <v/>
      </c>
      <c r="F428" s="42">
        <f>IF(ROUND(C428,2)+ROUND(D428,2)=0,"","yes")</f>
        <v/>
      </c>
      <c r="G428" s="43" t="n"/>
      <c r="H428" s="41">
        <f>IF($G428="","",$E428-$G428)</f>
        <v/>
      </c>
    </row>
    <row r="429">
      <c r="A429" s="13" t="inlineStr">
        <is>
          <t>9400</t>
        </is>
      </c>
      <c r="B429" s="13" t="inlineStr">
        <is>
          <t>CONSULTING</t>
        </is>
      </c>
      <c r="C429" s="41">
        <f>SUMIFS(tbl_WIP[Amount],tbl_WIP[Job Number],$A429,tbl_WIP[Month],"&lt;&gt;",tbl_WIP[Month],"&lt;"&amp;$C$4)</f>
        <v/>
      </c>
      <c r="D429" s="41">
        <f>SUMIFS(tbl_WIP[Amount],tbl_WIP[Job Number],$A429,tbl_WIP[Month],$C$4)</f>
        <v/>
      </c>
      <c r="E429" s="41">
        <f>C429+D429</f>
        <v/>
      </c>
      <c r="F429" s="42">
        <f>IF(ROUND(C429,2)+ROUND(D429,2)=0,"","yes")</f>
        <v/>
      </c>
      <c r="G429" s="43" t="n"/>
      <c r="H429" s="41">
        <f>IF($G429="","",$E429-$G429)</f>
        <v/>
      </c>
    </row>
    <row r="430">
      <c r="A430" s="13" t="inlineStr">
        <is>
          <t>9402</t>
        </is>
      </c>
      <c r="B430" s="13" t="inlineStr">
        <is>
          <t>CONSULTING - Assets</t>
        </is>
      </c>
      <c r="C430" s="41">
        <f>SUMIFS(tbl_WIP[Amount],tbl_WIP[Job Number],$A430,tbl_WIP[Month],"&lt;&gt;",tbl_WIP[Month],"&lt;"&amp;$C$4)</f>
        <v/>
      </c>
      <c r="D430" s="41">
        <f>SUMIFS(tbl_WIP[Amount],tbl_WIP[Job Number],$A430,tbl_WIP[Month],$C$4)</f>
        <v/>
      </c>
      <c r="E430" s="41">
        <f>C430+D430</f>
        <v/>
      </c>
      <c r="F430" s="42">
        <f>IF(ROUND(C430,2)+ROUND(D430,2)=0,"","yes")</f>
        <v/>
      </c>
      <c r="G430" s="43" t="n"/>
      <c r="H430" s="41">
        <f>IF($G430="","",$E430-$G430)</f>
        <v/>
      </c>
    </row>
    <row r="431">
      <c r="A431" s="13" t="inlineStr">
        <is>
          <t>9403</t>
        </is>
      </c>
      <c r="B431" s="13" t="inlineStr">
        <is>
          <t>CONSULTING - Sales</t>
        </is>
      </c>
      <c r="C431" s="41">
        <f>SUMIFS(tbl_WIP[Amount],tbl_WIP[Job Number],$A431,tbl_WIP[Month],"&lt;&gt;",tbl_WIP[Month],"&lt;"&amp;$C$4)</f>
        <v/>
      </c>
      <c r="D431" s="41">
        <f>SUMIFS(tbl_WIP[Amount],tbl_WIP[Job Number],$A431,tbl_WIP[Month],$C$4)</f>
        <v/>
      </c>
      <c r="E431" s="41">
        <f>C431+D431</f>
        <v/>
      </c>
      <c r="F431" s="42">
        <f>IF(ROUND(C431,2)+ROUND(D431,2)=0,"","yes")</f>
        <v/>
      </c>
      <c r="G431" s="43" t="n"/>
      <c r="H431" s="41">
        <f>IF($G431="","",$E431-$G431)</f>
        <v/>
      </c>
    </row>
    <row r="432">
      <c r="A432" s="13" t="inlineStr">
        <is>
          <t>9405</t>
        </is>
      </c>
      <c r="B432" s="13" t="inlineStr">
        <is>
          <t>CONSULTING - Marketing</t>
        </is>
      </c>
      <c r="C432" s="41">
        <f>SUMIFS(tbl_WIP[Amount],tbl_WIP[Job Number],$A432,tbl_WIP[Month],"&lt;&gt;",tbl_WIP[Month],"&lt;"&amp;$C$4)</f>
        <v/>
      </c>
      <c r="D432" s="41">
        <f>SUMIFS(tbl_WIP[Amount],tbl_WIP[Job Number],$A432,tbl_WIP[Month],$C$4)</f>
        <v/>
      </c>
      <c r="E432" s="41">
        <f>C432+D432</f>
        <v/>
      </c>
      <c r="F432" s="42">
        <f>IF(ROUND(C432,2)+ROUND(D432,2)=0,"","yes")</f>
        <v/>
      </c>
      <c r="G432" s="43" t="n"/>
      <c r="H432" s="41">
        <f>IF($G432="","",$E432-$G432)</f>
        <v/>
      </c>
    </row>
    <row r="433">
      <c r="A433" s="13" t="inlineStr">
        <is>
          <t>9407</t>
        </is>
      </c>
      <c r="B433" s="13" t="inlineStr">
        <is>
          <t>CONSULTING - Training</t>
        </is>
      </c>
      <c r="C433" s="41">
        <f>SUMIFS(tbl_WIP[Amount],tbl_WIP[Job Number],$A433,tbl_WIP[Month],"&lt;&gt;",tbl_WIP[Month],"&lt;"&amp;$C$4)</f>
        <v/>
      </c>
      <c r="D433" s="41">
        <f>SUMIFS(tbl_WIP[Amount],tbl_WIP[Job Number],$A433,tbl_WIP[Month],$C$4)</f>
        <v/>
      </c>
      <c r="E433" s="41">
        <f>C433+D433</f>
        <v/>
      </c>
      <c r="F433" s="42">
        <f>IF(ROUND(C433,2)+ROUND(D433,2)=0,"","yes")</f>
        <v/>
      </c>
      <c r="G433" s="43" t="n"/>
      <c r="H433" s="41">
        <f>IF($G433="","",$E433-$G433)</f>
        <v/>
      </c>
    </row>
    <row r="434">
      <c r="A434" s="13" t="inlineStr">
        <is>
          <t>974</t>
        </is>
      </c>
      <c r="B434" s="13" t="inlineStr">
        <is>
          <t>DTTL 1300 Number</t>
        </is>
      </c>
      <c r="C434" s="41">
        <f>SUMIFS(tbl_WIP[Amount],tbl_WIP[Job Number],$A434,tbl_WIP[Month],"&lt;&gt;",tbl_WIP[Month],"&lt;"&amp;$C$4)</f>
        <v/>
      </c>
      <c r="D434" s="41">
        <f>SUMIFS(tbl_WIP[Amount],tbl_WIP[Job Number],$A434,tbl_WIP[Month],$C$4)</f>
        <v/>
      </c>
      <c r="E434" s="41">
        <f>C434+D434</f>
        <v/>
      </c>
      <c r="F434" s="42">
        <f>IF(ROUND(C434,2)+ROUND(D434,2)=0,"","yes")</f>
        <v/>
      </c>
      <c r="G434" s="43" t="n"/>
      <c r="H434" s="41">
        <f>IF($G434="","",$E434-$G434)</f>
        <v/>
      </c>
    </row>
  </sheetData>
  <autoFilter ref="A11:H434"/>
  <conditionalFormatting sqref="H12:H434">
    <cfRule type="expression" priority="1" dxfId="1">
      <formula>AND(H12&lt;&gt;"",ROUND(H12,2)&lt;&gt;0)</formula>
    </cfRule>
  </conditionalFormatting>
  <pageMargins left="0.75" right="0.75" top="1" bottom="1" header="0.5" footer="0.5"/>
</worksheet>
</file>

<file path=xl/worksheets/sheet5.xml><?xml version="1.0" encoding="utf-8"?>
<worksheet xmlns="http://schemas.openxmlformats.org/spreadsheetml/2006/main">
  <sheetPr>
    <tabColor rgb="005B708A"/>
    <outlinePr summaryBelow="1" summaryRight="1"/>
    <pageSetUpPr/>
  </sheetPr>
  <dimension ref="A1:L43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40" customWidth="1" min="3" max="3"/>
    <col width="24" customWidth="1" min="4" max="4"/>
    <col width="10" customWidth="1" min="5" max="5"/>
    <col width="16" customWidth="1" min="6" max="6"/>
    <col width="16" customWidth="1" min="7" max="7"/>
    <col width="18" customWidth="1" min="8" max="8"/>
    <col width="15" customWidth="1" min="9" max="9"/>
    <col width="13" customWidth="1" min="10" max="10"/>
    <col width="16" customWidth="1" min="11" max="11"/>
    <col width="40" customWidth="1" min="12" max="12"/>
  </cols>
  <sheetData>
    <row r="1" ht="24" customHeight="1">
      <c r="A1" s="8" t="inlineStr">
        <is>
          <t>Onsite - Job Detail</t>
        </is>
      </c>
    </row>
    <row r="2" ht="16" customHeight="1">
      <c r="A2" s="2" t="inlineStr">
        <is>
          <t>Onsite / Support jobs. One row per job number. Client, invoice count and revenue come from the Finance sheet - fill in the columns from PO / Reference onwards.</t>
        </is>
      </c>
    </row>
    <row r="3" ht="6" customHeight="1"/>
    <row r="4" ht="34" customHeight="1">
      <c r="A4" s="9" t="inlineStr">
        <is>
          <t>Job Number</t>
        </is>
      </c>
      <c r="B4" s="10" t="inlineStr">
        <is>
          <t>Job in Xero?</t>
        </is>
      </c>
      <c r="C4" s="10" t="inlineStr">
        <is>
          <t>Job Name (Xero)</t>
        </is>
      </c>
      <c r="D4" s="10" t="inlineStr">
        <is>
          <t>Client</t>
        </is>
      </c>
      <c r="E4" s="10" t="inlineStr">
        <is>
          <t>Invoices</t>
        </is>
      </c>
      <c r="F4" s="10" t="inlineStr">
        <is>
          <t>Revenue Ex GST</t>
        </is>
      </c>
      <c r="G4" s="10" t="inlineStr">
        <is>
          <t>Cost Centres</t>
        </is>
      </c>
      <c r="H4" s="9" t="inlineStr">
        <is>
          <t>PO / Reference</t>
        </is>
      </c>
      <c r="I4" s="9" t="inlineStr">
        <is>
          <t>Ariba Status</t>
        </is>
      </c>
      <c r="J4" s="9" t="inlineStr">
        <is>
          <t>Billable Hours</t>
        </is>
      </c>
      <c r="K4" s="9" t="inlineStr">
        <is>
          <t>Approved By</t>
        </is>
      </c>
      <c r="L4" s="9" t="inlineStr">
        <is>
          <t>Notes</t>
        </is>
      </c>
    </row>
    <row r="5" ht="15" customHeight="1">
      <c r="A5" s="13" t="inlineStr">
        <is>
          <t>1350</t>
        </is>
      </c>
      <c r="B5" s="14">
        <f>IF(A5="","",IF(COUNTIF(lst_Jobs,A5&amp;"")&gt;0,"OK","CHECK"))</f>
        <v/>
      </c>
      <c r="C5" s="14">
        <f>IF(A5="","",IFERROR(INDEX(lst_JobName,MATCH(A5&amp;"",lst_Jobs,0)),""))</f>
        <v/>
      </c>
      <c r="D5" s="14">
        <f>IF(A5="","",IFERROR(INDEX(tbl_Finance[Client],MATCH(A5&amp;"",tbl_Finance[Job Number],0)),""))</f>
        <v/>
      </c>
      <c r="E5" s="44">
        <f>IF(A5="","",COUNTIFS(tbl_Finance[Job Number],A5&amp;"",tbl_Finance[Ex GST],"&lt;&gt;"))</f>
        <v/>
      </c>
      <c r="F5" s="16">
        <f>IF(A5="","",SUMIFS(tbl_Finance[Ex GST],tbl_Finance[Job Number],A5&amp;""))</f>
        <v/>
      </c>
      <c r="G5" s="14">
        <f>IF(A5="","",IFERROR(INDEX(tbl_Finance[Cost Centre],MATCH(A5&amp;"",tbl_Finance[Job Number],0)),"not invoiced yet"))</f>
        <v/>
      </c>
      <c r="H5" s="13" t="n"/>
      <c r="I5" s="13" t="n"/>
      <c r="J5" s="45" t="n"/>
      <c r="K5" s="13" t="n"/>
      <c r="L5" s="13" t="inlineStr">
        <is>
          <t>174.05 hours</t>
        </is>
      </c>
    </row>
    <row r="6" ht="15" customHeight="1">
      <c r="A6" s="13" t="inlineStr">
        <is>
          <t>585/586/1755</t>
        </is>
      </c>
      <c r="B6" s="14">
        <f>IF(A6="","",IF(COUNTIF(lst_Jobs,A6&amp;"")&gt;0,"OK","CHECK"))</f>
        <v/>
      </c>
      <c r="C6" s="14">
        <f>IF(A6="","",IFERROR(INDEX(lst_JobName,MATCH(A6&amp;"",lst_Jobs,0)),""))</f>
        <v/>
      </c>
      <c r="D6" s="14">
        <f>IF(A6="","",IFERROR(INDEX(tbl_Finance[Client],MATCH(A6&amp;"",tbl_Finance[Job Number],0)),""))</f>
        <v/>
      </c>
      <c r="E6" s="44">
        <f>IF(A6="","",COUNTIFS(tbl_Finance[Job Number],A6&amp;"",tbl_Finance[Ex GST],"&lt;&gt;"))</f>
        <v/>
      </c>
      <c r="F6" s="16">
        <f>IF(A6="","",SUMIFS(tbl_Finance[Ex GST],tbl_Finance[Job Number],A6&amp;""))</f>
        <v/>
      </c>
      <c r="G6" s="14">
        <f>IF(A6="","",IFERROR(INDEX(tbl_Finance[Cost Centre],MATCH(A6&amp;"",tbl_Finance[Job Number],0)),"not invoiced yet"))</f>
        <v/>
      </c>
      <c r="H6" s="13" t="n"/>
      <c r="I6" s="13" t="n"/>
      <c r="J6" s="45" t="n"/>
      <c r="K6" s="13" t="n"/>
      <c r="L6" s="13" t="inlineStr">
        <is>
          <t>Deduct 3hrs for TN 01/07 &amp; 6hrs for NP 14/07</t>
        </is>
      </c>
    </row>
    <row r="7" ht="15" customHeight="1">
      <c r="A7" s="13" t="inlineStr">
        <is>
          <t>587</t>
        </is>
      </c>
      <c r="B7" s="14">
        <f>IF(A7="","",IF(COUNTIF(lst_Jobs,A7&amp;"")&gt;0,"OK","CHECK"))</f>
        <v/>
      </c>
      <c r="C7" s="14">
        <f>IF(A7="","",IFERROR(INDEX(lst_JobName,MATCH(A7&amp;"",lst_Jobs,0)),""))</f>
        <v/>
      </c>
      <c r="D7" s="14">
        <f>IF(A7="","",IFERROR(INDEX(tbl_Finance[Client],MATCH(A7&amp;"",tbl_Finance[Job Number],0)),""))</f>
        <v/>
      </c>
      <c r="E7" s="44">
        <f>IF(A7="","",COUNTIFS(tbl_Finance[Job Number],A7&amp;"",tbl_Finance[Ex GST],"&lt;&gt;"))</f>
        <v/>
      </c>
      <c r="F7" s="16">
        <f>IF(A7="","",SUMIFS(tbl_Finance[Ex GST],tbl_Finance[Job Number],A7&amp;""))</f>
        <v/>
      </c>
      <c r="G7" s="14">
        <f>IF(A7="","",IFERROR(INDEX(tbl_Finance[Cost Centre],MATCH(A7&amp;"",tbl_Finance[Job Number],0)),"not invoiced yet"))</f>
        <v/>
      </c>
      <c r="H7" s="13" t="n"/>
      <c r="I7" s="13" t="n"/>
      <c r="J7" s="45" t="n"/>
      <c r="K7" s="13" t="n"/>
      <c r="L7" s="13" t="n"/>
    </row>
    <row r="8" ht="15" customHeight="1">
      <c r="A8" s="13" t="inlineStr">
        <is>
          <t>2846/1401/725/1400/1530/1862/2402/2849/974</t>
        </is>
      </c>
      <c r="B8" s="14">
        <f>IF(A8="","",IF(COUNTIF(lst_Jobs,A8&amp;"")&gt;0,"OK","CHECK"))</f>
        <v/>
      </c>
      <c r="C8" s="14">
        <f>IF(A8="","",IFERROR(INDEX(lst_JobName,MATCH(A8&amp;"",lst_Jobs,0)),""))</f>
        <v/>
      </c>
      <c r="D8" s="14">
        <f>IF(A8="","",IFERROR(INDEX(tbl_Finance[Client],MATCH(A8&amp;"",tbl_Finance[Job Number],0)),""))</f>
        <v/>
      </c>
      <c r="E8" s="44">
        <f>IF(A8="","",COUNTIFS(tbl_Finance[Job Number],A8&amp;"",tbl_Finance[Ex GST],"&lt;&gt;"))</f>
        <v/>
      </c>
      <c r="F8" s="16">
        <f>IF(A8="","",SUMIFS(tbl_Finance[Ex GST],tbl_Finance[Job Number],A8&amp;""))</f>
        <v/>
      </c>
      <c r="G8" s="14">
        <f>IF(A8="","",IFERROR(INDEX(tbl_Finance[Cost Centre],MATCH(A8&amp;"",tbl_Finance[Job Number],0)),"not invoiced yet"))</f>
        <v/>
      </c>
      <c r="H8" s="13" t="n"/>
      <c r="I8" s="13" t="n"/>
      <c r="J8" s="45" t="n"/>
      <c r="K8" s="13" t="n"/>
      <c r="L8" s="13" t="n"/>
    </row>
    <row r="9" ht="15" customHeight="1">
      <c r="A9" s="13" t="inlineStr">
        <is>
          <t>732/1144</t>
        </is>
      </c>
      <c r="B9" s="14">
        <f>IF(A9="","",IF(COUNTIF(lst_Jobs,A9&amp;"")&gt;0,"OK","CHECK"))</f>
        <v/>
      </c>
      <c r="C9" s="14">
        <f>IF(A9="","",IFERROR(INDEX(lst_JobName,MATCH(A9&amp;"",lst_Jobs,0)),""))</f>
        <v/>
      </c>
      <c r="D9" s="14">
        <f>IF(A9="","",IFERROR(INDEX(tbl_Finance[Client],MATCH(A9&amp;"",tbl_Finance[Job Number],0)),""))</f>
        <v/>
      </c>
      <c r="E9" s="44">
        <f>IF(A9="","",COUNTIFS(tbl_Finance[Job Number],A9&amp;"",tbl_Finance[Ex GST],"&lt;&gt;"))</f>
        <v/>
      </c>
      <c r="F9" s="16">
        <f>IF(A9="","",SUMIFS(tbl_Finance[Ex GST],tbl_Finance[Job Number],A9&amp;""))</f>
        <v/>
      </c>
      <c r="G9" s="14">
        <f>IF(A9="","",IFERROR(INDEX(tbl_Finance[Cost Centre],MATCH(A9&amp;"",tbl_Finance[Job Number],0)),"not invoiced yet"))</f>
        <v/>
      </c>
      <c r="H9" s="13" t="n"/>
      <c r="I9" s="13" t="n"/>
      <c r="J9" s="45" t="n"/>
      <c r="K9" s="13" t="n"/>
      <c r="L9" s="13" t="n"/>
    </row>
    <row r="10" ht="15" customHeight="1">
      <c r="A10" s="13" t="inlineStr">
        <is>
          <t>2192</t>
        </is>
      </c>
      <c r="B10" s="14">
        <f>IF(A10="","",IF(COUNTIF(lst_Jobs,A10&amp;"")&gt;0,"OK","CHECK"))</f>
        <v/>
      </c>
      <c r="C10" s="14">
        <f>IF(A10="","",IFERROR(INDEX(lst_JobName,MATCH(A10&amp;"",lst_Jobs,0)),""))</f>
        <v/>
      </c>
      <c r="D10" s="14">
        <f>IF(A10="","",IFERROR(INDEX(tbl_Finance[Client],MATCH(A10&amp;"",tbl_Finance[Job Number],0)),""))</f>
        <v/>
      </c>
      <c r="E10" s="44">
        <f>IF(A10="","",COUNTIFS(tbl_Finance[Job Number],A10&amp;"",tbl_Finance[Ex GST],"&lt;&gt;"))</f>
        <v/>
      </c>
      <c r="F10" s="16">
        <f>IF(A10="","",SUMIFS(tbl_Finance[Ex GST],tbl_Finance[Job Number],A10&amp;""))</f>
        <v/>
      </c>
      <c r="G10" s="14">
        <f>IF(A10="","",IFERROR(INDEX(tbl_Finance[Cost Centre],MATCH(A10&amp;"",tbl_Finance[Job Number],0)),"not invoiced yet"))</f>
        <v/>
      </c>
      <c r="H10" s="13" t="n"/>
      <c r="I10" s="13" t="n"/>
      <c r="J10" s="45" t="n"/>
      <c r="K10" s="13" t="n"/>
      <c r="L10" s="13" t="n"/>
    </row>
    <row r="11" ht="15" customHeight="1">
      <c r="A11" s="13" t="inlineStr">
        <is>
          <t>2488</t>
        </is>
      </c>
      <c r="B11" s="14">
        <f>IF(A11="","",IF(COUNTIF(lst_Jobs,A11&amp;"")&gt;0,"OK","CHECK"))</f>
        <v/>
      </c>
      <c r="C11" s="14">
        <f>IF(A11="","",IFERROR(INDEX(lst_JobName,MATCH(A11&amp;"",lst_Jobs,0)),""))</f>
        <v/>
      </c>
      <c r="D11" s="14">
        <f>IF(A11="","",IFERROR(INDEX(tbl_Finance[Client],MATCH(A11&amp;"",tbl_Finance[Job Number],0)),""))</f>
        <v/>
      </c>
      <c r="E11" s="44">
        <f>IF(A11="","",COUNTIFS(tbl_Finance[Job Number],A11&amp;"",tbl_Finance[Ex GST],"&lt;&gt;"))</f>
        <v/>
      </c>
      <c r="F11" s="16">
        <f>IF(A11="","",SUMIFS(tbl_Finance[Ex GST],tbl_Finance[Job Number],A11&amp;""))</f>
        <v/>
      </c>
      <c r="G11" s="14">
        <f>IF(A11="","",IFERROR(INDEX(tbl_Finance[Cost Centre],MATCH(A11&amp;"",tbl_Finance[Job Number],0)),"not invoiced yet"))</f>
        <v/>
      </c>
      <c r="H11" s="13" t="n"/>
      <c r="I11" s="13" t="n"/>
      <c r="J11" s="45" t="n"/>
      <c r="K11" s="13" t="n"/>
      <c r="L11" s="13" t="n"/>
    </row>
    <row r="12" ht="15" customHeight="1">
      <c r="A12" s="13" t="inlineStr">
        <is>
          <t>26021602</t>
        </is>
      </c>
      <c r="B12" s="14">
        <f>IF(A12="","",IF(COUNTIF(lst_Jobs,A12&amp;"")&gt;0,"OK","CHECK"))</f>
        <v/>
      </c>
      <c r="C12" s="14">
        <f>IF(A12="","",IFERROR(INDEX(lst_JobName,MATCH(A12&amp;"",lst_Jobs,0)),""))</f>
        <v/>
      </c>
      <c r="D12" s="14">
        <f>IF(A12="","",IFERROR(INDEX(tbl_Finance[Client],MATCH(A12&amp;"",tbl_Finance[Job Number],0)),""))</f>
        <v/>
      </c>
      <c r="E12" s="44">
        <f>IF(A12="","",COUNTIFS(tbl_Finance[Job Number],A12&amp;"",tbl_Finance[Ex GST],"&lt;&gt;"))</f>
        <v/>
      </c>
      <c r="F12" s="16">
        <f>IF(A12="","",SUMIFS(tbl_Finance[Ex GST],tbl_Finance[Job Number],A12&amp;""))</f>
        <v/>
      </c>
      <c r="G12" s="14">
        <f>IF(A12="","",IFERROR(INDEX(tbl_Finance[Cost Centre],MATCH(A12&amp;"",tbl_Finance[Job Number],0)),"not invoiced yet"))</f>
        <v/>
      </c>
      <c r="H12" s="13" t="n"/>
      <c r="I12" s="13" t="n"/>
      <c r="J12" s="45" t="n"/>
      <c r="K12" s="13" t="n"/>
      <c r="L12" s="13" t="n"/>
    </row>
    <row r="13" ht="15" customHeight="1">
      <c r="A13" s="13" t="inlineStr">
        <is>
          <t>26043001</t>
        </is>
      </c>
      <c r="B13" s="14">
        <f>IF(A13="","",IF(COUNTIF(lst_Jobs,A13&amp;"")&gt;0,"OK","CHECK"))</f>
        <v/>
      </c>
      <c r="C13" s="14">
        <f>IF(A13="","",IFERROR(INDEX(lst_JobName,MATCH(A13&amp;"",lst_Jobs,0)),""))</f>
        <v/>
      </c>
      <c r="D13" s="14">
        <f>IF(A13="","",IFERROR(INDEX(tbl_Finance[Client],MATCH(A13&amp;"",tbl_Finance[Job Number],0)),""))</f>
        <v/>
      </c>
      <c r="E13" s="44">
        <f>IF(A13="","",COUNTIFS(tbl_Finance[Job Number],A13&amp;"",tbl_Finance[Ex GST],"&lt;&gt;"))</f>
        <v/>
      </c>
      <c r="F13" s="16">
        <f>IF(A13="","",SUMIFS(tbl_Finance[Ex GST],tbl_Finance[Job Number],A13&amp;""))</f>
        <v/>
      </c>
      <c r="G13" s="14">
        <f>IF(A13="","",IFERROR(INDEX(tbl_Finance[Cost Centre],MATCH(A13&amp;"",tbl_Finance[Job Number],0)),"not invoiced yet"))</f>
        <v/>
      </c>
      <c r="H13" s="13" t="n"/>
      <c r="I13" s="13" t="n"/>
      <c r="J13" s="45" t="n"/>
      <c r="K13" s="13" t="n"/>
      <c r="L13" s="13" t="inlineStr">
        <is>
          <t>Deduct 8hrs CN for 03/07</t>
        </is>
      </c>
    </row>
    <row r="14" ht="15" customHeight="1">
      <c r="A14" s="13" t="inlineStr">
        <is>
          <t>25101301B</t>
        </is>
      </c>
      <c r="B14" s="14">
        <f>IF(A14="","",IF(COUNTIF(lst_Jobs,A14&amp;"")&gt;0,"OK","CHECK"))</f>
        <v/>
      </c>
      <c r="C14" s="14">
        <f>IF(A14="","",IFERROR(INDEX(lst_JobName,MATCH(A14&amp;"",lst_Jobs,0)),""))</f>
        <v/>
      </c>
      <c r="D14" s="14">
        <f>IF(A14="","",IFERROR(INDEX(tbl_Finance[Client],MATCH(A14&amp;"",tbl_Finance[Job Number],0)),""))</f>
        <v/>
      </c>
      <c r="E14" s="44">
        <f>IF(A14="","",COUNTIFS(tbl_Finance[Job Number],A14&amp;"",tbl_Finance[Ex GST],"&lt;&gt;"))</f>
        <v/>
      </c>
      <c r="F14" s="16">
        <f>IF(A14="","",SUMIFS(tbl_Finance[Ex GST],tbl_Finance[Job Number],A14&amp;""))</f>
        <v/>
      </c>
      <c r="G14" s="14">
        <f>IF(A14="","",IFERROR(INDEX(tbl_Finance[Cost Centre],MATCH(A14&amp;"",tbl_Finance[Job Number],0)),"not invoiced yet"))</f>
        <v/>
      </c>
      <c r="H14" s="13" t="n"/>
      <c r="I14" s="13" t="n"/>
      <c r="J14" s="45" t="n"/>
      <c r="K14" s="13" t="n"/>
      <c r="L14" s="13" t="n"/>
    </row>
    <row r="15" ht="15" customHeight="1">
      <c r="A15" s="13" t="inlineStr">
        <is>
          <t>2880</t>
        </is>
      </c>
      <c r="B15" s="14">
        <f>IF(A15="","",IF(COUNTIF(lst_Jobs,A15&amp;"")&gt;0,"OK","CHECK"))</f>
        <v/>
      </c>
      <c r="C15" s="14">
        <f>IF(A15="","",IFERROR(INDEX(lst_JobName,MATCH(A15&amp;"",lst_Jobs,0)),""))</f>
        <v/>
      </c>
      <c r="D15" s="14">
        <f>IF(A15="","",IFERROR(INDEX(tbl_Finance[Client],MATCH(A15&amp;"",tbl_Finance[Job Number],0)),""))</f>
        <v/>
      </c>
      <c r="E15" s="44">
        <f>IF(A15="","",COUNTIFS(tbl_Finance[Job Number],A15&amp;"",tbl_Finance[Ex GST],"&lt;&gt;"))</f>
        <v/>
      </c>
      <c r="F15" s="16">
        <f>IF(A15="","",SUMIFS(tbl_Finance[Ex GST],tbl_Finance[Job Number],A15&amp;""))</f>
        <v/>
      </c>
      <c r="G15" s="14">
        <f>IF(A15="","",IFERROR(INDEX(tbl_Finance[Cost Centre],MATCH(A15&amp;"",tbl_Finance[Job Number],0)),"not invoiced yet"))</f>
        <v/>
      </c>
      <c r="H15" s="13" t="n"/>
      <c r="I15" s="13" t="n"/>
      <c r="J15" s="45" t="n"/>
      <c r="K15" s="13" t="n"/>
      <c r="L15" s="13" t="inlineStr">
        <is>
          <t>2 months extension</t>
        </is>
      </c>
    </row>
    <row r="16" ht="15" customHeight="1">
      <c r="A16" s="13" t="inlineStr">
        <is>
          <t>3056</t>
        </is>
      </c>
      <c r="B16" s="14">
        <f>IF(A16="","",IF(COUNTIF(lst_Jobs,A16&amp;"")&gt;0,"OK","CHECK"))</f>
        <v/>
      </c>
      <c r="C16" s="14">
        <f>IF(A16="","",IFERROR(INDEX(lst_JobName,MATCH(A16&amp;"",lst_Jobs,0)),""))</f>
        <v/>
      </c>
      <c r="D16" s="14">
        <f>IF(A16="","",IFERROR(INDEX(tbl_Finance[Client],MATCH(A16&amp;"",tbl_Finance[Job Number],0)),""))</f>
        <v/>
      </c>
      <c r="E16" s="44">
        <f>IF(A16="","",COUNTIFS(tbl_Finance[Job Number],A16&amp;"",tbl_Finance[Ex GST],"&lt;&gt;"))</f>
        <v/>
      </c>
      <c r="F16" s="16">
        <f>IF(A16="","",SUMIFS(tbl_Finance[Ex GST],tbl_Finance[Job Number],A16&amp;""))</f>
        <v/>
      </c>
      <c r="G16" s="14">
        <f>IF(A16="","",IFERROR(INDEX(tbl_Finance[Cost Centre],MATCH(A16&amp;"",tbl_Finance[Job Number],0)),"not invoiced yet"))</f>
        <v/>
      </c>
      <c r="H16" s="13" t="n"/>
      <c r="I16" s="13" t="n"/>
      <c r="J16" s="45" t="n"/>
      <c r="K16" s="13" t="n"/>
      <c r="L16" s="13" t="n"/>
    </row>
    <row r="17" ht="15" customHeight="1">
      <c r="A17" s="13" t="inlineStr">
        <is>
          <t>20250731</t>
        </is>
      </c>
      <c r="B17" s="14">
        <f>IF(A17="","",IF(COUNTIF(lst_Jobs,A17&amp;"")&gt;0,"OK","CHECK"))</f>
        <v/>
      </c>
      <c r="C17" s="14">
        <f>IF(A17="","",IFERROR(INDEX(lst_JobName,MATCH(A17&amp;"",lst_Jobs,0)),""))</f>
        <v/>
      </c>
      <c r="D17" s="14">
        <f>IF(A17="","",IFERROR(INDEX(tbl_Finance[Client],MATCH(A17&amp;"",tbl_Finance[Job Number],0)),""))</f>
        <v/>
      </c>
      <c r="E17" s="44">
        <f>IF(A17="","",COUNTIFS(tbl_Finance[Job Number],A17&amp;"",tbl_Finance[Ex GST],"&lt;&gt;"))</f>
        <v/>
      </c>
      <c r="F17" s="16">
        <f>IF(A17="","",SUMIFS(tbl_Finance[Ex GST],tbl_Finance[Job Number],A17&amp;""))</f>
        <v/>
      </c>
      <c r="G17" s="14">
        <f>IF(A17="","",IFERROR(INDEX(tbl_Finance[Cost Centre],MATCH(A17&amp;"",tbl_Finance[Job Number],0)),"not invoiced yet"))</f>
        <v/>
      </c>
      <c r="H17" s="13" t="n"/>
      <c r="I17" s="13" t="n"/>
      <c r="J17" s="45" t="n"/>
      <c r="K17" s="13" t="n"/>
      <c r="L17" s="13" t="inlineStr">
        <is>
          <t>PO2601703215</t>
        </is>
      </c>
    </row>
    <row r="18" ht="15" customHeight="1">
      <c r="A18" s="13" t="inlineStr">
        <is>
          <t>1668</t>
        </is>
      </c>
      <c r="B18" s="14">
        <f>IF(A18="","",IF(COUNTIF(lst_Jobs,A18&amp;"")&gt;0,"OK","CHECK"))</f>
        <v/>
      </c>
      <c r="C18" s="14">
        <f>IF(A18="","",IFERROR(INDEX(lst_JobName,MATCH(A18&amp;"",lst_Jobs,0)),""))</f>
        <v/>
      </c>
      <c r="D18" s="14">
        <f>IF(A18="","",IFERROR(INDEX(tbl_Finance[Client],MATCH(A18&amp;"",tbl_Finance[Job Number],0)),""))</f>
        <v/>
      </c>
      <c r="E18" s="44">
        <f>IF(A18="","",COUNTIFS(tbl_Finance[Job Number],A18&amp;"",tbl_Finance[Ex GST],"&lt;&gt;"))</f>
        <v/>
      </c>
      <c r="F18" s="16">
        <f>IF(A18="","",SUMIFS(tbl_Finance[Ex GST],tbl_Finance[Job Number],A18&amp;""))</f>
        <v/>
      </c>
      <c r="G18" s="14">
        <f>IF(A18="","",IFERROR(INDEX(tbl_Finance[Cost Centre],MATCH(A18&amp;"",tbl_Finance[Job Number],0)),"not invoiced yet"))</f>
        <v/>
      </c>
      <c r="H18" s="13" t="n"/>
      <c r="I18" s="13" t="n"/>
      <c r="J18" s="45" t="n"/>
      <c r="K18" s="13" t="n"/>
      <c r="L18" s="13" t="n"/>
    </row>
    <row r="19" ht="15" customHeight="1">
      <c r="A19" s="13" t="inlineStr">
        <is>
          <t>2540</t>
        </is>
      </c>
      <c r="B19" s="14">
        <f>IF(A19="","",IF(COUNTIF(lst_Jobs,A19&amp;"")&gt;0,"OK","CHECK"))</f>
        <v/>
      </c>
      <c r="C19" s="14">
        <f>IF(A19="","",IFERROR(INDEX(lst_JobName,MATCH(A19&amp;"",lst_Jobs,0)),""))</f>
        <v/>
      </c>
      <c r="D19" s="14">
        <f>IF(A19="","",IFERROR(INDEX(tbl_Finance[Client],MATCH(A19&amp;"",tbl_Finance[Job Number],0)),""))</f>
        <v/>
      </c>
      <c r="E19" s="44">
        <f>IF(A19="","",COUNTIFS(tbl_Finance[Job Number],A19&amp;"",tbl_Finance[Ex GST],"&lt;&gt;"))</f>
        <v/>
      </c>
      <c r="F19" s="16">
        <f>IF(A19="","",SUMIFS(tbl_Finance[Ex GST],tbl_Finance[Job Number],A19&amp;""))</f>
        <v/>
      </c>
      <c r="G19" s="14">
        <f>IF(A19="","",IFERROR(INDEX(tbl_Finance[Cost Centre],MATCH(A19&amp;"",tbl_Finance[Job Number],0)),"not invoiced yet"))</f>
        <v/>
      </c>
      <c r="H19" s="13" t="n"/>
      <c r="I19" s="13" t="n"/>
      <c r="J19" s="45" t="n"/>
      <c r="K19" s="13" t="n"/>
      <c r="L19" s="13" t="inlineStr">
        <is>
          <t>PO2601703274</t>
        </is>
      </c>
    </row>
    <row r="20" ht="15" customHeight="1">
      <c r="A20" s="13" t="inlineStr">
        <is>
          <t>26062501/2347</t>
        </is>
      </c>
      <c r="B20" s="14">
        <f>IF(A20="","",IF(COUNTIF(lst_Jobs,A20&amp;"")&gt;0,"OK","CHECK"))</f>
        <v/>
      </c>
      <c r="C20" s="14">
        <f>IF(A20="","",IFERROR(INDEX(lst_JobName,MATCH(A20&amp;"",lst_Jobs,0)),""))</f>
        <v/>
      </c>
      <c r="D20" s="14">
        <f>IF(A20="","",IFERROR(INDEX(tbl_Finance[Client],MATCH(A20&amp;"",tbl_Finance[Job Number],0)),""))</f>
        <v/>
      </c>
      <c r="E20" s="44">
        <f>IF(A20="","",COUNTIFS(tbl_Finance[Job Number],A20&amp;"",tbl_Finance[Ex GST],"&lt;&gt;"))</f>
        <v/>
      </c>
      <c r="F20" s="16">
        <f>IF(A20="","",SUMIFS(tbl_Finance[Ex GST],tbl_Finance[Job Number],A20&amp;""))</f>
        <v/>
      </c>
      <c r="G20" s="14">
        <f>IF(A20="","",IFERROR(INDEX(tbl_Finance[Cost Centre],MATCH(A20&amp;"",tbl_Finance[Job Number],0)),"not invoiced yet"))</f>
        <v/>
      </c>
      <c r="H20" s="13" t="n"/>
      <c r="I20" s="13" t="n"/>
      <c r="J20" s="45" t="n"/>
      <c r="K20" s="13" t="n"/>
      <c r="L20" s="13" t="n"/>
    </row>
    <row r="21" ht="15" customHeight="1">
      <c r="A21" s="13" t="inlineStr">
        <is>
          <t>2026021101</t>
        </is>
      </c>
      <c r="B21" s="14">
        <f>IF(A21="","",IF(COUNTIF(lst_Jobs,A21&amp;"")&gt;0,"OK","CHECK"))</f>
        <v/>
      </c>
      <c r="C21" s="14">
        <f>IF(A21="","",IFERROR(INDEX(lst_JobName,MATCH(A21&amp;"",lst_Jobs,0)),""))</f>
        <v/>
      </c>
      <c r="D21" s="14">
        <f>IF(A21="","",IFERROR(INDEX(tbl_Finance[Client],MATCH(A21&amp;"",tbl_Finance[Job Number],0)),""))</f>
        <v/>
      </c>
      <c r="E21" s="44">
        <f>IF(A21="","",COUNTIFS(tbl_Finance[Job Number],A21&amp;"",tbl_Finance[Ex GST],"&lt;&gt;"))</f>
        <v/>
      </c>
      <c r="F21" s="16">
        <f>IF(A21="","",SUMIFS(tbl_Finance[Ex GST],tbl_Finance[Job Number],A21&amp;""))</f>
        <v/>
      </c>
      <c r="G21" s="14">
        <f>IF(A21="","",IFERROR(INDEX(tbl_Finance[Cost Centre],MATCH(A21&amp;"",tbl_Finance[Job Number],0)),"not invoiced yet"))</f>
        <v/>
      </c>
      <c r="H21" s="13" t="n"/>
      <c r="I21" s="13" t="n"/>
      <c r="J21" s="45" t="n"/>
      <c r="K21" s="13" t="n"/>
      <c r="L21" s="13" t="inlineStr">
        <is>
          <t>Invoice 1/2</t>
        </is>
      </c>
    </row>
    <row r="22" ht="15" customHeight="1">
      <c r="A22" s="13" t="inlineStr">
        <is>
          <t>26022301</t>
        </is>
      </c>
      <c r="B22" s="14">
        <f>IF(A22="","",IF(COUNTIF(lst_Jobs,A22&amp;"")&gt;0,"OK","CHECK"))</f>
        <v/>
      </c>
      <c r="C22" s="14">
        <f>IF(A22="","",IFERROR(INDEX(lst_JobName,MATCH(A22&amp;"",lst_Jobs,0)),""))</f>
        <v/>
      </c>
      <c r="D22" s="14">
        <f>IF(A22="","",IFERROR(INDEX(tbl_Finance[Client],MATCH(A22&amp;"",tbl_Finance[Job Number],0)),""))</f>
        <v/>
      </c>
      <c r="E22" s="44">
        <f>IF(A22="","",COUNTIFS(tbl_Finance[Job Number],A22&amp;"",tbl_Finance[Ex GST],"&lt;&gt;"))</f>
        <v/>
      </c>
      <c r="F22" s="16">
        <f>IF(A22="","",SUMIFS(tbl_Finance[Ex GST],tbl_Finance[Job Number],A22&amp;""))</f>
        <v/>
      </c>
      <c r="G22" s="14">
        <f>IF(A22="","",IFERROR(INDEX(tbl_Finance[Cost Centre],MATCH(A22&amp;"",tbl_Finance[Job Number],0)),"not invoiced yet"))</f>
        <v/>
      </c>
      <c r="H22" s="13" t="n"/>
      <c r="I22" s="13" t="n"/>
      <c r="J22" s="45" t="n"/>
      <c r="K22" s="13" t="n"/>
      <c r="L22" s="13" t="inlineStr">
        <is>
          <t>Split TBC - Xero split this with production ($850)</t>
        </is>
      </c>
    </row>
    <row r="23" ht="15" customHeight="1">
      <c r="A23" s="13" t="inlineStr">
        <is>
          <t>2608502</t>
        </is>
      </c>
      <c r="B23" s="14">
        <f>IF(A23="","",IF(COUNTIF(lst_Jobs,A23&amp;"")&gt;0,"OK","CHECK"))</f>
        <v/>
      </c>
      <c r="C23" s="14">
        <f>IF(A23="","",IFERROR(INDEX(lst_JobName,MATCH(A23&amp;"",lst_Jobs,0)),""))</f>
        <v/>
      </c>
      <c r="D23" s="14">
        <f>IF(A23="","",IFERROR(INDEX(tbl_Finance[Client],MATCH(A23&amp;"",tbl_Finance[Job Number],0)),""))</f>
        <v/>
      </c>
      <c r="E23" s="44">
        <f>IF(A23="","",COUNTIFS(tbl_Finance[Job Number],A23&amp;"",tbl_Finance[Ex GST],"&lt;&gt;"))</f>
        <v/>
      </c>
      <c r="F23" s="16">
        <f>IF(A23="","",SUMIFS(tbl_Finance[Ex GST],tbl_Finance[Job Number],A23&amp;""))</f>
        <v/>
      </c>
      <c r="G23" s="14">
        <f>IF(A23="","",IFERROR(INDEX(tbl_Finance[Cost Centre],MATCH(A23&amp;"",tbl_Finance[Job Number],0)),"not invoiced yet"))</f>
        <v/>
      </c>
      <c r="H23" s="13" t="n"/>
      <c r="I23" s="13" t="n"/>
      <c r="J23" s="45" t="n"/>
      <c r="K23" s="13" t="n"/>
      <c r="L23" s="13" t="inlineStr">
        <is>
          <t>8419.62 differe from invoice amount</t>
        </is>
      </c>
    </row>
    <row r="24" ht="15" customHeight="1">
      <c r="A24" s="13" t="inlineStr">
        <is>
          <t>26073102</t>
        </is>
      </c>
      <c r="B24" s="14">
        <f>IF(A24="","",IF(COUNTIF(lst_Jobs,A24&amp;"")&gt;0,"OK","CHECK"))</f>
        <v/>
      </c>
      <c r="C24" s="14">
        <f>IF(A24="","",IFERROR(INDEX(lst_JobName,MATCH(A24&amp;"",lst_Jobs,0)),""))</f>
        <v/>
      </c>
      <c r="D24" s="14">
        <f>IF(A24="","",IFERROR(INDEX(tbl_Finance[Client],MATCH(A24&amp;"",tbl_Finance[Job Number],0)),""))</f>
        <v/>
      </c>
      <c r="E24" s="44">
        <f>IF(A24="","",COUNTIFS(tbl_Finance[Job Number],A24&amp;"",tbl_Finance[Ex GST],"&lt;&gt;"))</f>
        <v/>
      </c>
      <c r="F24" s="16">
        <f>IF(A24="","",SUMIFS(tbl_Finance[Ex GST],tbl_Finance[Job Number],A24&amp;""))</f>
        <v/>
      </c>
      <c r="G24" s="14">
        <f>IF(A24="","",IFERROR(INDEX(tbl_Finance[Cost Centre],MATCH(A24&amp;"",tbl_Finance[Job Number],0)),"not invoiced yet"))</f>
        <v/>
      </c>
      <c r="H24" s="13" t="n"/>
      <c r="I24" s="13" t="n"/>
      <c r="J24" s="45" t="n"/>
      <c r="K24" s="13" t="n"/>
      <c r="L24" s="13" t="n"/>
    </row>
    <row r="25" ht="15" customHeight="1">
      <c r="A25" s="13" t="inlineStr">
        <is>
          <t>26081301</t>
        </is>
      </c>
      <c r="B25" s="14">
        <f>IF(A25="","",IF(COUNTIF(lst_Jobs,A25&amp;"")&gt;0,"OK","CHECK"))</f>
        <v/>
      </c>
      <c r="C25" s="14">
        <f>IF(A25="","",IFERROR(INDEX(lst_JobName,MATCH(A25&amp;"",lst_Jobs,0)),""))</f>
        <v/>
      </c>
      <c r="D25" s="14">
        <f>IF(A25="","",IFERROR(INDEX(tbl_Finance[Client],MATCH(A25&amp;"",tbl_Finance[Job Number],0)),""))</f>
        <v/>
      </c>
      <c r="E25" s="44">
        <f>IF(A25="","",COUNTIFS(tbl_Finance[Job Number],A25&amp;"",tbl_Finance[Ex GST],"&lt;&gt;"))</f>
        <v/>
      </c>
      <c r="F25" s="16">
        <f>IF(A25="","",SUMIFS(tbl_Finance[Ex GST],tbl_Finance[Job Number],A25&amp;""))</f>
        <v/>
      </c>
      <c r="G25" s="14">
        <f>IF(A25="","",IFERROR(INDEX(tbl_Finance[Cost Centre],MATCH(A25&amp;"",tbl_Finance[Job Number],0)),"not invoiced yet"))</f>
        <v/>
      </c>
      <c r="H25" s="13" t="n"/>
      <c r="I25" s="13" t="n"/>
      <c r="J25" s="45" t="n"/>
      <c r="K25" s="13" t="n"/>
      <c r="L25" s="13" t="inlineStr">
        <is>
          <t>November</t>
        </is>
      </c>
    </row>
    <row r="26" ht="15" customHeight="1">
      <c r="A26" s="13" t="inlineStr">
        <is>
          <t>585, 586</t>
        </is>
      </c>
      <c r="B26" s="14">
        <f>IF(A26="","",IF(COUNTIF(lst_Jobs,A26&amp;"")&gt;0,"OK","CHECK"))</f>
        <v/>
      </c>
      <c r="C26" s="14">
        <f>IF(A26="","",IFERROR(INDEX(lst_JobName,MATCH(A26&amp;"",lst_Jobs,0)),""))</f>
        <v/>
      </c>
      <c r="D26" s="14">
        <f>IF(A26="","",IFERROR(INDEX(tbl_Finance[Client],MATCH(A26&amp;"",tbl_Finance[Job Number],0)),""))</f>
        <v/>
      </c>
      <c r="E26" s="44">
        <f>IF(A26="","",COUNTIFS(tbl_Finance[Job Number],A26&amp;"",tbl_Finance[Ex GST],"&lt;&gt;"))</f>
        <v/>
      </c>
      <c r="F26" s="16">
        <f>IF(A26="","",SUMIFS(tbl_Finance[Ex GST],tbl_Finance[Job Number],A26&amp;""))</f>
        <v/>
      </c>
      <c r="G26" s="14">
        <f>IF(A26="","",IFERROR(INDEX(tbl_Finance[Cost Centre],MATCH(A26&amp;"",tbl_Finance[Job Number],0)),"not invoiced yet"))</f>
        <v/>
      </c>
      <c r="H26" s="13" t="n"/>
      <c r="I26" s="13" t="n"/>
      <c r="J26" s="45" t="n"/>
      <c r="K26" s="13" t="n"/>
      <c r="L26" s="13" t="n"/>
    </row>
    <row r="27" ht="15" customHeight="1">
      <c r="A27" s="13" t="inlineStr">
        <is>
          <t>26073103</t>
        </is>
      </c>
      <c r="B27" s="14">
        <f>IF(A27="","",IF(COUNTIF(lst_Jobs,A27&amp;"")&gt;0,"OK","CHECK"))</f>
        <v/>
      </c>
      <c r="C27" s="14">
        <f>IF(A27="","",IFERROR(INDEX(lst_JobName,MATCH(A27&amp;"",lst_Jobs,0)),""))</f>
        <v/>
      </c>
      <c r="D27" s="14">
        <f>IF(A27="","",IFERROR(INDEX(tbl_Finance[Client],MATCH(A27&amp;"",tbl_Finance[Job Number],0)),""))</f>
        <v/>
      </c>
      <c r="E27" s="44">
        <f>IF(A27="","",COUNTIFS(tbl_Finance[Job Number],A27&amp;"",tbl_Finance[Ex GST],"&lt;&gt;"))</f>
        <v/>
      </c>
      <c r="F27" s="16">
        <f>IF(A27="","",SUMIFS(tbl_Finance[Ex GST],tbl_Finance[Job Number],A27&amp;""))</f>
        <v/>
      </c>
      <c r="G27" s="14">
        <f>IF(A27="","",IFERROR(INDEX(tbl_Finance[Cost Centre],MATCH(A27&amp;"",tbl_Finance[Job Number],0)),"not invoiced yet"))</f>
        <v/>
      </c>
      <c r="H27" s="13" t="n"/>
      <c r="I27" s="13" t="n"/>
      <c r="J27" s="45" t="n"/>
      <c r="K27" s="13" t="n"/>
      <c r="L27" s="13"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13" t="inlineStr">
        <is>
          <t>26082801</t>
        </is>
      </c>
      <c r="B28" s="14">
        <f>IF(A28="","",IF(COUNTIF(lst_Jobs,A28&amp;"")&gt;0,"OK","CHECK"))</f>
        <v/>
      </c>
      <c r="C28" s="14">
        <f>IF(A28="","",IFERROR(INDEX(lst_JobName,MATCH(A28&amp;"",lst_Jobs,0)),""))</f>
        <v/>
      </c>
      <c r="D28" s="14">
        <f>IF(A28="","",IFERROR(INDEX(tbl_Finance[Client],MATCH(A28&amp;"",tbl_Finance[Job Number],0)),""))</f>
        <v/>
      </c>
      <c r="E28" s="44">
        <f>IF(A28="","",COUNTIFS(tbl_Finance[Job Number],A28&amp;"",tbl_Finance[Ex GST],"&lt;&gt;"))</f>
        <v/>
      </c>
      <c r="F28" s="16">
        <f>IF(A28="","",SUMIFS(tbl_Finance[Ex GST],tbl_Finance[Job Number],A28&amp;""))</f>
        <v/>
      </c>
      <c r="G28" s="14">
        <f>IF(A28="","",IFERROR(INDEX(tbl_Finance[Cost Centre],MATCH(A28&amp;"",tbl_Finance[Job Number],0)),"not invoiced yet"))</f>
        <v/>
      </c>
      <c r="H28" s="13" t="n"/>
      <c r="I28" s="13" t="n"/>
      <c r="J28" s="45" t="n"/>
      <c r="K28" s="13" t="n"/>
      <c r="L28" s="13" t="inlineStr">
        <is>
          <t>This was not actually for Shell - error in quote. End client was Wotton Kearney.</t>
        </is>
      </c>
    </row>
    <row r="29" ht="15" customHeight="1">
      <c r="A29" s="13" t="inlineStr">
        <is>
          <t>2608603</t>
        </is>
      </c>
      <c r="B29" s="14">
        <f>IF(A29="","",IF(COUNTIF(lst_Jobs,A29&amp;"")&gt;0,"OK","CHECK"))</f>
        <v/>
      </c>
      <c r="C29" s="14">
        <f>IF(A29="","",IFERROR(INDEX(lst_JobName,MATCH(A29&amp;"",lst_Jobs,0)),""))</f>
        <v/>
      </c>
      <c r="D29" s="14">
        <f>IF(A29="","",IFERROR(INDEX(tbl_Finance[Client],MATCH(A29&amp;"",tbl_Finance[Job Number],0)),""))</f>
        <v/>
      </c>
      <c r="E29" s="44">
        <f>IF(A29="","",COUNTIFS(tbl_Finance[Job Number],A29&amp;"",tbl_Finance[Ex GST],"&lt;&gt;"))</f>
        <v/>
      </c>
      <c r="F29" s="16">
        <f>IF(A29="","",SUMIFS(tbl_Finance[Ex GST],tbl_Finance[Job Number],A29&amp;""))</f>
        <v/>
      </c>
      <c r="G29" s="14">
        <f>IF(A29="","",IFERROR(INDEX(tbl_Finance[Cost Centre],MATCH(A29&amp;"",tbl_Finance[Job Number],0)),"not invoiced yet"))</f>
        <v/>
      </c>
      <c r="H29" s="13" t="n"/>
      <c r="I29" s="13" t="n"/>
      <c r="J29" s="45" t="n"/>
      <c r="K29" s="13" t="n"/>
      <c r="L29" s="13" t="n"/>
    </row>
    <row r="30" ht="15" customHeight="1">
      <c r="A30" s="13" t="inlineStr">
        <is>
          <t>26073107</t>
        </is>
      </c>
      <c r="B30" s="14">
        <f>IF(A30="","",IF(COUNTIF(lst_Jobs,A30&amp;"")&gt;0,"OK","CHECK"))</f>
        <v/>
      </c>
      <c r="C30" s="14">
        <f>IF(A30="","",IFERROR(INDEX(lst_JobName,MATCH(A30&amp;"",lst_Jobs,0)),""))</f>
        <v/>
      </c>
      <c r="D30" s="14">
        <f>IF(A30="","",IFERROR(INDEX(tbl_Finance[Client],MATCH(A30&amp;"",tbl_Finance[Job Number],0)),""))</f>
        <v/>
      </c>
      <c r="E30" s="44">
        <f>IF(A30="","",COUNTIFS(tbl_Finance[Job Number],A30&amp;"",tbl_Finance[Ex GST],"&lt;&gt;"))</f>
        <v/>
      </c>
      <c r="F30" s="16">
        <f>IF(A30="","",SUMIFS(tbl_Finance[Ex GST],tbl_Finance[Job Number],A30&amp;""))</f>
        <v/>
      </c>
      <c r="G30" s="14">
        <f>IF(A30="","",IFERROR(INDEX(tbl_Finance[Cost Centre],MATCH(A30&amp;"",tbl_Finance[Job Number],0)),"not invoiced yet"))</f>
        <v/>
      </c>
      <c r="H30" s="13" t="n"/>
      <c r="I30" s="13" t="n"/>
      <c r="J30" s="45" t="n"/>
      <c r="K30" s="13" t="n"/>
      <c r="L30" s="13" t="n"/>
    </row>
    <row r="31" ht="15" customHeight="1">
      <c r="A31" s="13" t="inlineStr">
        <is>
          <t>26082704</t>
        </is>
      </c>
      <c r="B31" s="14">
        <f>IF(A31="","",IF(COUNTIF(lst_Jobs,A31&amp;"")&gt;0,"OK","CHECK"))</f>
        <v/>
      </c>
      <c r="C31" s="14">
        <f>IF(A31="","",IFERROR(INDEX(lst_JobName,MATCH(A31&amp;"",lst_Jobs,0)),""))</f>
        <v/>
      </c>
      <c r="D31" s="14">
        <f>IF(A31="","",IFERROR(INDEX(tbl_Finance[Client],MATCH(A31&amp;"",tbl_Finance[Job Number],0)),""))</f>
        <v/>
      </c>
      <c r="E31" s="44">
        <f>IF(A31="","",COUNTIFS(tbl_Finance[Job Number],A31&amp;"",tbl_Finance[Ex GST],"&lt;&gt;"))</f>
        <v/>
      </c>
      <c r="F31" s="16">
        <f>IF(A31="","",SUMIFS(tbl_Finance[Ex GST],tbl_Finance[Job Number],A31&amp;""))</f>
        <v/>
      </c>
      <c r="G31" s="14">
        <f>IF(A31="","",IFERROR(INDEX(tbl_Finance[Cost Centre],MATCH(A31&amp;"",tbl_Finance[Job Number],0)),"not invoiced yet"))</f>
        <v/>
      </c>
      <c r="H31" s="13" t="n"/>
      <c r="I31" s="13" t="n"/>
      <c r="J31" s="45" t="n"/>
      <c r="K31" s="13" t="n"/>
      <c r="L31" s="13" t="n"/>
    </row>
    <row r="32" ht="15" customHeight="1">
      <c r="A32" s="13" t="n"/>
      <c r="B32" s="14">
        <f>IF(A32="","",IF(COUNTIF(lst_Jobs,A32&amp;"")&gt;0,"OK","CHECK"))</f>
        <v/>
      </c>
      <c r="C32" s="14">
        <f>IF(A32="","",IFERROR(INDEX(lst_JobName,MATCH(A32&amp;"",lst_Jobs,0)),""))</f>
        <v/>
      </c>
      <c r="D32" s="14">
        <f>IF(A32="","",IFERROR(INDEX(tbl_Finance[Client],MATCH(A32&amp;"",tbl_Finance[Job Number],0)),""))</f>
        <v/>
      </c>
      <c r="E32" s="44">
        <f>IF(A32="","",COUNTIFS(tbl_Finance[Job Number],A32&amp;"",tbl_Finance[Ex GST],"&lt;&gt;"))</f>
        <v/>
      </c>
      <c r="F32" s="16">
        <f>IF(A32="","",SUMIFS(tbl_Finance[Ex GST],tbl_Finance[Job Number],A32&amp;""))</f>
        <v/>
      </c>
      <c r="G32" s="14">
        <f>IF(A32="","",IFERROR(INDEX(tbl_Finance[Cost Centre],MATCH(A32&amp;"",tbl_Finance[Job Number],0)),"not invoiced yet"))</f>
        <v/>
      </c>
      <c r="H32" s="13" t="n"/>
      <c r="I32" s="13" t="n"/>
      <c r="J32" s="45" t="n"/>
      <c r="K32" s="13" t="n"/>
      <c r="L32" s="13" t="n"/>
    </row>
    <row r="33" ht="15" customHeight="1">
      <c r="A33" s="13" t="n"/>
      <c r="B33" s="14">
        <f>IF(A33="","",IF(COUNTIF(lst_Jobs,A33&amp;"")&gt;0,"OK","CHECK"))</f>
        <v/>
      </c>
      <c r="C33" s="14">
        <f>IF(A33="","",IFERROR(INDEX(lst_JobName,MATCH(A33&amp;"",lst_Jobs,0)),""))</f>
        <v/>
      </c>
      <c r="D33" s="14">
        <f>IF(A33="","",IFERROR(INDEX(tbl_Finance[Client],MATCH(A33&amp;"",tbl_Finance[Job Number],0)),""))</f>
        <v/>
      </c>
      <c r="E33" s="44">
        <f>IF(A33="","",COUNTIFS(tbl_Finance[Job Number],A33&amp;"",tbl_Finance[Ex GST],"&lt;&gt;"))</f>
        <v/>
      </c>
      <c r="F33" s="16">
        <f>IF(A33="","",SUMIFS(tbl_Finance[Ex GST],tbl_Finance[Job Number],A33&amp;""))</f>
        <v/>
      </c>
      <c r="G33" s="14">
        <f>IF(A33="","",IFERROR(INDEX(tbl_Finance[Cost Centre],MATCH(A33&amp;"",tbl_Finance[Job Number],0)),"not invoiced yet"))</f>
        <v/>
      </c>
      <c r="H33" s="13" t="n"/>
      <c r="I33" s="13" t="n"/>
      <c r="J33" s="45" t="n"/>
      <c r="K33" s="13" t="n"/>
      <c r="L33" s="13" t="n"/>
    </row>
    <row r="34" ht="15" customHeight="1">
      <c r="A34" s="13" t="n"/>
      <c r="B34" s="14">
        <f>IF(A34="","",IF(COUNTIF(lst_Jobs,A34&amp;"")&gt;0,"OK","CHECK"))</f>
        <v/>
      </c>
      <c r="C34" s="14">
        <f>IF(A34="","",IFERROR(INDEX(lst_JobName,MATCH(A34&amp;"",lst_Jobs,0)),""))</f>
        <v/>
      </c>
      <c r="D34" s="14">
        <f>IF(A34="","",IFERROR(INDEX(tbl_Finance[Client],MATCH(A34&amp;"",tbl_Finance[Job Number],0)),""))</f>
        <v/>
      </c>
      <c r="E34" s="44">
        <f>IF(A34="","",COUNTIFS(tbl_Finance[Job Number],A34&amp;"",tbl_Finance[Ex GST],"&lt;&gt;"))</f>
        <v/>
      </c>
      <c r="F34" s="16">
        <f>IF(A34="","",SUMIFS(tbl_Finance[Ex GST],tbl_Finance[Job Number],A34&amp;""))</f>
        <v/>
      </c>
      <c r="G34" s="14">
        <f>IF(A34="","",IFERROR(INDEX(tbl_Finance[Cost Centre],MATCH(A34&amp;"",tbl_Finance[Job Number],0)),"not invoiced yet"))</f>
        <v/>
      </c>
      <c r="H34" s="13" t="n"/>
      <c r="I34" s="13" t="n"/>
      <c r="J34" s="45" t="n"/>
      <c r="K34" s="13" t="n"/>
      <c r="L34" s="13" t="n"/>
    </row>
    <row r="35" ht="15" customHeight="1">
      <c r="A35" s="13" t="n"/>
      <c r="B35" s="14">
        <f>IF(A35="","",IF(COUNTIF(lst_Jobs,A35&amp;"")&gt;0,"OK","CHECK"))</f>
        <v/>
      </c>
      <c r="C35" s="14">
        <f>IF(A35="","",IFERROR(INDEX(lst_JobName,MATCH(A35&amp;"",lst_Jobs,0)),""))</f>
        <v/>
      </c>
      <c r="D35" s="14">
        <f>IF(A35="","",IFERROR(INDEX(tbl_Finance[Client],MATCH(A35&amp;"",tbl_Finance[Job Number],0)),""))</f>
        <v/>
      </c>
      <c r="E35" s="44">
        <f>IF(A35="","",COUNTIFS(tbl_Finance[Job Number],A35&amp;"",tbl_Finance[Ex GST],"&lt;&gt;"))</f>
        <v/>
      </c>
      <c r="F35" s="16">
        <f>IF(A35="","",SUMIFS(tbl_Finance[Ex GST],tbl_Finance[Job Number],A35&amp;""))</f>
        <v/>
      </c>
      <c r="G35" s="14">
        <f>IF(A35="","",IFERROR(INDEX(tbl_Finance[Cost Centre],MATCH(A35&amp;"",tbl_Finance[Job Number],0)),"not invoiced yet"))</f>
        <v/>
      </c>
      <c r="H35" s="13" t="n"/>
      <c r="I35" s="13" t="n"/>
      <c r="J35" s="45" t="n"/>
      <c r="K35" s="13" t="n"/>
      <c r="L35" s="13" t="n"/>
    </row>
    <row r="36" ht="15" customHeight="1">
      <c r="A36" s="13" t="n"/>
      <c r="B36" s="14">
        <f>IF(A36="","",IF(COUNTIF(lst_Jobs,A36&amp;"")&gt;0,"OK","CHECK"))</f>
        <v/>
      </c>
      <c r="C36" s="14">
        <f>IF(A36="","",IFERROR(INDEX(lst_JobName,MATCH(A36&amp;"",lst_Jobs,0)),""))</f>
        <v/>
      </c>
      <c r="D36" s="14">
        <f>IF(A36="","",IFERROR(INDEX(tbl_Finance[Client],MATCH(A36&amp;"",tbl_Finance[Job Number],0)),""))</f>
        <v/>
      </c>
      <c r="E36" s="44">
        <f>IF(A36="","",COUNTIFS(tbl_Finance[Job Number],A36&amp;"",tbl_Finance[Ex GST],"&lt;&gt;"))</f>
        <v/>
      </c>
      <c r="F36" s="16">
        <f>IF(A36="","",SUMIFS(tbl_Finance[Ex GST],tbl_Finance[Job Number],A36&amp;""))</f>
        <v/>
      </c>
      <c r="G36" s="14">
        <f>IF(A36="","",IFERROR(INDEX(tbl_Finance[Cost Centre],MATCH(A36&amp;"",tbl_Finance[Job Number],0)),"not invoiced yet"))</f>
        <v/>
      </c>
      <c r="H36" s="13" t="n"/>
      <c r="I36" s="13" t="n"/>
      <c r="J36" s="45" t="n"/>
      <c r="K36" s="13" t="n"/>
      <c r="L36" s="13" t="n"/>
    </row>
    <row r="37" ht="15" customHeight="1">
      <c r="A37" s="13" t="n"/>
      <c r="B37" s="14">
        <f>IF(A37="","",IF(COUNTIF(lst_Jobs,A37&amp;"")&gt;0,"OK","CHECK"))</f>
        <v/>
      </c>
      <c r="C37" s="14">
        <f>IF(A37="","",IFERROR(INDEX(lst_JobName,MATCH(A37&amp;"",lst_Jobs,0)),""))</f>
        <v/>
      </c>
      <c r="D37" s="14">
        <f>IF(A37="","",IFERROR(INDEX(tbl_Finance[Client],MATCH(A37&amp;"",tbl_Finance[Job Number],0)),""))</f>
        <v/>
      </c>
      <c r="E37" s="44">
        <f>IF(A37="","",COUNTIFS(tbl_Finance[Job Number],A37&amp;"",tbl_Finance[Ex GST],"&lt;&gt;"))</f>
        <v/>
      </c>
      <c r="F37" s="16">
        <f>IF(A37="","",SUMIFS(tbl_Finance[Ex GST],tbl_Finance[Job Number],A37&amp;""))</f>
        <v/>
      </c>
      <c r="G37" s="14">
        <f>IF(A37="","",IFERROR(INDEX(tbl_Finance[Cost Centre],MATCH(A37&amp;"",tbl_Finance[Job Number],0)),"not invoiced yet"))</f>
        <v/>
      </c>
      <c r="H37" s="13" t="n"/>
      <c r="I37" s="13" t="n"/>
      <c r="J37" s="45" t="n"/>
      <c r="K37" s="13" t="n"/>
      <c r="L37" s="13" t="n"/>
    </row>
    <row r="38" ht="15" customHeight="1">
      <c r="A38" s="13" t="n"/>
      <c r="B38" s="14">
        <f>IF(A38="","",IF(COUNTIF(lst_Jobs,A38&amp;"")&gt;0,"OK","CHECK"))</f>
        <v/>
      </c>
      <c r="C38" s="14">
        <f>IF(A38="","",IFERROR(INDEX(lst_JobName,MATCH(A38&amp;"",lst_Jobs,0)),""))</f>
        <v/>
      </c>
      <c r="D38" s="14">
        <f>IF(A38="","",IFERROR(INDEX(tbl_Finance[Client],MATCH(A38&amp;"",tbl_Finance[Job Number],0)),""))</f>
        <v/>
      </c>
      <c r="E38" s="44">
        <f>IF(A38="","",COUNTIFS(tbl_Finance[Job Number],A38&amp;"",tbl_Finance[Ex GST],"&lt;&gt;"))</f>
        <v/>
      </c>
      <c r="F38" s="16">
        <f>IF(A38="","",SUMIFS(tbl_Finance[Ex GST],tbl_Finance[Job Number],A38&amp;""))</f>
        <v/>
      </c>
      <c r="G38" s="14">
        <f>IF(A38="","",IFERROR(INDEX(tbl_Finance[Cost Centre],MATCH(A38&amp;"",tbl_Finance[Job Number],0)),"not invoiced yet"))</f>
        <v/>
      </c>
      <c r="H38" s="13" t="n"/>
      <c r="I38" s="13" t="n"/>
      <c r="J38" s="45" t="n"/>
      <c r="K38" s="13" t="n"/>
      <c r="L38" s="13" t="n"/>
    </row>
    <row r="39" ht="15" customHeight="1">
      <c r="A39" s="13" t="n"/>
      <c r="B39" s="14">
        <f>IF(A39="","",IF(COUNTIF(lst_Jobs,A39&amp;"")&gt;0,"OK","CHECK"))</f>
        <v/>
      </c>
      <c r="C39" s="14">
        <f>IF(A39="","",IFERROR(INDEX(lst_JobName,MATCH(A39&amp;"",lst_Jobs,0)),""))</f>
        <v/>
      </c>
      <c r="D39" s="14">
        <f>IF(A39="","",IFERROR(INDEX(tbl_Finance[Client],MATCH(A39&amp;"",tbl_Finance[Job Number],0)),""))</f>
        <v/>
      </c>
      <c r="E39" s="44">
        <f>IF(A39="","",COUNTIFS(tbl_Finance[Job Number],A39&amp;"",tbl_Finance[Ex GST],"&lt;&gt;"))</f>
        <v/>
      </c>
      <c r="F39" s="16">
        <f>IF(A39="","",SUMIFS(tbl_Finance[Ex GST],tbl_Finance[Job Number],A39&amp;""))</f>
        <v/>
      </c>
      <c r="G39" s="14">
        <f>IF(A39="","",IFERROR(INDEX(tbl_Finance[Cost Centre],MATCH(A39&amp;"",tbl_Finance[Job Number],0)),"not invoiced yet"))</f>
        <v/>
      </c>
      <c r="H39" s="13" t="n"/>
      <c r="I39" s="13" t="n"/>
      <c r="J39" s="45" t="n"/>
      <c r="K39" s="13" t="n"/>
      <c r="L39" s="13" t="n"/>
    </row>
    <row r="40" ht="15" customHeight="1">
      <c r="A40" s="13" t="n"/>
      <c r="B40" s="14">
        <f>IF(A40="","",IF(COUNTIF(lst_Jobs,A40&amp;"")&gt;0,"OK","CHECK"))</f>
        <v/>
      </c>
      <c r="C40" s="14">
        <f>IF(A40="","",IFERROR(INDEX(lst_JobName,MATCH(A40&amp;"",lst_Jobs,0)),""))</f>
        <v/>
      </c>
      <c r="D40" s="14">
        <f>IF(A40="","",IFERROR(INDEX(tbl_Finance[Client],MATCH(A40&amp;"",tbl_Finance[Job Number],0)),""))</f>
        <v/>
      </c>
      <c r="E40" s="44">
        <f>IF(A40="","",COUNTIFS(tbl_Finance[Job Number],A40&amp;"",tbl_Finance[Ex GST],"&lt;&gt;"))</f>
        <v/>
      </c>
      <c r="F40" s="16">
        <f>IF(A40="","",SUMIFS(tbl_Finance[Ex GST],tbl_Finance[Job Number],A40&amp;""))</f>
        <v/>
      </c>
      <c r="G40" s="14">
        <f>IF(A40="","",IFERROR(INDEX(tbl_Finance[Cost Centre],MATCH(A40&amp;"",tbl_Finance[Job Number],0)),"not invoiced yet"))</f>
        <v/>
      </c>
      <c r="H40" s="13" t="n"/>
      <c r="I40" s="13" t="n"/>
      <c r="J40" s="45" t="n"/>
      <c r="K40" s="13" t="n"/>
      <c r="L40" s="13" t="n"/>
    </row>
    <row r="41" ht="15" customHeight="1">
      <c r="A41" s="13" t="n"/>
      <c r="B41" s="14">
        <f>IF(A41="","",IF(COUNTIF(lst_Jobs,A41&amp;"")&gt;0,"OK","CHECK"))</f>
        <v/>
      </c>
      <c r="C41" s="14">
        <f>IF(A41="","",IFERROR(INDEX(lst_JobName,MATCH(A41&amp;"",lst_Jobs,0)),""))</f>
        <v/>
      </c>
      <c r="D41" s="14">
        <f>IF(A41="","",IFERROR(INDEX(tbl_Finance[Client],MATCH(A41&amp;"",tbl_Finance[Job Number],0)),""))</f>
        <v/>
      </c>
      <c r="E41" s="44">
        <f>IF(A41="","",COUNTIFS(tbl_Finance[Job Number],A41&amp;"",tbl_Finance[Ex GST],"&lt;&gt;"))</f>
        <v/>
      </c>
      <c r="F41" s="16">
        <f>IF(A41="","",SUMIFS(tbl_Finance[Ex GST],tbl_Finance[Job Number],A41&amp;""))</f>
        <v/>
      </c>
      <c r="G41" s="14">
        <f>IF(A41="","",IFERROR(INDEX(tbl_Finance[Cost Centre],MATCH(A41&amp;"",tbl_Finance[Job Number],0)),"not invoiced yet"))</f>
        <v/>
      </c>
      <c r="H41" s="13" t="n"/>
      <c r="I41" s="13" t="n"/>
      <c r="J41" s="45" t="n"/>
      <c r="K41" s="13" t="n"/>
      <c r="L41" s="13" t="n"/>
    </row>
    <row r="42" ht="15" customHeight="1">
      <c r="A42" s="13" t="n"/>
      <c r="B42" s="14">
        <f>IF(A42="","",IF(COUNTIF(lst_Jobs,A42&amp;"")&gt;0,"OK","CHECK"))</f>
        <v/>
      </c>
      <c r="C42" s="14">
        <f>IF(A42="","",IFERROR(INDEX(lst_JobName,MATCH(A42&amp;"",lst_Jobs,0)),""))</f>
        <v/>
      </c>
      <c r="D42" s="14">
        <f>IF(A42="","",IFERROR(INDEX(tbl_Finance[Client],MATCH(A42&amp;"",tbl_Finance[Job Number],0)),""))</f>
        <v/>
      </c>
      <c r="E42" s="44">
        <f>IF(A42="","",COUNTIFS(tbl_Finance[Job Number],A42&amp;"",tbl_Finance[Ex GST],"&lt;&gt;"))</f>
        <v/>
      </c>
      <c r="F42" s="16">
        <f>IF(A42="","",SUMIFS(tbl_Finance[Ex GST],tbl_Finance[Job Number],A42&amp;""))</f>
        <v/>
      </c>
      <c r="G42" s="14">
        <f>IF(A42="","",IFERROR(INDEX(tbl_Finance[Cost Centre],MATCH(A42&amp;"",tbl_Finance[Job Number],0)),"not invoiced yet"))</f>
        <v/>
      </c>
      <c r="H42" s="13" t="n"/>
      <c r="I42" s="13" t="n"/>
      <c r="J42" s="45" t="n"/>
      <c r="K42" s="13" t="n"/>
      <c r="L42" s="13" t="n"/>
    </row>
    <row r="43" ht="15" customHeight="1">
      <c r="A43" s="13" t="n"/>
      <c r="B43" s="14">
        <f>IF(A43="","",IF(COUNTIF(lst_Jobs,A43&amp;"")&gt;0,"OK","CHECK"))</f>
        <v/>
      </c>
      <c r="C43" s="14">
        <f>IF(A43="","",IFERROR(INDEX(lst_JobName,MATCH(A43&amp;"",lst_Jobs,0)),""))</f>
        <v/>
      </c>
      <c r="D43" s="14">
        <f>IF(A43="","",IFERROR(INDEX(tbl_Finance[Client],MATCH(A43&amp;"",tbl_Finance[Job Number],0)),""))</f>
        <v/>
      </c>
      <c r="E43" s="44">
        <f>IF(A43="","",COUNTIFS(tbl_Finance[Job Number],A43&amp;"",tbl_Finance[Ex GST],"&lt;&gt;"))</f>
        <v/>
      </c>
      <c r="F43" s="16">
        <f>IF(A43="","",SUMIFS(tbl_Finance[Ex GST],tbl_Finance[Job Number],A43&amp;""))</f>
        <v/>
      </c>
      <c r="G43" s="14">
        <f>IF(A43="","",IFERROR(INDEX(tbl_Finance[Cost Centre],MATCH(A43&amp;"",tbl_Finance[Job Number],0)),"not invoiced yet"))</f>
        <v/>
      </c>
      <c r="H43" s="13" t="n"/>
      <c r="I43" s="13" t="n"/>
      <c r="J43" s="45" t="n"/>
      <c r="K43" s="13" t="n"/>
      <c r="L43" s="13" t="n"/>
    </row>
    <row r="44" ht="15" customHeight="1">
      <c r="A44" s="13" t="n"/>
      <c r="B44" s="14">
        <f>IF(A44="","",IF(COUNTIF(lst_Jobs,A44&amp;"")&gt;0,"OK","CHECK"))</f>
        <v/>
      </c>
      <c r="C44" s="14">
        <f>IF(A44="","",IFERROR(INDEX(lst_JobName,MATCH(A44&amp;"",lst_Jobs,0)),""))</f>
        <v/>
      </c>
      <c r="D44" s="14">
        <f>IF(A44="","",IFERROR(INDEX(tbl_Finance[Client],MATCH(A44&amp;"",tbl_Finance[Job Number],0)),""))</f>
        <v/>
      </c>
      <c r="E44" s="44">
        <f>IF(A44="","",COUNTIFS(tbl_Finance[Job Number],A44&amp;"",tbl_Finance[Ex GST],"&lt;&gt;"))</f>
        <v/>
      </c>
      <c r="F44" s="16">
        <f>IF(A44="","",SUMIFS(tbl_Finance[Ex GST],tbl_Finance[Job Number],A44&amp;""))</f>
        <v/>
      </c>
      <c r="G44" s="14">
        <f>IF(A44="","",IFERROR(INDEX(tbl_Finance[Cost Centre],MATCH(A44&amp;"",tbl_Finance[Job Number],0)),"not invoiced yet"))</f>
        <v/>
      </c>
      <c r="H44" s="13" t="n"/>
      <c r="I44" s="13" t="n"/>
      <c r="J44" s="45" t="n"/>
      <c r="K44" s="13" t="n"/>
      <c r="L44" s="13" t="n"/>
    </row>
    <row r="45" ht="15" customHeight="1">
      <c r="A45" s="13" t="n"/>
      <c r="B45" s="14">
        <f>IF(A45="","",IF(COUNTIF(lst_Jobs,A45&amp;"")&gt;0,"OK","CHECK"))</f>
        <v/>
      </c>
      <c r="C45" s="14">
        <f>IF(A45="","",IFERROR(INDEX(lst_JobName,MATCH(A45&amp;"",lst_Jobs,0)),""))</f>
        <v/>
      </c>
      <c r="D45" s="14">
        <f>IF(A45="","",IFERROR(INDEX(tbl_Finance[Client],MATCH(A45&amp;"",tbl_Finance[Job Number],0)),""))</f>
        <v/>
      </c>
      <c r="E45" s="44">
        <f>IF(A45="","",COUNTIFS(tbl_Finance[Job Number],A45&amp;"",tbl_Finance[Ex GST],"&lt;&gt;"))</f>
        <v/>
      </c>
      <c r="F45" s="16">
        <f>IF(A45="","",SUMIFS(tbl_Finance[Ex GST],tbl_Finance[Job Number],A45&amp;""))</f>
        <v/>
      </c>
      <c r="G45" s="14">
        <f>IF(A45="","",IFERROR(INDEX(tbl_Finance[Cost Centre],MATCH(A45&amp;"",tbl_Finance[Job Number],0)),"not invoiced yet"))</f>
        <v/>
      </c>
      <c r="H45" s="13" t="n"/>
      <c r="I45" s="13" t="n"/>
      <c r="J45" s="45" t="n"/>
      <c r="K45" s="13" t="n"/>
      <c r="L45" s="13" t="n"/>
    </row>
    <row r="46" ht="15" customHeight="1">
      <c r="A46" s="13" t="n"/>
      <c r="B46" s="14">
        <f>IF(A46="","",IF(COUNTIF(lst_Jobs,A46&amp;"")&gt;0,"OK","CHECK"))</f>
        <v/>
      </c>
      <c r="C46" s="14">
        <f>IF(A46="","",IFERROR(INDEX(lst_JobName,MATCH(A46&amp;"",lst_Jobs,0)),""))</f>
        <v/>
      </c>
      <c r="D46" s="14">
        <f>IF(A46="","",IFERROR(INDEX(tbl_Finance[Client],MATCH(A46&amp;"",tbl_Finance[Job Number],0)),""))</f>
        <v/>
      </c>
      <c r="E46" s="44">
        <f>IF(A46="","",COUNTIFS(tbl_Finance[Job Number],A46&amp;"",tbl_Finance[Ex GST],"&lt;&gt;"))</f>
        <v/>
      </c>
      <c r="F46" s="16">
        <f>IF(A46="","",SUMIFS(tbl_Finance[Ex GST],tbl_Finance[Job Number],A46&amp;""))</f>
        <v/>
      </c>
      <c r="G46" s="14">
        <f>IF(A46="","",IFERROR(INDEX(tbl_Finance[Cost Centre],MATCH(A46&amp;"",tbl_Finance[Job Number],0)),"not invoiced yet"))</f>
        <v/>
      </c>
      <c r="H46" s="13" t="n"/>
      <c r="I46" s="13" t="n"/>
      <c r="J46" s="45" t="n"/>
      <c r="K46" s="13" t="n"/>
      <c r="L46" s="13" t="n"/>
    </row>
    <row r="47" ht="15" customHeight="1">
      <c r="A47" s="13" t="n"/>
      <c r="B47" s="14">
        <f>IF(A47="","",IF(COUNTIF(lst_Jobs,A47&amp;"")&gt;0,"OK","CHECK"))</f>
        <v/>
      </c>
      <c r="C47" s="14">
        <f>IF(A47="","",IFERROR(INDEX(lst_JobName,MATCH(A47&amp;"",lst_Jobs,0)),""))</f>
        <v/>
      </c>
      <c r="D47" s="14">
        <f>IF(A47="","",IFERROR(INDEX(tbl_Finance[Client],MATCH(A47&amp;"",tbl_Finance[Job Number],0)),""))</f>
        <v/>
      </c>
      <c r="E47" s="44">
        <f>IF(A47="","",COUNTIFS(tbl_Finance[Job Number],A47&amp;"",tbl_Finance[Ex GST],"&lt;&gt;"))</f>
        <v/>
      </c>
      <c r="F47" s="16">
        <f>IF(A47="","",SUMIFS(tbl_Finance[Ex GST],tbl_Finance[Job Number],A47&amp;""))</f>
        <v/>
      </c>
      <c r="G47" s="14">
        <f>IF(A47="","",IFERROR(INDEX(tbl_Finance[Cost Centre],MATCH(A47&amp;"",tbl_Finance[Job Number],0)),"not invoiced yet"))</f>
        <v/>
      </c>
      <c r="H47" s="13" t="n"/>
      <c r="I47" s="13" t="n"/>
      <c r="J47" s="45" t="n"/>
      <c r="K47" s="13" t="n"/>
      <c r="L47" s="13" t="n"/>
    </row>
    <row r="48" ht="15" customHeight="1">
      <c r="A48" s="13" t="n"/>
      <c r="B48" s="14">
        <f>IF(A48="","",IF(COUNTIF(lst_Jobs,A48&amp;"")&gt;0,"OK","CHECK"))</f>
        <v/>
      </c>
      <c r="C48" s="14">
        <f>IF(A48="","",IFERROR(INDEX(lst_JobName,MATCH(A48&amp;"",lst_Jobs,0)),""))</f>
        <v/>
      </c>
      <c r="D48" s="14">
        <f>IF(A48="","",IFERROR(INDEX(tbl_Finance[Client],MATCH(A48&amp;"",tbl_Finance[Job Number],0)),""))</f>
        <v/>
      </c>
      <c r="E48" s="44">
        <f>IF(A48="","",COUNTIFS(tbl_Finance[Job Number],A48&amp;"",tbl_Finance[Ex GST],"&lt;&gt;"))</f>
        <v/>
      </c>
      <c r="F48" s="16">
        <f>IF(A48="","",SUMIFS(tbl_Finance[Ex GST],tbl_Finance[Job Number],A48&amp;""))</f>
        <v/>
      </c>
      <c r="G48" s="14">
        <f>IF(A48="","",IFERROR(INDEX(tbl_Finance[Cost Centre],MATCH(A48&amp;"",tbl_Finance[Job Number],0)),"not invoiced yet"))</f>
        <v/>
      </c>
      <c r="H48" s="13" t="n"/>
      <c r="I48" s="13" t="n"/>
      <c r="J48" s="45" t="n"/>
      <c r="K48" s="13" t="n"/>
      <c r="L48" s="13" t="n"/>
    </row>
    <row r="49" ht="15" customHeight="1">
      <c r="A49" s="13" t="n"/>
      <c r="B49" s="14">
        <f>IF(A49="","",IF(COUNTIF(lst_Jobs,A49&amp;"")&gt;0,"OK","CHECK"))</f>
        <v/>
      </c>
      <c r="C49" s="14">
        <f>IF(A49="","",IFERROR(INDEX(lst_JobName,MATCH(A49&amp;"",lst_Jobs,0)),""))</f>
        <v/>
      </c>
      <c r="D49" s="14">
        <f>IF(A49="","",IFERROR(INDEX(tbl_Finance[Client],MATCH(A49&amp;"",tbl_Finance[Job Number],0)),""))</f>
        <v/>
      </c>
      <c r="E49" s="44">
        <f>IF(A49="","",COUNTIFS(tbl_Finance[Job Number],A49&amp;"",tbl_Finance[Ex GST],"&lt;&gt;"))</f>
        <v/>
      </c>
      <c r="F49" s="16">
        <f>IF(A49="","",SUMIFS(tbl_Finance[Ex GST],tbl_Finance[Job Number],A49&amp;""))</f>
        <v/>
      </c>
      <c r="G49" s="14">
        <f>IF(A49="","",IFERROR(INDEX(tbl_Finance[Cost Centre],MATCH(A49&amp;"",tbl_Finance[Job Number],0)),"not invoiced yet"))</f>
        <v/>
      </c>
      <c r="H49" s="13" t="n"/>
      <c r="I49" s="13" t="n"/>
      <c r="J49" s="45" t="n"/>
      <c r="K49" s="13" t="n"/>
      <c r="L49" s="13" t="n"/>
    </row>
    <row r="50" ht="15" customHeight="1">
      <c r="A50" s="13" t="n"/>
      <c r="B50" s="14">
        <f>IF(A50="","",IF(COUNTIF(lst_Jobs,A50&amp;"")&gt;0,"OK","CHECK"))</f>
        <v/>
      </c>
      <c r="C50" s="14">
        <f>IF(A50="","",IFERROR(INDEX(lst_JobName,MATCH(A50&amp;"",lst_Jobs,0)),""))</f>
        <v/>
      </c>
      <c r="D50" s="14">
        <f>IF(A50="","",IFERROR(INDEX(tbl_Finance[Client],MATCH(A50&amp;"",tbl_Finance[Job Number],0)),""))</f>
        <v/>
      </c>
      <c r="E50" s="44">
        <f>IF(A50="","",COUNTIFS(tbl_Finance[Job Number],A50&amp;"",tbl_Finance[Ex GST],"&lt;&gt;"))</f>
        <v/>
      </c>
      <c r="F50" s="16">
        <f>IF(A50="","",SUMIFS(tbl_Finance[Ex GST],tbl_Finance[Job Number],A50&amp;""))</f>
        <v/>
      </c>
      <c r="G50" s="14">
        <f>IF(A50="","",IFERROR(INDEX(tbl_Finance[Cost Centre],MATCH(A50&amp;"",tbl_Finance[Job Number],0)),"not invoiced yet"))</f>
        <v/>
      </c>
      <c r="H50" s="13" t="n"/>
      <c r="I50" s="13" t="n"/>
      <c r="J50" s="45" t="n"/>
      <c r="K50" s="13" t="n"/>
      <c r="L50" s="13" t="n"/>
    </row>
    <row r="51" ht="15" customHeight="1">
      <c r="A51" s="13" t="n"/>
      <c r="B51" s="14">
        <f>IF(A51="","",IF(COUNTIF(lst_Jobs,A51&amp;"")&gt;0,"OK","CHECK"))</f>
        <v/>
      </c>
      <c r="C51" s="14">
        <f>IF(A51="","",IFERROR(INDEX(lst_JobName,MATCH(A51&amp;"",lst_Jobs,0)),""))</f>
        <v/>
      </c>
      <c r="D51" s="14">
        <f>IF(A51="","",IFERROR(INDEX(tbl_Finance[Client],MATCH(A51&amp;"",tbl_Finance[Job Number],0)),""))</f>
        <v/>
      </c>
      <c r="E51" s="44">
        <f>IF(A51="","",COUNTIFS(tbl_Finance[Job Number],A51&amp;"",tbl_Finance[Ex GST],"&lt;&gt;"))</f>
        <v/>
      </c>
      <c r="F51" s="16">
        <f>IF(A51="","",SUMIFS(tbl_Finance[Ex GST],tbl_Finance[Job Number],A51&amp;""))</f>
        <v/>
      </c>
      <c r="G51" s="14">
        <f>IF(A51="","",IFERROR(INDEX(tbl_Finance[Cost Centre],MATCH(A51&amp;"",tbl_Finance[Job Number],0)),"not invoiced yet"))</f>
        <v/>
      </c>
      <c r="H51" s="13" t="n"/>
      <c r="I51" s="13" t="n"/>
      <c r="J51" s="45" t="n"/>
      <c r="K51" s="13" t="n"/>
      <c r="L51" s="13" t="n"/>
    </row>
    <row r="52" ht="15" customHeight="1">
      <c r="A52" s="13" t="n"/>
      <c r="B52" s="14">
        <f>IF(A52="","",IF(COUNTIF(lst_Jobs,A52&amp;"")&gt;0,"OK","CHECK"))</f>
        <v/>
      </c>
      <c r="C52" s="14">
        <f>IF(A52="","",IFERROR(INDEX(lst_JobName,MATCH(A52&amp;"",lst_Jobs,0)),""))</f>
        <v/>
      </c>
      <c r="D52" s="14">
        <f>IF(A52="","",IFERROR(INDEX(tbl_Finance[Client],MATCH(A52&amp;"",tbl_Finance[Job Number],0)),""))</f>
        <v/>
      </c>
      <c r="E52" s="44">
        <f>IF(A52="","",COUNTIFS(tbl_Finance[Job Number],A52&amp;"",tbl_Finance[Ex GST],"&lt;&gt;"))</f>
        <v/>
      </c>
      <c r="F52" s="16">
        <f>IF(A52="","",SUMIFS(tbl_Finance[Ex GST],tbl_Finance[Job Number],A52&amp;""))</f>
        <v/>
      </c>
      <c r="G52" s="14">
        <f>IF(A52="","",IFERROR(INDEX(tbl_Finance[Cost Centre],MATCH(A52&amp;"",tbl_Finance[Job Number],0)),"not invoiced yet"))</f>
        <v/>
      </c>
      <c r="H52" s="13" t="n"/>
      <c r="I52" s="13" t="n"/>
      <c r="J52" s="45" t="n"/>
      <c r="K52" s="13" t="n"/>
      <c r="L52" s="13" t="n"/>
    </row>
    <row r="53" ht="15" customHeight="1">
      <c r="A53" s="13" t="n"/>
      <c r="B53" s="14">
        <f>IF(A53="","",IF(COUNTIF(lst_Jobs,A53&amp;"")&gt;0,"OK","CHECK"))</f>
        <v/>
      </c>
      <c r="C53" s="14">
        <f>IF(A53="","",IFERROR(INDEX(lst_JobName,MATCH(A53&amp;"",lst_Jobs,0)),""))</f>
        <v/>
      </c>
      <c r="D53" s="14">
        <f>IF(A53="","",IFERROR(INDEX(tbl_Finance[Client],MATCH(A53&amp;"",tbl_Finance[Job Number],0)),""))</f>
        <v/>
      </c>
      <c r="E53" s="44">
        <f>IF(A53="","",COUNTIFS(tbl_Finance[Job Number],A53&amp;"",tbl_Finance[Ex GST],"&lt;&gt;"))</f>
        <v/>
      </c>
      <c r="F53" s="16">
        <f>IF(A53="","",SUMIFS(tbl_Finance[Ex GST],tbl_Finance[Job Number],A53&amp;""))</f>
        <v/>
      </c>
      <c r="G53" s="14">
        <f>IF(A53="","",IFERROR(INDEX(tbl_Finance[Cost Centre],MATCH(A53&amp;"",tbl_Finance[Job Number],0)),"not invoiced yet"))</f>
        <v/>
      </c>
      <c r="H53" s="13" t="n"/>
      <c r="I53" s="13" t="n"/>
      <c r="J53" s="45" t="n"/>
      <c r="K53" s="13" t="n"/>
      <c r="L53" s="13" t="n"/>
    </row>
    <row r="54" ht="15" customHeight="1">
      <c r="A54" s="13" t="n"/>
      <c r="B54" s="14">
        <f>IF(A54="","",IF(COUNTIF(lst_Jobs,A54&amp;"")&gt;0,"OK","CHECK"))</f>
        <v/>
      </c>
      <c r="C54" s="14">
        <f>IF(A54="","",IFERROR(INDEX(lst_JobName,MATCH(A54&amp;"",lst_Jobs,0)),""))</f>
        <v/>
      </c>
      <c r="D54" s="14">
        <f>IF(A54="","",IFERROR(INDEX(tbl_Finance[Client],MATCH(A54&amp;"",tbl_Finance[Job Number],0)),""))</f>
        <v/>
      </c>
      <c r="E54" s="44">
        <f>IF(A54="","",COUNTIFS(tbl_Finance[Job Number],A54&amp;"",tbl_Finance[Ex GST],"&lt;&gt;"))</f>
        <v/>
      </c>
      <c r="F54" s="16">
        <f>IF(A54="","",SUMIFS(tbl_Finance[Ex GST],tbl_Finance[Job Number],A54&amp;""))</f>
        <v/>
      </c>
      <c r="G54" s="14">
        <f>IF(A54="","",IFERROR(INDEX(tbl_Finance[Cost Centre],MATCH(A54&amp;"",tbl_Finance[Job Number],0)),"not invoiced yet"))</f>
        <v/>
      </c>
      <c r="H54" s="13" t="n"/>
      <c r="I54" s="13" t="n"/>
      <c r="J54" s="45" t="n"/>
      <c r="K54" s="13" t="n"/>
      <c r="L54" s="13" t="n"/>
    </row>
    <row r="55" ht="15" customHeight="1">
      <c r="A55" s="13" t="n"/>
      <c r="B55" s="14">
        <f>IF(A55="","",IF(COUNTIF(lst_Jobs,A55&amp;"")&gt;0,"OK","CHECK"))</f>
        <v/>
      </c>
      <c r="C55" s="14">
        <f>IF(A55="","",IFERROR(INDEX(lst_JobName,MATCH(A55&amp;"",lst_Jobs,0)),""))</f>
        <v/>
      </c>
      <c r="D55" s="14">
        <f>IF(A55="","",IFERROR(INDEX(tbl_Finance[Client],MATCH(A55&amp;"",tbl_Finance[Job Number],0)),""))</f>
        <v/>
      </c>
      <c r="E55" s="44">
        <f>IF(A55="","",COUNTIFS(tbl_Finance[Job Number],A55&amp;"",tbl_Finance[Ex GST],"&lt;&gt;"))</f>
        <v/>
      </c>
      <c r="F55" s="16">
        <f>IF(A55="","",SUMIFS(tbl_Finance[Ex GST],tbl_Finance[Job Number],A55&amp;""))</f>
        <v/>
      </c>
      <c r="G55" s="14">
        <f>IF(A55="","",IFERROR(INDEX(tbl_Finance[Cost Centre],MATCH(A55&amp;"",tbl_Finance[Job Number],0)),"not invoiced yet"))</f>
        <v/>
      </c>
      <c r="H55" s="13" t="n"/>
      <c r="I55" s="13" t="n"/>
      <c r="J55" s="45" t="n"/>
      <c r="K55" s="13" t="n"/>
      <c r="L55" s="13" t="n"/>
    </row>
    <row r="56" ht="15" customHeight="1">
      <c r="A56" s="13" t="n"/>
      <c r="B56" s="14">
        <f>IF(A56="","",IF(COUNTIF(lst_Jobs,A56&amp;"")&gt;0,"OK","CHECK"))</f>
        <v/>
      </c>
      <c r="C56" s="14">
        <f>IF(A56="","",IFERROR(INDEX(lst_JobName,MATCH(A56&amp;"",lst_Jobs,0)),""))</f>
        <v/>
      </c>
      <c r="D56" s="14">
        <f>IF(A56="","",IFERROR(INDEX(tbl_Finance[Client],MATCH(A56&amp;"",tbl_Finance[Job Number],0)),""))</f>
        <v/>
      </c>
      <c r="E56" s="44">
        <f>IF(A56="","",COUNTIFS(tbl_Finance[Job Number],A56&amp;"",tbl_Finance[Ex GST],"&lt;&gt;"))</f>
        <v/>
      </c>
      <c r="F56" s="16">
        <f>IF(A56="","",SUMIFS(tbl_Finance[Ex GST],tbl_Finance[Job Number],A56&amp;""))</f>
        <v/>
      </c>
      <c r="G56" s="14">
        <f>IF(A56="","",IFERROR(INDEX(tbl_Finance[Cost Centre],MATCH(A56&amp;"",tbl_Finance[Job Number],0)),"not invoiced yet"))</f>
        <v/>
      </c>
      <c r="H56" s="13" t="n"/>
      <c r="I56" s="13" t="n"/>
      <c r="J56" s="45" t="n"/>
      <c r="K56" s="13" t="n"/>
      <c r="L56" s="13" t="n"/>
    </row>
    <row r="57" ht="15" customHeight="1">
      <c r="A57" s="13" t="n"/>
      <c r="B57" s="14">
        <f>IF(A57="","",IF(COUNTIF(lst_Jobs,A57&amp;"")&gt;0,"OK","CHECK"))</f>
        <v/>
      </c>
      <c r="C57" s="14">
        <f>IF(A57="","",IFERROR(INDEX(lst_JobName,MATCH(A57&amp;"",lst_Jobs,0)),""))</f>
        <v/>
      </c>
      <c r="D57" s="14">
        <f>IF(A57="","",IFERROR(INDEX(tbl_Finance[Client],MATCH(A57&amp;"",tbl_Finance[Job Number],0)),""))</f>
        <v/>
      </c>
      <c r="E57" s="44">
        <f>IF(A57="","",COUNTIFS(tbl_Finance[Job Number],A57&amp;"",tbl_Finance[Ex GST],"&lt;&gt;"))</f>
        <v/>
      </c>
      <c r="F57" s="16">
        <f>IF(A57="","",SUMIFS(tbl_Finance[Ex GST],tbl_Finance[Job Number],A57&amp;""))</f>
        <v/>
      </c>
      <c r="G57" s="14">
        <f>IF(A57="","",IFERROR(INDEX(tbl_Finance[Cost Centre],MATCH(A57&amp;"",tbl_Finance[Job Number],0)),"not invoiced yet"))</f>
        <v/>
      </c>
      <c r="H57" s="13" t="n"/>
      <c r="I57" s="13" t="n"/>
      <c r="J57" s="45" t="n"/>
      <c r="K57" s="13" t="n"/>
      <c r="L57" s="13" t="n"/>
    </row>
    <row r="58" ht="15" customHeight="1">
      <c r="A58" s="13" t="n"/>
      <c r="B58" s="14">
        <f>IF(A58="","",IF(COUNTIF(lst_Jobs,A58&amp;"")&gt;0,"OK","CHECK"))</f>
        <v/>
      </c>
      <c r="C58" s="14">
        <f>IF(A58="","",IFERROR(INDEX(lst_JobName,MATCH(A58&amp;"",lst_Jobs,0)),""))</f>
        <v/>
      </c>
      <c r="D58" s="14">
        <f>IF(A58="","",IFERROR(INDEX(tbl_Finance[Client],MATCH(A58&amp;"",tbl_Finance[Job Number],0)),""))</f>
        <v/>
      </c>
      <c r="E58" s="44">
        <f>IF(A58="","",COUNTIFS(tbl_Finance[Job Number],A58&amp;"",tbl_Finance[Ex GST],"&lt;&gt;"))</f>
        <v/>
      </c>
      <c r="F58" s="16">
        <f>IF(A58="","",SUMIFS(tbl_Finance[Ex GST],tbl_Finance[Job Number],A58&amp;""))</f>
        <v/>
      </c>
      <c r="G58" s="14">
        <f>IF(A58="","",IFERROR(INDEX(tbl_Finance[Cost Centre],MATCH(A58&amp;"",tbl_Finance[Job Number],0)),"not invoiced yet"))</f>
        <v/>
      </c>
      <c r="H58" s="13" t="n"/>
      <c r="I58" s="13" t="n"/>
      <c r="J58" s="45" t="n"/>
      <c r="K58" s="13" t="n"/>
      <c r="L58" s="13" t="n"/>
    </row>
    <row r="59" ht="15" customHeight="1">
      <c r="A59" s="13" t="n"/>
      <c r="B59" s="14">
        <f>IF(A59="","",IF(COUNTIF(lst_Jobs,A59&amp;"")&gt;0,"OK","CHECK"))</f>
        <v/>
      </c>
      <c r="C59" s="14">
        <f>IF(A59="","",IFERROR(INDEX(lst_JobName,MATCH(A59&amp;"",lst_Jobs,0)),""))</f>
        <v/>
      </c>
      <c r="D59" s="14">
        <f>IF(A59="","",IFERROR(INDEX(tbl_Finance[Client],MATCH(A59&amp;"",tbl_Finance[Job Number],0)),""))</f>
        <v/>
      </c>
      <c r="E59" s="44">
        <f>IF(A59="","",COUNTIFS(tbl_Finance[Job Number],A59&amp;"",tbl_Finance[Ex GST],"&lt;&gt;"))</f>
        <v/>
      </c>
      <c r="F59" s="16">
        <f>IF(A59="","",SUMIFS(tbl_Finance[Ex GST],tbl_Finance[Job Number],A59&amp;""))</f>
        <v/>
      </c>
      <c r="G59" s="14">
        <f>IF(A59="","",IFERROR(INDEX(tbl_Finance[Cost Centre],MATCH(A59&amp;"",tbl_Finance[Job Number],0)),"not invoiced yet"))</f>
        <v/>
      </c>
      <c r="H59" s="13" t="n"/>
      <c r="I59" s="13" t="n"/>
      <c r="J59" s="45" t="n"/>
      <c r="K59" s="13" t="n"/>
      <c r="L59" s="13" t="n"/>
    </row>
    <row r="60" ht="15" customHeight="1">
      <c r="A60" s="13" t="n"/>
      <c r="B60" s="14">
        <f>IF(A60="","",IF(COUNTIF(lst_Jobs,A60&amp;"")&gt;0,"OK","CHECK"))</f>
        <v/>
      </c>
      <c r="C60" s="14">
        <f>IF(A60="","",IFERROR(INDEX(lst_JobName,MATCH(A60&amp;"",lst_Jobs,0)),""))</f>
        <v/>
      </c>
      <c r="D60" s="14">
        <f>IF(A60="","",IFERROR(INDEX(tbl_Finance[Client],MATCH(A60&amp;"",tbl_Finance[Job Number],0)),""))</f>
        <v/>
      </c>
      <c r="E60" s="44">
        <f>IF(A60="","",COUNTIFS(tbl_Finance[Job Number],A60&amp;"",tbl_Finance[Ex GST],"&lt;&gt;"))</f>
        <v/>
      </c>
      <c r="F60" s="16">
        <f>IF(A60="","",SUMIFS(tbl_Finance[Ex GST],tbl_Finance[Job Number],A60&amp;""))</f>
        <v/>
      </c>
      <c r="G60" s="14">
        <f>IF(A60="","",IFERROR(INDEX(tbl_Finance[Cost Centre],MATCH(A60&amp;"",tbl_Finance[Job Number],0)),"not invoiced yet"))</f>
        <v/>
      </c>
      <c r="H60" s="13" t="n"/>
      <c r="I60" s="13" t="n"/>
      <c r="J60" s="45" t="n"/>
      <c r="K60" s="13" t="n"/>
      <c r="L60" s="13" t="n"/>
    </row>
    <row r="61" ht="15" customHeight="1">
      <c r="A61" s="13" t="n"/>
      <c r="B61" s="14">
        <f>IF(A61="","",IF(COUNTIF(lst_Jobs,A61&amp;"")&gt;0,"OK","CHECK"))</f>
        <v/>
      </c>
      <c r="C61" s="14">
        <f>IF(A61="","",IFERROR(INDEX(lst_JobName,MATCH(A61&amp;"",lst_Jobs,0)),""))</f>
        <v/>
      </c>
      <c r="D61" s="14">
        <f>IF(A61="","",IFERROR(INDEX(tbl_Finance[Client],MATCH(A61&amp;"",tbl_Finance[Job Number],0)),""))</f>
        <v/>
      </c>
      <c r="E61" s="44">
        <f>IF(A61="","",COUNTIFS(tbl_Finance[Job Number],A61&amp;"",tbl_Finance[Ex GST],"&lt;&gt;"))</f>
        <v/>
      </c>
      <c r="F61" s="16">
        <f>IF(A61="","",SUMIFS(tbl_Finance[Ex GST],tbl_Finance[Job Number],A61&amp;""))</f>
        <v/>
      </c>
      <c r="G61" s="14">
        <f>IF(A61="","",IFERROR(INDEX(tbl_Finance[Cost Centre],MATCH(A61&amp;"",tbl_Finance[Job Number],0)),"not invoiced yet"))</f>
        <v/>
      </c>
      <c r="H61" s="13" t="n"/>
      <c r="I61" s="13" t="n"/>
      <c r="J61" s="45" t="n"/>
      <c r="K61" s="13" t="n"/>
      <c r="L61" s="13" t="n"/>
    </row>
    <row r="62" ht="15" customHeight="1">
      <c r="A62" s="13" t="n"/>
      <c r="B62" s="14">
        <f>IF(A62="","",IF(COUNTIF(lst_Jobs,A62&amp;"")&gt;0,"OK","CHECK"))</f>
        <v/>
      </c>
      <c r="C62" s="14">
        <f>IF(A62="","",IFERROR(INDEX(lst_JobName,MATCH(A62&amp;"",lst_Jobs,0)),""))</f>
        <v/>
      </c>
      <c r="D62" s="14">
        <f>IF(A62="","",IFERROR(INDEX(tbl_Finance[Client],MATCH(A62&amp;"",tbl_Finance[Job Number],0)),""))</f>
        <v/>
      </c>
      <c r="E62" s="44">
        <f>IF(A62="","",COUNTIFS(tbl_Finance[Job Number],A62&amp;"",tbl_Finance[Ex GST],"&lt;&gt;"))</f>
        <v/>
      </c>
      <c r="F62" s="16">
        <f>IF(A62="","",SUMIFS(tbl_Finance[Ex GST],tbl_Finance[Job Number],A62&amp;""))</f>
        <v/>
      </c>
      <c r="G62" s="14">
        <f>IF(A62="","",IFERROR(INDEX(tbl_Finance[Cost Centre],MATCH(A62&amp;"",tbl_Finance[Job Number],0)),"not invoiced yet"))</f>
        <v/>
      </c>
      <c r="H62" s="13" t="n"/>
      <c r="I62" s="13" t="n"/>
      <c r="J62" s="45" t="n"/>
      <c r="K62" s="13" t="n"/>
      <c r="L62" s="13" t="n"/>
    </row>
    <row r="63" ht="15" customHeight="1">
      <c r="A63" s="13" t="n"/>
      <c r="B63" s="14">
        <f>IF(A63="","",IF(COUNTIF(lst_Jobs,A63&amp;"")&gt;0,"OK","CHECK"))</f>
        <v/>
      </c>
      <c r="C63" s="14">
        <f>IF(A63="","",IFERROR(INDEX(lst_JobName,MATCH(A63&amp;"",lst_Jobs,0)),""))</f>
        <v/>
      </c>
      <c r="D63" s="14">
        <f>IF(A63="","",IFERROR(INDEX(tbl_Finance[Client],MATCH(A63&amp;"",tbl_Finance[Job Number],0)),""))</f>
        <v/>
      </c>
      <c r="E63" s="44">
        <f>IF(A63="","",COUNTIFS(tbl_Finance[Job Number],A63&amp;"",tbl_Finance[Ex GST],"&lt;&gt;"))</f>
        <v/>
      </c>
      <c r="F63" s="16">
        <f>IF(A63="","",SUMIFS(tbl_Finance[Ex GST],tbl_Finance[Job Number],A63&amp;""))</f>
        <v/>
      </c>
      <c r="G63" s="14">
        <f>IF(A63="","",IFERROR(INDEX(tbl_Finance[Cost Centre],MATCH(A63&amp;"",tbl_Finance[Job Number],0)),"not invoiced yet"))</f>
        <v/>
      </c>
      <c r="H63" s="13" t="n"/>
      <c r="I63" s="13" t="n"/>
      <c r="J63" s="45" t="n"/>
      <c r="K63" s="13" t="n"/>
      <c r="L63" s="13" t="n"/>
    </row>
    <row r="64" ht="15" customHeight="1">
      <c r="A64" s="13" t="n"/>
      <c r="B64" s="14">
        <f>IF(A64="","",IF(COUNTIF(lst_Jobs,A64&amp;"")&gt;0,"OK","CHECK"))</f>
        <v/>
      </c>
      <c r="C64" s="14">
        <f>IF(A64="","",IFERROR(INDEX(lst_JobName,MATCH(A64&amp;"",lst_Jobs,0)),""))</f>
        <v/>
      </c>
      <c r="D64" s="14">
        <f>IF(A64="","",IFERROR(INDEX(tbl_Finance[Client],MATCH(A64&amp;"",tbl_Finance[Job Number],0)),""))</f>
        <v/>
      </c>
      <c r="E64" s="44">
        <f>IF(A64="","",COUNTIFS(tbl_Finance[Job Number],A64&amp;"",tbl_Finance[Ex GST],"&lt;&gt;"))</f>
        <v/>
      </c>
      <c r="F64" s="16">
        <f>IF(A64="","",SUMIFS(tbl_Finance[Ex GST],tbl_Finance[Job Number],A64&amp;""))</f>
        <v/>
      </c>
      <c r="G64" s="14">
        <f>IF(A64="","",IFERROR(INDEX(tbl_Finance[Cost Centre],MATCH(A64&amp;"",tbl_Finance[Job Number],0)),"not invoiced yet"))</f>
        <v/>
      </c>
      <c r="H64" s="13" t="n"/>
      <c r="I64" s="13" t="n"/>
      <c r="J64" s="45" t="n"/>
      <c r="K64" s="13" t="n"/>
      <c r="L64" s="13" t="n"/>
    </row>
    <row r="65" ht="15" customHeight="1">
      <c r="A65" s="13" t="n"/>
      <c r="B65" s="14">
        <f>IF(A65="","",IF(COUNTIF(lst_Jobs,A65&amp;"")&gt;0,"OK","CHECK"))</f>
        <v/>
      </c>
      <c r="C65" s="14">
        <f>IF(A65="","",IFERROR(INDEX(lst_JobName,MATCH(A65&amp;"",lst_Jobs,0)),""))</f>
        <v/>
      </c>
      <c r="D65" s="14">
        <f>IF(A65="","",IFERROR(INDEX(tbl_Finance[Client],MATCH(A65&amp;"",tbl_Finance[Job Number],0)),""))</f>
        <v/>
      </c>
      <c r="E65" s="44">
        <f>IF(A65="","",COUNTIFS(tbl_Finance[Job Number],A65&amp;"",tbl_Finance[Ex GST],"&lt;&gt;"))</f>
        <v/>
      </c>
      <c r="F65" s="16">
        <f>IF(A65="","",SUMIFS(tbl_Finance[Ex GST],tbl_Finance[Job Number],A65&amp;""))</f>
        <v/>
      </c>
      <c r="G65" s="14">
        <f>IF(A65="","",IFERROR(INDEX(tbl_Finance[Cost Centre],MATCH(A65&amp;"",tbl_Finance[Job Number],0)),"not invoiced yet"))</f>
        <v/>
      </c>
      <c r="H65" s="13" t="n"/>
      <c r="I65" s="13" t="n"/>
      <c r="J65" s="45" t="n"/>
      <c r="K65" s="13" t="n"/>
      <c r="L65" s="13" t="n"/>
    </row>
    <row r="66" ht="15" customHeight="1">
      <c r="A66" s="13" t="n"/>
      <c r="B66" s="14">
        <f>IF(A66="","",IF(COUNTIF(lst_Jobs,A66&amp;"")&gt;0,"OK","CHECK"))</f>
        <v/>
      </c>
      <c r="C66" s="14">
        <f>IF(A66="","",IFERROR(INDEX(lst_JobName,MATCH(A66&amp;"",lst_Jobs,0)),""))</f>
        <v/>
      </c>
      <c r="D66" s="14">
        <f>IF(A66="","",IFERROR(INDEX(tbl_Finance[Client],MATCH(A66&amp;"",tbl_Finance[Job Number],0)),""))</f>
        <v/>
      </c>
      <c r="E66" s="44">
        <f>IF(A66="","",COUNTIFS(tbl_Finance[Job Number],A66&amp;"",tbl_Finance[Ex GST],"&lt;&gt;"))</f>
        <v/>
      </c>
      <c r="F66" s="16">
        <f>IF(A66="","",SUMIFS(tbl_Finance[Ex GST],tbl_Finance[Job Number],A66&amp;""))</f>
        <v/>
      </c>
      <c r="G66" s="14">
        <f>IF(A66="","",IFERROR(INDEX(tbl_Finance[Cost Centre],MATCH(A66&amp;"",tbl_Finance[Job Number],0)),"not invoiced yet"))</f>
        <v/>
      </c>
      <c r="H66" s="13" t="n"/>
      <c r="I66" s="13" t="n"/>
      <c r="J66" s="45" t="n"/>
      <c r="K66" s="13" t="n"/>
      <c r="L66" s="13" t="n"/>
    </row>
    <row r="67" ht="15" customHeight="1">
      <c r="A67" s="13" t="n"/>
      <c r="B67" s="14">
        <f>IF(A67="","",IF(COUNTIF(lst_Jobs,A67&amp;"")&gt;0,"OK","CHECK"))</f>
        <v/>
      </c>
      <c r="C67" s="14">
        <f>IF(A67="","",IFERROR(INDEX(lst_JobName,MATCH(A67&amp;"",lst_Jobs,0)),""))</f>
        <v/>
      </c>
      <c r="D67" s="14">
        <f>IF(A67="","",IFERROR(INDEX(tbl_Finance[Client],MATCH(A67&amp;"",tbl_Finance[Job Number],0)),""))</f>
        <v/>
      </c>
      <c r="E67" s="44">
        <f>IF(A67="","",COUNTIFS(tbl_Finance[Job Number],A67&amp;"",tbl_Finance[Ex GST],"&lt;&gt;"))</f>
        <v/>
      </c>
      <c r="F67" s="16">
        <f>IF(A67="","",SUMIFS(tbl_Finance[Ex GST],tbl_Finance[Job Number],A67&amp;""))</f>
        <v/>
      </c>
      <c r="G67" s="14">
        <f>IF(A67="","",IFERROR(INDEX(tbl_Finance[Cost Centre],MATCH(A67&amp;"",tbl_Finance[Job Number],0)),"not invoiced yet"))</f>
        <v/>
      </c>
      <c r="H67" s="13" t="n"/>
      <c r="I67" s="13" t="n"/>
      <c r="J67" s="45" t="n"/>
      <c r="K67" s="13" t="n"/>
      <c r="L67" s="13" t="n"/>
    </row>
    <row r="68" ht="15" customHeight="1">
      <c r="A68" s="13" t="n"/>
      <c r="B68" s="14">
        <f>IF(A68="","",IF(COUNTIF(lst_Jobs,A68&amp;"")&gt;0,"OK","CHECK"))</f>
        <v/>
      </c>
      <c r="C68" s="14">
        <f>IF(A68="","",IFERROR(INDEX(lst_JobName,MATCH(A68&amp;"",lst_Jobs,0)),""))</f>
        <v/>
      </c>
      <c r="D68" s="14">
        <f>IF(A68="","",IFERROR(INDEX(tbl_Finance[Client],MATCH(A68&amp;"",tbl_Finance[Job Number],0)),""))</f>
        <v/>
      </c>
      <c r="E68" s="44">
        <f>IF(A68="","",COUNTIFS(tbl_Finance[Job Number],A68&amp;"",tbl_Finance[Ex GST],"&lt;&gt;"))</f>
        <v/>
      </c>
      <c r="F68" s="16">
        <f>IF(A68="","",SUMIFS(tbl_Finance[Ex GST],tbl_Finance[Job Number],A68&amp;""))</f>
        <v/>
      </c>
      <c r="G68" s="14">
        <f>IF(A68="","",IFERROR(INDEX(tbl_Finance[Cost Centre],MATCH(A68&amp;"",tbl_Finance[Job Number],0)),"not invoiced yet"))</f>
        <v/>
      </c>
      <c r="H68" s="13" t="n"/>
      <c r="I68" s="13" t="n"/>
      <c r="J68" s="45" t="n"/>
      <c r="K68" s="13" t="n"/>
      <c r="L68" s="13" t="n"/>
    </row>
    <row r="69" ht="15" customHeight="1">
      <c r="A69" s="13" t="n"/>
      <c r="B69" s="14">
        <f>IF(A69="","",IF(COUNTIF(lst_Jobs,A69&amp;"")&gt;0,"OK","CHECK"))</f>
        <v/>
      </c>
      <c r="C69" s="14">
        <f>IF(A69="","",IFERROR(INDEX(lst_JobName,MATCH(A69&amp;"",lst_Jobs,0)),""))</f>
        <v/>
      </c>
      <c r="D69" s="14">
        <f>IF(A69="","",IFERROR(INDEX(tbl_Finance[Client],MATCH(A69&amp;"",tbl_Finance[Job Number],0)),""))</f>
        <v/>
      </c>
      <c r="E69" s="44">
        <f>IF(A69="","",COUNTIFS(tbl_Finance[Job Number],A69&amp;"",tbl_Finance[Ex GST],"&lt;&gt;"))</f>
        <v/>
      </c>
      <c r="F69" s="16">
        <f>IF(A69="","",SUMIFS(tbl_Finance[Ex GST],tbl_Finance[Job Number],A69&amp;""))</f>
        <v/>
      </c>
      <c r="G69" s="14">
        <f>IF(A69="","",IFERROR(INDEX(tbl_Finance[Cost Centre],MATCH(A69&amp;"",tbl_Finance[Job Number],0)),"not invoiced yet"))</f>
        <v/>
      </c>
      <c r="H69" s="13" t="n"/>
      <c r="I69" s="13" t="n"/>
      <c r="J69" s="45" t="n"/>
      <c r="K69" s="13" t="n"/>
      <c r="L69" s="13" t="n"/>
    </row>
    <row r="70" ht="15" customHeight="1">
      <c r="A70" s="13" t="n"/>
      <c r="B70" s="14">
        <f>IF(A70="","",IF(COUNTIF(lst_Jobs,A70&amp;"")&gt;0,"OK","CHECK"))</f>
        <v/>
      </c>
      <c r="C70" s="14">
        <f>IF(A70="","",IFERROR(INDEX(lst_JobName,MATCH(A70&amp;"",lst_Jobs,0)),""))</f>
        <v/>
      </c>
      <c r="D70" s="14">
        <f>IF(A70="","",IFERROR(INDEX(tbl_Finance[Client],MATCH(A70&amp;"",tbl_Finance[Job Number],0)),""))</f>
        <v/>
      </c>
      <c r="E70" s="44">
        <f>IF(A70="","",COUNTIFS(tbl_Finance[Job Number],A70&amp;"",tbl_Finance[Ex GST],"&lt;&gt;"))</f>
        <v/>
      </c>
      <c r="F70" s="16">
        <f>IF(A70="","",SUMIFS(tbl_Finance[Ex GST],tbl_Finance[Job Number],A70&amp;""))</f>
        <v/>
      </c>
      <c r="G70" s="14">
        <f>IF(A70="","",IFERROR(INDEX(tbl_Finance[Cost Centre],MATCH(A70&amp;"",tbl_Finance[Job Number],0)),"not invoiced yet"))</f>
        <v/>
      </c>
      <c r="H70" s="13" t="n"/>
      <c r="I70" s="13" t="n"/>
      <c r="J70" s="45" t="n"/>
      <c r="K70" s="13" t="n"/>
      <c r="L70" s="13" t="n"/>
    </row>
    <row r="71" ht="15" customHeight="1">
      <c r="A71" s="13" t="n"/>
      <c r="B71" s="14">
        <f>IF(A71="","",IF(COUNTIF(lst_Jobs,A71&amp;"")&gt;0,"OK","CHECK"))</f>
        <v/>
      </c>
      <c r="C71" s="14">
        <f>IF(A71="","",IFERROR(INDEX(lst_JobName,MATCH(A71&amp;"",lst_Jobs,0)),""))</f>
        <v/>
      </c>
      <c r="D71" s="14">
        <f>IF(A71="","",IFERROR(INDEX(tbl_Finance[Client],MATCH(A71&amp;"",tbl_Finance[Job Number],0)),""))</f>
        <v/>
      </c>
      <c r="E71" s="44">
        <f>IF(A71="","",COUNTIFS(tbl_Finance[Job Number],A71&amp;"",tbl_Finance[Ex GST],"&lt;&gt;"))</f>
        <v/>
      </c>
      <c r="F71" s="16">
        <f>IF(A71="","",SUMIFS(tbl_Finance[Ex GST],tbl_Finance[Job Number],A71&amp;""))</f>
        <v/>
      </c>
      <c r="G71" s="14">
        <f>IF(A71="","",IFERROR(INDEX(tbl_Finance[Cost Centre],MATCH(A71&amp;"",tbl_Finance[Job Number],0)),"not invoiced yet"))</f>
        <v/>
      </c>
      <c r="H71" s="13" t="n"/>
      <c r="I71" s="13" t="n"/>
      <c r="J71" s="45" t="n"/>
      <c r="K71" s="13" t="n"/>
      <c r="L71" s="13" t="n"/>
    </row>
    <row r="72" ht="15" customHeight="1">
      <c r="A72" s="13" t="n"/>
      <c r="B72" s="14">
        <f>IF(A72="","",IF(COUNTIF(lst_Jobs,A72&amp;"")&gt;0,"OK","CHECK"))</f>
        <v/>
      </c>
      <c r="C72" s="14">
        <f>IF(A72="","",IFERROR(INDEX(lst_JobName,MATCH(A72&amp;"",lst_Jobs,0)),""))</f>
        <v/>
      </c>
      <c r="D72" s="14">
        <f>IF(A72="","",IFERROR(INDEX(tbl_Finance[Client],MATCH(A72&amp;"",tbl_Finance[Job Number],0)),""))</f>
        <v/>
      </c>
      <c r="E72" s="44">
        <f>IF(A72="","",COUNTIFS(tbl_Finance[Job Number],A72&amp;"",tbl_Finance[Ex GST],"&lt;&gt;"))</f>
        <v/>
      </c>
      <c r="F72" s="16">
        <f>IF(A72="","",SUMIFS(tbl_Finance[Ex GST],tbl_Finance[Job Number],A72&amp;""))</f>
        <v/>
      </c>
      <c r="G72" s="14">
        <f>IF(A72="","",IFERROR(INDEX(tbl_Finance[Cost Centre],MATCH(A72&amp;"",tbl_Finance[Job Number],0)),"not invoiced yet"))</f>
        <v/>
      </c>
      <c r="H72" s="13" t="n"/>
      <c r="I72" s="13" t="n"/>
      <c r="J72" s="45" t="n"/>
      <c r="K72" s="13" t="n"/>
      <c r="L72" s="13" t="n"/>
    </row>
    <row r="73" ht="15" customHeight="1">
      <c r="A73" s="13" t="n"/>
      <c r="B73" s="14">
        <f>IF(A73="","",IF(COUNTIF(lst_Jobs,A73&amp;"")&gt;0,"OK","CHECK"))</f>
        <v/>
      </c>
      <c r="C73" s="14">
        <f>IF(A73="","",IFERROR(INDEX(lst_JobName,MATCH(A73&amp;"",lst_Jobs,0)),""))</f>
        <v/>
      </c>
      <c r="D73" s="14">
        <f>IF(A73="","",IFERROR(INDEX(tbl_Finance[Client],MATCH(A73&amp;"",tbl_Finance[Job Number],0)),""))</f>
        <v/>
      </c>
      <c r="E73" s="44">
        <f>IF(A73="","",COUNTIFS(tbl_Finance[Job Number],A73&amp;"",tbl_Finance[Ex GST],"&lt;&gt;"))</f>
        <v/>
      </c>
      <c r="F73" s="16">
        <f>IF(A73="","",SUMIFS(tbl_Finance[Ex GST],tbl_Finance[Job Number],A73&amp;""))</f>
        <v/>
      </c>
      <c r="G73" s="14">
        <f>IF(A73="","",IFERROR(INDEX(tbl_Finance[Cost Centre],MATCH(A73&amp;"",tbl_Finance[Job Number],0)),"not invoiced yet"))</f>
        <v/>
      </c>
      <c r="H73" s="13" t="n"/>
      <c r="I73" s="13" t="n"/>
      <c r="J73" s="45" t="n"/>
      <c r="K73" s="13" t="n"/>
      <c r="L73" s="13" t="n"/>
    </row>
    <row r="74" ht="15" customHeight="1">
      <c r="A74" s="13" t="n"/>
      <c r="B74" s="14">
        <f>IF(A74="","",IF(COUNTIF(lst_Jobs,A74&amp;"")&gt;0,"OK","CHECK"))</f>
        <v/>
      </c>
      <c r="C74" s="14">
        <f>IF(A74="","",IFERROR(INDEX(lst_JobName,MATCH(A74&amp;"",lst_Jobs,0)),""))</f>
        <v/>
      </c>
      <c r="D74" s="14">
        <f>IF(A74="","",IFERROR(INDEX(tbl_Finance[Client],MATCH(A74&amp;"",tbl_Finance[Job Number],0)),""))</f>
        <v/>
      </c>
      <c r="E74" s="44">
        <f>IF(A74="","",COUNTIFS(tbl_Finance[Job Number],A74&amp;"",tbl_Finance[Ex GST],"&lt;&gt;"))</f>
        <v/>
      </c>
      <c r="F74" s="16">
        <f>IF(A74="","",SUMIFS(tbl_Finance[Ex GST],tbl_Finance[Job Number],A74&amp;""))</f>
        <v/>
      </c>
      <c r="G74" s="14">
        <f>IF(A74="","",IFERROR(INDEX(tbl_Finance[Cost Centre],MATCH(A74&amp;"",tbl_Finance[Job Number],0)),"not invoiced yet"))</f>
        <v/>
      </c>
      <c r="H74" s="13" t="n"/>
      <c r="I74" s="13" t="n"/>
      <c r="J74" s="45" t="n"/>
      <c r="K74" s="13" t="n"/>
      <c r="L74" s="13" t="n"/>
    </row>
    <row r="75" ht="15" customHeight="1">
      <c r="A75" s="13" t="n"/>
      <c r="B75" s="14">
        <f>IF(A75="","",IF(COUNTIF(lst_Jobs,A75&amp;"")&gt;0,"OK","CHECK"))</f>
        <v/>
      </c>
      <c r="C75" s="14">
        <f>IF(A75="","",IFERROR(INDEX(lst_JobName,MATCH(A75&amp;"",lst_Jobs,0)),""))</f>
        <v/>
      </c>
      <c r="D75" s="14">
        <f>IF(A75="","",IFERROR(INDEX(tbl_Finance[Client],MATCH(A75&amp;"",tbl_Finance[Job Number],0)),""))</f>
        <v/>
      </c>
      <c r="E75" s="44">
        <f>IF(A75="","",COUNTIFS(tbl_Finance[Job Number],A75&amp;"",tbl_Finance[Ex GST],"&lt;&gt;"))</f>
        <v/>
      </c>
      <c r="F75" s="16">
        <f>IF(A75="","",SUMIFS(tbl_Finance[Ex GST],tbl_Finance[Job Number],A75&amp;""))</f>
        <v/>
      </c>
      <c r="G75" s="14">
        <f>IF(A75="","",IFERROR(INDEX(tbl_Finance[Cost Centre],MATCH(A75&amp;"",tbl_Finance[Job Number],0)),"not invoiced yet"))</f>
        <v/>
      </c>
      <c r="H75" s="13" t="n"/>
      <c r="I75" s="13" t="n"/>
      <c r="J75" s="45" t="n"/>
      <c r="K75" s="13" t="n"/>
      <c r="L75" s="13" t="n"/>
    </row>
    <row r="76" ht="15" customHeight="1">
      <c r="A76" s="13" t="n"/>
      <c r="B76" s="14">
        <f>IF(A76="","",IF(COUNTIF(lst_Jobs,A76&amp;"")&gt;0,"OK","CHECK"))</f>
        <v/>
      </c>
      <c r="C76" s="14">
        <f>IF(A76="","",IFERROR(INDEX(lst_JobName,MATCH(A76&amp;"",lst_Jobs,0)),""))</f>
        <v/>
      </c>
      <c r="D76" s="14">
        <f>IF(A76="","",IFERROR(INDEX(tbl_Finance[Client],MATCH(A76&amp;"",tbl_Finance[Job Number],0)),""))</f>
        <v/>
      </c>
      <c r="E76" s="44">
        <f>IF(A76="","",COUNTIFS(tbl_Finance[Job Number],A76&amp;"",tbl_Finance[Ex GST],"&lt;&gt;"))</f>
        <v/>
      </c>
      <c r="F76" s="16">
        <f>IF(A76="","",SUMIFS(tbl_Finance[Ex GST],tbl_Finance[Job Number],A76&amp;""))</f>
        <v/>
      </c>
      <c r="G76" s="14">
        <f>IF(A76="","",IFERROR(INDEX(tbl_Finance[Cost Centre],MATCH(A76&amp;"",tbl_Finance[Job Number],0)),"not invoiced yet"))</f>
        <v/>
      </c>
      <c r="H76" s="13" t="n"/>
      <c r="I76" s="13" t="n"/>
      <c r="J76" s="45" t="n"/>
      <c r="K76" s="13" t="n"/>
      <c r="L76" s="13" t="n"/>
    </row>
    <row r="77" ht="15" customHeight="1">
      <c r="A77" s="13" t="n"/>
      <c r="B77" s="14">
        <f>IF(A77="","",IF(COUNTIF(lst_Jobs,A77&amp;"")&gt;0,"OK","CHECK"))</f>
        <v/>
      </c>
      <c r="C77" s="14">
        <f>IF(A77="","",IFERROR(INDEX(lst_JobName,MATCH(A77&amp;"",lst_Jobs,0)),""))</f>
        <v/>
      </c>
      <c r="D77" s="14">
        <f>IF(A77="","",IFERROR(INDEX(tbl_Finance[Client],MATCH(A77&amp;"",tbl_Finance[Job Number],0)),""))</f>
        <v/>
      </c>
      <c r="E77" s="44">
        <f>IF(A77="","",COUNTIFS(tbl_Finance[Job Number],A77&amp;"",tbl_Finance[Ex GST],"&lt;&gt;"))</f>
        <v/>
      </c>
      <c r="F77" s="16">
        <f>IF(A77="","",SUMIFS(tbl_Finance[Ex GST],tbl_Finance[Job Number],A77&amp;""))</f>
        <v/>
      </c>
      <c r="G77" s="14">
        <f>IF(A77="","",IFERROR(INDEX(tbl_Finance[Cost Centre],MATCH(A77&amp;"",tbl_Finance[Job Number],0)),"not invoiced yet"))</f>
        <v/>
      </c>
      <c r="H77" s="13" t="n"/>
      <c r="I77" s="13" t="n"/>
      <c r="J77" s="45" t="n"/>
      <c r="K77" s="13" t="n"/>
      <c r="L77" s="13" t="n"/>
    </row>
    <row r="78" ht="15" customHeight="1">
      <c r="A78" s="13" t="n"/>
      <c r="B78" s="14">
        <f>IF(A78="","",IF(COUNTIF(lst_Jobs,A78&amp;"")&gt;0,"OK","CHECK"))</f>
        <v/>
      </c>
      <c r="C78" s="14">
        <f>IF(A78="","",IFERROR(INDEX(lst_JobName,MATCH(A78&amp;"",lst_Jobs,0)),""))</f>
        <v/>
      </c>
      <c r="D78" s="14">
        <f>IF(A78="","",IFERROR(INDEX(tbl_Finance[Client],MATCH(A78&amp;"",tbl_Finance[Job Number],0)),""))</f>
        <v/>
      </c>
      <c r="E78" s="44">
        <f>IF(A78="","",COUNTIFS(tbl_Finance[Job Number],A78&amp;"",tbl_Finance[Ex GST],"&lt;&gt;"))</f>
        <v/>
      </c>
      <c r="F78" s="16">
        <f>IF(A78="","",SUMIFS(tbl_Finance[Ex GST],tbl_Finance[Job Number],A78&amp;""))</f>
        <v/>
      </c>
      <c r="G78" s="14">
        <f>IF(A78="","",IFERROR(INDEX(tbl_Finance[Cost Centre],MATCH(A78&amp;"",tbl_Finance[Job Number],0)),"not invoiced yet"))</f>
        <v/>
      </c>
      <c r="H78" s="13" t="n"/>
      <c r="I78" s="13" t="n"/>
      <c r="J78" s="45" t="n"/>
      <c r="K78" s="13" t="n"/>
      <c r="L78" s="13" t="n"/>
    </row>
    <row r="79" ht="15" customHeight="1">
      <c r="A79" s="13" t="n"/>
      <c r="B79" s="14">
        <f>IF(A79="","",IF(COUNTIF(lst_Jobs,A79&amp;"")&gt;0,"OK","CHECK"))</f>
        <v/>
      </c>
      <c r="C79" s="14">
        <f>IF(A79="","",IFERROR(INDEX(lst_JobName,MATCH(A79&amp;"",lst_Jobs,0)),""))</f>
        <v/>
      </c>
      <c r="D79" s="14">
        <f>IF(A79="","",IFERROR(INDEX(tbl_Finance[Client],MATCH(A79&amp;"",tbl_Finance[Job Number],0)),""))</f>
        <v/>
      </c>
      <c r="E79" s="44">
        <f>IF(A79="","",COUNTIFS(tbl_Finance[Job Number],A79&amp;"",tbl_Finance[Ex GST],"&lt;&gt;"))</f>
        <v/>
      </c>
      <c r="F79" s="16">
        <f>IF(A79="","",SUMIFS(tbl_Finance[Ex GST],tbl_Finance[Job Number],A79&amp;""))</f>
        <v/>
      </c>
      <c r="G79" s="14">
        <f>IF(A79="","",IFERROR(INDEX(tbl_Finance[Cost Centre],MATCH(A79&amp;"",tbl_Finance[Job Number],0)),"not invoiced yet"))</f>
        <v/>
      </c>
      <c r="H79" s="13" t="n"/>
      <c r="I79" s="13" t="n"/>
      <c r="J79" s="45" t="n"/>
      <c r="K79" s="13" t="n"/>
      <c r="L79" s="13" t="n"/>
    </row>
    <row r="80" ht="15" customHeight="1">
      <c r="A80" s="13" t="n"/>
      <c r="B80" s="14">
        <f>IF(A80="","",IF(COUNTIF(lst_Jobs,A80&amp;"")&gt;0,"OK","CHECK"))</f>
        <v/>
      </c>
      <c r="C80" s="14">
        <f>IF(A80="","",IFERROR(INDEX(lst_JobName,MATCH(A80&amp;"",lst_Jobs,0)),""))</f>
        <v/>
      </c>
      <c r="D80" s="14">
        <f>IF(A80="","",IFERROR(INDEX(tbl_Finance[Client],MATCH(A80&amp;"",tbl_Finance[Job Number],0)),""))</f>
        <v/>
      </c>
      <c r="E80" s="44">
        <f>IF(A80="","",COUNTIFS(tbl_Finance[Job Number],A80&amp;"",tbl_Finance[Ex GST],"&lt;&gt;"))</f>
        <v/>
      </c>
      <c r="F80" s="16">
        <f>IF(A80="","",SUMIFS(tbl_Finance[Ex GST],tbl_Finance[Job Number],A80&amp;""))</f>
        <v/>
      </c>
      <c r="G80" s="14">
        <f>IF(A80="","",IFERROR(INDEX(tbl_Finance[Cost Centre],MATCH(A80&amp;"",tbl_Finance[Job Number],0)),"not invoiced yet"))</f>
        <v/>
      </c>
      <c r="H80" s="13" t="n"/>
      <c r="I80" s="13" t="n"/>
      <c r="J80" s="45" t="n"/>
      <c r="K80" s="13" t="n"/>
      <c r="L80" s="13" t="n"/>
    </row>
    <row r="81" ht="15" customHeight="1">
      <c r="A81" s="13" t="n"/>
      <c r="B81" s="14">
        <f>IF(A81="","",IF(COUNTIF(lst_Jobs,A81&amp;"")&gt;0,"OK","CHECK"))</f>
        <v/>
      </c>
      <c r="C81" s="14">
        <f>IF(A81="","",IFERROR(INDEX(lst_JobName,MATCH(A81&amp;"",lst_Jobs,0)),""))</f>
        <v/>
      </c>
      <c r="D81" s="14">
        <f>IF(A81="","",IFERROR(INDEX(tbl_Finance[Client],MATCH(A81&amp;"",tbl_Finance[Job Number],0)),""))</f>
        <v/>
      </c>
      <c r="E81" s="44">
        <f>IF(A81="","",COUNTIFS(tbl_Finance[Job Number],A81&amp;"",tbl_Finance[Ex GST],"&lt;&gt;"))</f>
        <v/>
      </c>
      <c r="F81" s="16">
        <f>IF(A81="","",SUMIFS(tbl_Finance[Ex GST],tbl_Finance[Job Number],A81&amp;""))</f>
        <v/>
      </c>
      <c r="G81" s="14">
        <f>IF(A81="","",IFERROR(INDEX(tbl_Finance[Cost Centre],MATCH(A81&amp;"",tbl_Finance[Job Number],0)),"not invoiced yet"))</f>
        <v/>
      </c>
      <c r="H81" s="13" t="n"/>
      <c r="I81" s="13" t="n"/>
      <c r="J81" s="45" t="n"/>
      <c r="K81" s="13" t="n"/>
      <c r="L81" s="13" t="n"/>
    </row>
    <row r="82" ht="15" customHeight="1">
      <c r="A82" s="13" t="n"/>
      <c r="B82" s="14">
        <f>IF(A82="","",IF(COUNTIF(lst_Jobs,A82&amp;"")&gt;0,"OK","CHECK"))</f>
        <v/>
      </c>
      <c r="C82" s="14">
        <f>IF(A82="","",IFERROR(INDEX(lst_JobName,MATCH(A82&amp;"",lst_Jobs,0)),""))</f>
        <v/>
      </c>
      <c r="D82" s="14">
        <f>IF(A82="","",IFERROR(INDEX(tbl_Finance[Client],MATCH(A82&amp;"",tbl_Finance[Job Number],0)),""))</f>
        <v/>
      </c>
      <c r="E82" s="44">
        <f>IF(A82="","",COUNTIFS(tbl_Finance[Job Number],A82&amp;"",tbl_Finance[Ex GST],"&lt;&gt;"))</f>
        <v/>
      </c>
      <c r="F82" s="16">
        <f>IF(A82="","",SUMIFS(tbl_Finance[Ex GST],tbl_Finance[Job Number],A82&amp;""))</f>
        <v/>
      </c>
      <c r="G82" s="14">
        <f>IF(A82="","",IFERROR(INDEX(tbl_Finance[Cost Centre],MATCH(A82&amp;"",tbl_Finance[Job Number],0)),"not invoiced yet"))</f>
        <v/>
      </c>
      <c r="H82" s="13" t="n"/>
      <c r="I82" s="13" t="n"/>
      <c r="J82" s="45" t="n"/>
      <c r="K82" s="13" t="n"/>
      <c r="L82" s="13" t="n"/>
    </row>
    <row r="83" ht="15" customHeight="1">
      <c r="A83" s="13" t="n"/>
      <c r="B83" s="14">
        <f>IF(A83="","",IF(COUNTIF(lst_Jobs,A83&amp;"")&gt;0,"OK","CHECK"))</f>
        <v/>
      </c>
      <c r="C83" s="14">
        <f>IF(A83="","",IFERROR(INDEX(lst_JobName,MATCH(A83&amp;"",lst_Jobs,0)),""))</f>
        <v/>
      </c>
      <c r="D83" s="14">
        <f>IF(A83="","",IFERROR(INDEX(tbl_Finance[Client],MATCH(A83&amp;"",tbl_Finance[Job Number],0)),""))</f>
        <v/>
      </c>
      <c r="E83" s="44">
        <f>IF(A83="","",COUNTIFS(tbl_Finance[Job Number],A83&amp;"",tbl_Finance[Ex GST],"&lt;&gt;"))</f>
        <v/>
      </c>
      <c r="F83" s="16">
        <f>IF(A83="","",SUMIFS(tbl_Finance[Ex GST],tbl_Finance[Job Number],A83&amp;""))</f>
        <v/>
      </c>
      <c r="G83" s="14">
        <f>IF(A83="","",IFERROR(INDEX(tbl_Finance[Cost Centre],MATCH(A83&amp;"",tbl_Finance[Job Number],0)),"not invoiced yet"))</f>
        <v/>
      </c>
      <c r="H83" s="13" t="n"/>
      <c r="I83" s="13" t="n"/>
      <c r="J83" s="45" t="n"/>
      <c r="K83" s="13" t="n"/>
      <c r="L83" s="13" t="n"/>
    </row>
    <row r="84" ht="15" customHeight="1">
      <c r="A84" s="13" t="n"/>
      <c r="B84" s="14">
        <f>IF(A84="","",IF(COUNTIF(lst_Jobs,A84&amp;"")&gt;0,"OK","CHECK"))</f>
        <v/>
      </c>
      <c r="C84" s="14">
        <f>IF(A84="","",IFERROR(INDEX(lst_JobName,MATCH(A84&amp;"",lst_Jobs,0)),""))</f>
        <v/>
      </c>
      <c r="D84" s="14">
        <f>IF(A84="","",IFERROR(INDEX(tbl_Finance[Client],MATCH(A84&amp;"",tbl_Finance[Job Number],0)),""))</f>
        <v/>
      </c>
      <c r="E84" s="44">
        <f>IF(A84="","",COUNTIFS(tbl_Finance[Job Number],A84&amp;"",tbl_Finance[Ex GST],"&lt;&gt;"))</f>
        <v/>
      </c>
      <c r="F84" s="16">
        <f>IF(A84="","",SUMIFS(tbl_Finance[Ex GST],tbl_Finance[Job Number],A84&amp;""))</f>
        <v/>
      </c>
      <c r="G84" s="14">
        <f>IF(A84="","",IFERROR(INDEX(tbl_Finance[Cost Centre],MATCH(A84&amp;"",tbl_Finance[Job Number],0)),"not invoiced yet"))</f>
        <v/>
      </c>
      <c r="H84" s="13" t="n"/>
      <c r="I84" s="13" t="n"/>
      <c r="J84" s="45" t="n"/>
      <c r="K84" s="13" t="n"/>
      <c r="L84" s="13" t="n"/>
    </row>
    <row r="85" ht="15" customHeight="1">
      <c r="A85" s="13" t="n"/>
      <c r="B85" s="14">
        <f>IF(A85="","",IF(COUNTIF(lst_Jobs,A85&amp;"")&gt;0,"OK","CHECK"))</f>
        <v/>
      </c>
      <c r="C85" s="14">
        <f>IF(A85="","",IFERROR(INDEX(lst_JobName,MATCH(A85&amp;"",lst_Jobs,0)),""))</f>
        <v/>
      </c>
      <c r="D85" s="14">
        <f>IF(A85="","",IFERROR(INDEX(tbl_Finance[Client],MATCH(A85&amp;"",tbl_Finance[Job Number],0)),""))</f>
        <v/>
      </c>
      <c r="E85" s="44">
        <f>IF(A85="","",COUNTIFS(tbl_Finance[Job Number],A85&amp;"",tbl_Finance[Ex GST],"&lt;&gt;"))</f>
        <v/>
      </c>
      <c r="F85" s="16">
        <f>IF(A85="","",SUMIFS(tbl_Finance[Ex GST],tbl_Finance[Job Number],A85&amp;""))</f>
        <v/>
      </c>
      <c r="G85" s="14">
        <f>IF(A85="","",IFERROR(INDEX(tbl_Finance[Cost Centre],MATCH(A85&amp;"",tbl_Finance[Job Number],0)),"not invoiced yet"))</f>
        <v/>
      </c>
      <c r="H85" s="13" t="n"/>
      <c r="I85" s="13" t="n"/>
      <c r="J85" s="45" t="n"/>
      <c r="K85" s="13" t="n"/>
      <c r="L85" s="13" t="n"/>
    </row>
    <row r="86" ht="15" customHeight="1">
      <c r="A86" s="13" t="n"/>
      <c r="B86" s="14">
        <f>IF(A86="","",IF(COUNTIF(lst_Jobs,A86&amp;"")&gt;0,"OK","CHECK"))</f>
        <v/>
      </c>
      <c r="C86" s="14">
        <f>IF(A86="","",IFERROR(INDEX(lst_JobName,MATCH(A86&amp;"",lst_Jobs,0)),""))</f>
        <v/>
      </c>
      <c r="D86" s="14">
        <f>IF(A86="","",IFERROR(INDEX(tbl_Finance[Client],MATCH(A86&amp;"",tbl_Finance[Job Number],0)),""))</f>
        <v/>
      </c>
      <c r="E86" s="44">
        <f>IF(A86="","",COUNTIFS(tbl_Finance[Job Number],A86&amp;"",tbl_Finance[Ex GST],"&lt;&gt;"))</f>
        <v/>
      </c>
      <c r="F86" s="16">
        <f>IF(A86="","",SUMIFS(tbl_Finance[Ex GST],tbl_Finance[Job Number],A86&amp;""))</f>
        <v/>
      </c>
      <c r="G86" s="14">
        <f>IF(A86="","",IFERROR(INDEX(tbl_Finance[Cost Centre],MATCH(A86&amp;"",tbl_Finance[Job Number],0)),"not invoiced yet"))</f>
        <v/>
      </c>
      <c r="H86" s="13" t="n"/>
      <c r="I86" s="13" t="n"/>
      <c r="J86" s="45" t="n"/>
      <c r="K86" s="13" t="n"/>
      <c r="L86" s="13" t="n"/>
    </row>
    <row r="87" ht="15" customHeight="1">
      <c r="A87" s="13" t="n"/>
      <c r="B87" s="14">
        <f>IF(A87="","",IF(COUNTIF(lst_Jobs,A87&amp;"")&gt;0,"OK","CHECK"))</f>
        <v/>
      </c>
      <c r="C87" s="14">
        <f>IF(A87="","",IFERROR(INDEX(lst_JobName,MATCH(A87&amp;"",lst_Jobs,0)),""))</f>
        <v/>
      </c>
      <c r="D87" s="14">
        <f>IF(A87="","",IFERROR(INDEX(tbl_Finance[Client],MATCH(A87&amp;"",tbl_Finance[Job Number],0)),""))</f>
        <v/>
      </c>
      <c r="E87" s="44">
        <f>IF(A87="","",COUNTIFS(tbl_Finance[Job Number],A87&amp;"",tbl_Finance[Ex GST],"&lt;&gt;"))</f>
        <v/>
      </c>
      <c r="F87" s="16">
        <f>IF(A87="","",SUMIFS(tbl_Finance[Ex GST],tbl_Finance[Job Number],A87&amp;""))</f>
        <v/>
      </c>
      <c r="G87" s="14">
        <f>IF(A87="","",IFERROR(INDEX(tbl_Finance[Cost Centre],MATCH(A87&amp;"",tbl_Finance[Job Number],0)),"not invoiced yet"))</f>
        <v/>
      </c>
      <c r="H87" s="13" t="n"/>
      <c r="I87" s="13" t="n"/>
      <c r="J87" s="45" t="n"/>
      <c r="K87" s="13" t="n"/>
      <c r="L87" s="13" t="n"/>
    </row>
    <row r="88" ht="15" customHeight="1">
      <c r="A88" s="13" t="n"/>
      <c r="B88" s="14">
        <f>IF(A88="","",IF(COUNTIF(lst_Jobs,A88&amp;"")&gt;0,"OK","CHECK"))</f>
        <v/>
      </c>
      <c r="C88" s="14">
        <f>IF(A88="","",IFERROR(INDEX(lst_JobName,MATCH(A88&amp;"",lst_Jobs,0)),""))</f>
        <v/>
      </c>
      <c r="D88" s="14">
        <f>IF(A88="","",IFERROR(INDEX(tbl_Finance[Client],MATCH(A88&amp;"",tbl_Finance[Job Number],0)),""))</f>
        <v/>
      </c>
      <c r="E88" s="44">
        <f>IF(A88="","",COUNTIFS(tbl_Finance[Job Number],A88&amp;"",tbl_Finance[Ex GST],"&lt;&gt;"))</f>
        <v/>
      </c>
      <c r="F88" s="16">
        <f>IF(A88="","",SUMIFS(tbl_Finance[Ex GST],tbl_Finance[Job Number],A88&amp;""))</f>
        <v/>
      </c>
      <c r="G88" s="14">
        <f>IF(A88="","",IFERROR(INDEX(tbl_Finance[Cost Centre],MATCH(A88&amp;"",tbl_Finance[Job Number],0)),"not invoiced yet"))</f>
        <v/>
      </c>
      <c r="H88" s="13" t="n"/>
      <c r="I88" s="13" t="n"/>
      <c r="J88" s="45" t="n"/>
      <c r="K88" s="13" t="n"/>
      <c r="L88" s="13" t="n"/>
    </row>
    <row r="89" ht="15" customHeight="1">
      <c r="A89" s="13" t="n"/>
      <c r="B89" s="14">
        <f>IF(A89="","",IF(COUNTIF(lst_Jobs,A89&amp;"")&gt;0,"OK","CHECK"))</f>
        <v/>
      </c>
      <c r="C89" s="14">
        <f>IF(A89="","",IFERROR(INDEX(lst_JobName,MATCH(A89&amp;"",lst_Jobs,0)),""))</f>
        <v/>
      </c>
      <c r="D89" s="14">
        <f>IF(A89="","",IFERROR(INDEX(tbl_Finance[Client],MATCH(A89&amp;"",tbl_Finance[Job Number],0)),""))</f>
        <v/>
      </c>
      <c r="E89" s="44">
        <f>IF(A89="","",COUNTIFS(tbl_Finance[Job Number],A89&amp;"",tbl_Finance[Ex GST],"&lt;&gt;"))</f>
        <v/>
      </c>
      <c r="F89" s="16">
        <f>IF(A89="","",SUMIFS(tbl_Finance[Ex GST],tbl_Finance[Job Number],A89&amp;""))</f>
        <v/>
      </c>
      <c r="G89" s="14">
        <f>IF(A89="","",IFERROR(INDEX(tbl_Finance[Cost Centre],MATCH(A89&amp;"",tbl_Finance[Job Number],0)),"not invoiced yet"))</f>
        <v/>
      </c>
      <c r="H89" s="13" t="n"/>
      <c r="I89" s="13" t="n"/>
      <c r="J89" s="45" t="n"/>
      <c r="K89" s="13" t="n"/>
      <c r="L89" s="13" t="n"/>
    </row>
    <row r="90" ht="15" customHeight="1">
      <c r="A90" s="13" t="n"/>
      <c r="B90" s="14">
        <f>IF(A90="","",IF(COUNTIF(lst_Jobs,A90&amp;"")&gt;0,"OK","CHECK"))</f>
        <v/>
      </c>
      <c r="C90" s="14">
        <f>IF(A90="","",IFERROR(INDEX(lst_JobName,MATCH(A90&amp;"",lst_Jobs,0)),""))</f>
        <v/>
      </c>
      <c r="D90" s="14">
        <f>IF(A90="","",IFERROR(INDEX(tbl_Finance[Client],MATCH(A90&amp;"",tbl_Finance[Job Number],0)),""))</f>
        <v/>
      </c>
      <c r="E90" s="44">
        <f>IF(A90="","",COUNTIFS(tbl_Finance[Job Number],A90&amp;"",tbl_Finance[Ex GST],"&lt;&gt;"))</f>
        <v/>
      </c>
      <c r="F90" s="16">
        <f>IF(A90="","",SUMIFS(tbl_Finance[Ex GST],tbl_Finance[Job Number],A90&amp;""))</f>
        <v/>
      </c>
      <c r="G90" s="14">
        <f>IF(A90="","",IFERROR(INDEX(tbl_Finance[Cost Centre],MATCH(A90&amp;"",tbl_Finance[Job Number],0)),"not invoiced yet"))</f>
        <v/>
      </c>
      <c r="H90" s="13" t="n"/>
      <c r="I90" s="13" t="n"/>
      <c r="J90" s="45" t="n"/>
      <c r="K90" s="13" t="n"/>
      <c r="L90" s="13" t="n"/>
    </row>
    <row r="91" ht="15" customHeight="1">
      <c r="A91" s="13" t="n"/>
      <c r="B91" s="14">
        <f>IF(A91="","",IF(COUNTIF(lst_Jobs,A91&amp;"")&gt;0,"OK","CHECK"))</f>
        <v/>
      </c>
      <c r="C91" s="14">
        <f>IF(A91="","",IFERROR(INDEX(lst_JobName,MATCH(A91&amp;"",lst_Jobs,0)),""))</f>
        <v/>
      </c>
      <c r="D91" s="14">
        <f>IF(A91="","",IFERROR(INDEX(tbl_Finance[Client],MATCH(A91&amp;"",tbl_Finance[Job Number],0)),""))</f>
        <v/>
      </c>
      <c r="E91" s="44">
        <f>IF(A91="","",COUNTIFS(tbl_Finance[Job Number],A91&amp;"",tbl_Finance[Ex GST],"&lt;&gt;"))</f>
        <v/>
      </c>
      <c r="F91" s="16">
        <f>IF(A91="","",SUMIFS(tbl_Finance[Ex GST],tbl_Finance[Job Number],A91&amp;""))</f>
        <v/>
      </c>
      <c r="G91" s="14">
        <f>IF(A91="","",IFERROR(INDEX(tbl_Finance[Cost Centre],MATCH(A91&amp;"",tbl_Finance[Job Number],0)),"not invoiced yet"))</f>
        <v/>
      </c>
      <c r="H91" s="13" t="n"/>
      <c r="I91" s="13" t="n"/>
      <c r="J91" s="45" t="n"/>
      <c r="K91" s="13" t="n"/>
      <c r="L91" s="13" t="n"/>
    </row>
    <row r="92" ht="15" customHeight="1">
      <c r="A92" s="13" t="n"/>
      <c r="B92" s="14">
        <f>IF(A92="","",IF(COUNTIF(lst_Jobs,A92&amp;"")&gt;0,"OK","CHECK"))</f>
        <v/>
      </c>
      <c r="C92" s="14">
        <f>IF(A92="","",IFERROR(INDEX(lst_JobName,MATCH(A92&amp;"",lst_Jobs,0)),""))</f>
        <v/>
      </c>
      <c r="D92" s="14">
        <f>IF(A92="","",IFERROR(INDEX(tbl_Finance[Client],MATCH(A92&amp;"",tbl_Finance[Job Number],0)),""))</f>
        <v/>
      </c>
      <c r="E92" s="44">
        <f>IF(A92="","",COUNTIFS(tbl_Finance[Job Number],A92&amp;"",tbl_Finance[Ex GST],"&lt;&gt;"))</f>
        <v/>
      </c>
      <c r="F92" s="16">
        <f>IF(A92="","",SUMIFS(tbl_Finance[Ex GST],tbl_Finance[Job Number],A92&amp;""))</f>
        <v/>
      </c>
      <c r="G92" s="14">
        <f>IF(A92="","",IFERROR(INDEX(tbl_Finance[Cost Centre],MATCH(A92&amp;"",tbl_Finance[Job Number],0)),"not invoiced yet"))</f>
        <v/>
      </c>
      <c r="H92" s="13" t="n"/>
      <c r="I92" s="13" t="n"/>
      <c r="J92" s="45" t="n"/>
      <c r="K92" s="13" t="n"/>
      <c r="L92" s="13" t="n"/>
    </row>
    <row r="93" ht="15" customHeight="1">
      <c r="A93" s="13" t="n"/>
      <c r="B93" s="14">
        <f>IF(A93="","",IF(COUNTIF(lst_Jobs,A93&amp;"")&gt;0,"OK","CHECK"))</f>
        <v/>
      </c>
      <c r="C93" s="14">
        <f>IF(A93="","",IFERROR(INDEX(lst_JobName,MATCH(A93&amp;"",lst_Jobs,0)),""))</f>
        <v/>
      </c>
      <c r="D93" s="14">
        <f>IF(A93="","",IFERROR(INDEX(tbl_Finance[Client],MATCH(A93&amp;"",tbl_Finance[Job Number],0)),""))</f>
        <v/>
      </c>
      <c r="E93" s="44">
        <f>IF(A93="","",COUNTIFS(tbl_Finance[Job Number],A93&amp;"",tbl_Finance[Ex GST],"&lt;&gt;"))</f>
        <v/>
      </c>
      <c r="F93" s="16">
        <f>IF(A93="","",SUMIFS(tbl_Finance[Ex GST],tbl_Finance[Job Number],A93&amp;""))</f>
        <v/>
      </c>
      <c r="G93" s="14">
        <f>IF(A93="","",IFERROR(INDEX(tbl_Finance[Cost Centre],MATCH(A93&amp;"",tbl_Finance[Job Number],0)),"not invoiced yet"))</f>
        <v/>
      </c>
      <c r="H93" s="13" t="n"/>
      <c r="I93" s="13" t="n"/>
      <c r="J93" s="45" t="n"/>
      <c r="K93" s="13" t="n"/>
      <c r="L93" s="13" t="n"/>
    </row>
    <row r="94" ht="15" customHeight="1">
      <c r="A94" s="13" t="n"/>
      <c r="B94" s="14">
        <f>IF(A94="","",IF(COUNTIF(lst_Jobs,A94&amp;"")&gt;0,"OK","CHECK"))</f>
        <v/>
      </c>
      <c r="C94" s="14">
        <f>IF(A94="","",IFERROR(INDEX(lst_JobName,MATCH(A94&amp;"",lst_Jobs,0)),""))</f>
        <v/>
      </c>
      <c r="D94" s="14">
        <f>IF(A94="","",IFERROR(INDEX(tbl_Finance[Client],MATCH(A94&amp;"",tbl_Finance[Job Number],0)),""))</f>
        <v/>
      </c>
      <c r="E94" s="44">
        <f>IF(A94="","",COUNTIFS(tbl_Finance[Job Number],A94&amp;"",tbl_Finance[Ex GST],"&lt;&gt;"))</f>
        <v/>
      </c>
      <c r="F94" s="16">
        <f>IF(A94="","",SUMIFS(tbl_Finance[Ex GST],tbl_Finance[Job Number],A94&amp;""))</f>
        <v/>
      </c>
      <c r="G94" s="14">
        <f>IF(A94="","",IFERROR(INDEX(tbl_Finance[Cost Centre],MATCH(A94&amp;"",tbl_Finance[Job Number],0)),"not invoiced yet"))</f>
        <v/>
      </c>
      <c r="H94" s="13" t="n"/>
      <c r="I94" s="13" t="n"/>
      <c r="J94" s="45" t="n"/>
      <c r="K94" s="13" t="n"/>
      <c r="L94" s="13" t="n"/>
    </row>
    <row r="95" ht="15" customHeight="1">
      <c r="A95" s="13" t="n"/>
      <c r="B95" s="14">
        <f>IF(A95="","",IF(COUNTIF(lst_Jobs,A95&amp;"")&gt;0,"OK","CHECK"))</f>
        <v/>
      </c>
      <c r="C95" s="14">
        <f>IF(A95="","",IFERROR(INDEX(lst_JobName,MATCH(A95&amp;"",lst_Jobs,0)),""))</f>
        <v/>
      </c>
      <c r="D95" s="14">
        <f>IF(A95="","",IFERROR(INDEX(tbl_Finance[Client],MATCH(A95&amp;"",tbl_Finance[Job Number],0)),""))</f>
        <v/>
      </c>
      <c r="E95" s="44">
        <f>IF(A95="","",COUNTIFS(tbl_Finance[Job Number],A95&amp;"",tbl_Finance[Ex GST],"&lt;&gt;"))</f>
        <v/>
      </c>
      <c r="F95" s="16">
        <f>IF(A95="","",SUMIFS(tbl_Finance[Ex GST],tbl_Finance[Job Number],A95&amp;""))</f>
        <v/>
      </c>
      <c r="G95" s="14">
        <f>IF(A95="","",IFERROR(INDEX(tbl_Finance[Cost Centre],MATCH(A95&amp;"",tbl_Finance[Job Number],0)),"not invoiced yet"))</f>
        <v/>
      </c>
      <c r="H95" s="13" t="n"/>
      <c r="I95" s="13" t="n"/>
      <c r="J95" s="45" t="n"/>
      <c r="K95" s="13" t="n"/>
      <c r="L95" s="13" t="n"/>
    </row>
    <row r="96" ht="15" customHeight="1">
      <c r="A96" s="13" t="n"/>
      <c r="B96" s="14">
        <f>IF(A96="","",IF(COUNTIF(lst_Jobs,A96&amp;"")&gt;0,"OK","CHECK"))</f>
        <v/>
      </c>
      <c r="C96" s="14">
        <f>IF(A96="","",IFERROR(INDEX(lst_JobName,MATCH(A96&amp;"",lst_Jobs,0)),""))</f>
        <v/>
      </c>
      <c r="D96" s="14">
        <f>IF(A96="","",IFERROR(INDEX(tbl_Finance[Client],MATCH(A96&amp;"",tbl_Finance[Job Number],0)),""))</f>
        <v/>
      </c>
      <c r="E96" s="44">
        <f>IF(A96="","",COUNTIFS(tbl_Finance[Job Number],A96&amp;"",tbl_Finance[Ex GST],"&lt;&gt;"))</f>
        <v/>
      </c>
      <c r="F96" s="16">
        <f>IF(A96="","",SUMIFS(tbl_Finance[Ex GST],tbl_Finance[Job Number],A96&amp;""))</f>
        <v/>
      </c>
      <c r="G96" s="14">
        <f>IF(A96="","",IFERROR(INDEX(tbl_Finance[Cost Centre],MATCH(A96&amp;"",tbl_Finance[Job Number],0)),"not invoiced yet"))</f>
        <v/>
      </c>
      <c r="H96" s="13" t="n"/>
      <c r="I96" s="13" t="n"/>
      <c r="J96" s="45" t="n"/>
      <c r="K96" s="13" t="n"/>
      <c r="L96" s="13" t="n"/>
    </row>
    <row r="97" ht="15" customHeight="1">
      <c r="A97" s="13" t="n"/>
      <c r="B97" s="14">
        <f>IF(A97="","",IF(COUNTIF(lst_Jobs,A97&amp;"")&gt;0,"OK","CHECK"))</f>
        <v/>
      </c>
      <c r="C97" s="14">
        <f>IF(A97="","",IFERROR(INDEX(lst_JobName,MATCH(A97&amp;"",lst_Jobs,0)),""))</f>
        <v/>
      </c>
      <c r="D97" s="14">
        <f>IF(A97="","",IFERROR(INDEX(tbl_Finance[Client],MATCH(A97&amp;"",tbl_Finance[Job Number],0)),""))</f>
        <v/>
      </c>
      <c r="E97" s="44">
        <f>IF(A97="","",COUNTIFS(tbl_Finance[Job Number],A97&amp;"",tbl_Finance[Ex GST],"&lt;&gt;"))</f>
        <v/>
      </c>
      <c r="F97" s="16">
        <f>IF(A97="","",SUMIFS(tbl_Finance[Ex GST],tbl_Finance[Job Number],A97&amp;""))</f>
        <v/>
      </c>
      <c r="G97" s="14">
        <f>IF(A97="","",IFERROR(INDEX(tbl_Finance[Cost Centre],MATCH(A97&amp;"",tbl_Finance[Job Number],0)),"not invoiced yet"))</f>
        <v/>
      </c>
      <c r="H97" s="13" t="n"/>
      <c r="I97" s="13" t="n"/>
      <c r="J97" s="45" t="n"/>
      <c r="K97" s="13" t="n"/>
      <c r="L97" s="13" t="n"/>
    </row>
    <row r="98" ht="15" customHeight="1">
      <c r="A98" s="13" t="n"/>
      <c r="B98" s="14">
        <f>IF(A98="","",IF(COUNTIF(lst_Jobs,A98&amp;"")&gt;0,"OK","CHECK"))</f>
        <v/>
      </c>
      <c r="C98" s="14">
        <f>IF(A98="","",IFERROR(INDEX(lst_JobName,MATCH(A98&amp;"",lst_Jobs,0)),""))</f>
        <v/>
      </c>
      <c r="D98" s="14">
        <f>IF(A98="","",IFERROR(INDEX(tbl_Finance[Client],MATCH(A98&amp;"",tbl_Finance[Job Number],0)),""))</f>
        <v/>
      </c>
      <c r="E98" s="44">
        <f>IF(A98="","",COUNTIFS(tbl_Finance[Job Number],A98&amp;"",tbl_Finance[Ex GST],"&lt;&gt;"))</f>
        <v/>
      </c>
      <c r="F98" s="16">
        <f>IF(A98="","",SUMIFS(tbl_Finance[Ex GST],tbl_Finance[Job Number],A98&amp;""))</f>
        <v/>
      </c>
      <c r="G98" s="14">
        <f>IF(A98="","",IFERROR(INDEX(tbl_Finance[Cost Centre],MATCH(A98&amp;"",tbl_Finance[Job Number],0)),"not invoiced yet"))</f>
        <v/>
      </c>
      <c r="H98" s="13" t="n"/>
      <c r="I98" s="13" t="n"/>
      <c r="J98" s="45" t="n"/>
      <c r="K98" s="13" t="n"/>
      <c r="L98" s="13" t="n"/>
    </row>
    <row r="99" ht="15" customHeight="1">
      <c r="A99" s="13" t="n"/>
      <c r="B99" s="14">
        <f>IF(A99="","",IF(COUNTIF(lst_Jobs,A99&amp;"")&gt;0,"OK","CHECK"))</f>
        <v/>
      </c>
      <c r="C99" s="14">
        <f>IF(A99="","",IFERROR(INDEX(lst_JobName,MATCH(A99&amp;"",lst_Jobs,0)),""))</f>
        <v/>
      </c>
      <c r="D99" s="14">
        <f>IF(A99="","",IFERROR(INDEX(tbl_Finance[Client],MATCH(A99&amp;"",tbl_Finance[Job Number],0)),""))</f>
        <v/>
      </c>
      <c r="E99" s="44">
        <f>IF(A99="","",COUNTIFS(tbl_Finance[Job Number],A99&amp;"",tbl_Finance[Ex GST],"&lt;&gt;"))</f>
        <v/>
      </c>
      <c r="F99" s="16">
        <f>IF(A99="","",SUMIFS(tbl_Finance[Ex GST],tbl_Finance[Job Number],A99&amp;""))</f>
        <v/>
      </c>
      <c r="G99" s="14">
        <f>IF(A99="","",IFERROR(INDEX(tbl_Finance[Cost Centre],MATCH(A99&amp;"",tbl_Finance[Job Number],0)),"not invoiced yet"))</f>
        <v/>
      </c>
      <c r="H99" s="13" t="n"/>
      <c r="I99" s="13" t="n"/>
      <c r="J99" s="45" t="n"/>
      <c r="K99" s="13" t="n"/>
      <c r="L99" s="13" t="n"/>
    </row>
    <row r="100" ht="15" customHeight="1">
      <c r="A100" s="13" t="n"/>
      <c r="B100" s="14">
        <f>IF(A100="","",IF(COUNTIF(lst_Jobs,A100&amp;"")&gt;0,"OK","CHECK"))</f>
        <v/>
      </c>
      <c r="C100" s="14">
        <f>IF(A100="","",IFERROR(INDEX(lst_JobName,MATCH(A100&amp;"",lst_Jobs,0)),""))</f>
        <v/>
      </c>
      <c r="D100" s="14">
        <f>IF(A100="","",IFERROR(INDEX(tbl_Finance[Client],MATCH(A100&amp;"",tbl_Finance[Job Number],0)),""))</f>
        <v/>
      </c>
      <c r="E100" s="44">
        <f>IF(A100="","",COUNTIFS(tbl_Finance[Job Number],A100&amp;"",tbl_Finance[Ex GST],"&lt;&gt;"))</f>
        <v/>
      </c>
      <c r="F100" s="16">
        <f>IF(A100="","",SUMIFS(tbl_Finance[Ex GST],tbl_Finance[Job Number],A100&amp;""))</f>
        <v/>
      </c>
      <c r="G100" s="14">
        <f>IF(A100="","",IFERROR(INDEX(tbl_Finance[Cost Centre],MATCH(A100&amp;"",tbl_Finance[Job Number],0)),"not invoiced yet"))</f>
        <v/>
      </c>
      <c r="H100" s="13" t="n"/>
      <c r="I100" s="13" t="n"/>
      <c r="J100" s="45" t="n"/>
      <c r="K100" s="13" t="n"/>
      <c r="L100" s="13" t="n"/>
    </row>
    <row r="101" ht="15" customHeight="1">
      <c r="A101" s="13" t="n"/>
      <c r="B101" s="14">
        <f>IF(A101="","",IF(COUNTIF(lst_Jobs,A101&amp;"")&gt;0,"OK","CHECK"))</f>
        <v/>
      </c>
      <c r="C101" s="14">
        <f>IF(A101="","",IFERROR(INDEX(lst_JobName,MATCH(A101&amp;"",lst_Jobs,0)),""))</f>
        <v/>
      </c>
      <c r="D101" s="14">
        <f>IF(A101="","",IFERROR(INDEX(tbl_Finance[Client],MATCH(A101&amp;"",tbl_Finance[Job Number],0)),""))</f>
        <v/>
      </c>
      <c r="E101" s="44">
        <f>IF(A101="","",COUNTIFS(tbl_Finance[Job Number],A101&amp;"",tbl_Finance[Ex GST],"&lt;&gt;"))</f>
        <v/>
      </c>
      <c r="F101" s="16">
        <f>IF(A101="","",SUMIFS(tbl_Finance[Ex GST],tbl_Finance[Job Number],A101&amp;""))</f>
        <v/>
      </c>
      <c r="G101" s="14">
        <f>IF(A101="","",IFERROR(INDEX(tbl_Finance[Cost Centre],MATCH(A101&amp;"",tbl_Finance[Job Number],0)),"not invoiced yet"))</f>
        <v/>
      </c>
      <c r="H101" s="13" t="n"/>
      <c r="I101" s="13" t="n"/>
      <c r="J101" s="45" t="n"/>
      <c r="K101" s="13" t="n"/>
      <c r="L101" s="13" t="n"/>
    </row>
    <row r="102" ht="15" customHeight="1">
      <c r="A102" s="13" t="n"/>
      <c r="B102" s="14">
        <f>IF(A102="","",IF(COUNTIF(lst_Jobs,A102&amp;"")&gt;0,"OK","CHECK"))</f>
        <v/>
      </c>
      <c r="C102" s="14">
        <f>IF(A102="","",IFERROR(INDEX(lst_JobName,MATCH(A102&amp;"",lst_Jobs,0)),""))</f>
        <v/>
      </c>
      <c r="D102" s="14">
        <f>IF(A102="","",IFERROR(INDEX(tbl_Finance[Client],MATCH(A102&amp;"",tbl_Finance[Job Number],0)),""))</f>
        <v/>
      </c>
      <c r="E102" s="44">
        <f>IF(A102="","",COUNTIFS(tbl_Finance[Job Number],A102&amp;"",tbl_Finance[Ex GST],"&lt;&gt;"))</f>
        <v/>
      </c>
      <c r="F102" s="16">
        <f>IF(A102="","",SUMIFS(tbl_Finance[Ex GST],tbl_Finance[Job Number],A102&amp;""))</f>
        <v/>
      </c>
      <c r="G102" s="14">
        <f>IF(A102="","",IFERROR(INDEX(tbl_Finance[Cost Centre],MATCH(A102&amp;"",tbl_Finance[Job Number],0)),"not invoiced yet"))</f>
        <v/>
      </c>
      <c r="H102" s="13" t="n"/>
      <c r="I102" s="13" t="n"/>
      <c r="J102" s="45" t="n"/>
      <c r="K102" s="13" t="n"/>
      <c r="L102" s="13" t="n"/>
    </row>
    <row r="103" ht="15" customHeight="1">
      <c r="A103" s="13" t="n"/>
      <c r="B103" s="14">
        <f>IF(A103="","",IF(COUNTIF(lst_Jobs,A103&amp;"")&gt;0,"OK","CHECK"))</f>
        <v/>
      </c>
      <c r="C103" s="14">
        <f>IF(A103="","",IFERROR(INDEX(lst_JobName,MATCH(A103&amp;"",lst_Jobs,0)),""))</f>
        <v/>
      </c>
      <c r="D103" s="14">
        <f>IF(A103="","",IFERROR(INDEX(tbl_Finance[Client],MATCH(A103&amp;"",tbl_Finance[Job Number],0)),""))</f>
        <v/>
      </c>
      <c r="E103" s="44">
        <f>IF(A103="","",COUNTIFS(tbl_Finance[Job Number],A103&amp;"",tbl_Finance[Ex GST],"&lt;&gt;"))</f>
        <v/>
      </c>
      <c r="F103" s="16">
        <f>IF(A103="","",SUMIFS(tbl_Finance[Ex GST],tbl_Finance[Job Number],A103&amp;""))</f>
        <v/>
      </c>
      <c r="G103" s="14">
        <f>IF(A103="","",IFERROR(INDEX(tbl_Finance[Cost Centre],MATCH(A103&amp;"",tbl_Finance[Job Number],0)),"not invoiced yet"))</f>
        <v/>
      </c>
      <c r="H103" s="13" t="n"/>
      <c r="I103" s="13" t="n"/>
      <c r="J103" s="45" t="n"/>
      <c r="K103" s="13" t="n"/>
      <c r="L103" s="13" t="n"/>
    </row>
    <row r="104" ht="15" customHeight="1">
      <c r="A104" s="13" t="n"/>
      <c r="B104" s="14">
        <f>IF(A104="","",IF(COUNTIF(lst_Jobs,A104&amp;"")&gt;0,"OK","CHECK"))</f>
        <v/>
      </c>
      <c r="C104" s="14">
        <f>IF(A104="","",IFERROR(INDEX(lst_JobName,MATCH(A104&amp;"",lst_Jobs,0)),""))</f>
        <v/>
      </c>
      <c r="D104" s="14">
        <f>IF(A104="","",IFERROR(INDEX(tbl_Finance[Client],MATCH(A104&amp;"",tbl_Finance[Job Number],0)),""))</f>
        <v/>
      </c>
      <c r="E104" s="44">
        <f>IF(A104="","",COUNTIFS(tbl_Finance[Job Number],A104&amp;"",tbl_Finance[Ex GST],"&lt;&gt;"))</f>
        <v/>
      </c>
      <c r="F104" s="16">
        <f>IF(A104="","",SUMIFS(tbl_Finance[Ex GST],tbl_Finance[Job Number],A104&amp;""))</f>
        <v/>
      </c>
      <c r="G104" s="14">
        <f>IF(A104="","",IFERROR(INDEX(tbl_Finance[Cost Centre],MATCH(A104&amp;"",tbl_Finance[Job Number],0)),"not invoiced yet"))</f>
        <v/>
      </c>
      <c r="H104" s="13" t="n"/>
      <c r="I104" s="13" t="n"/>
      <c r="J104" s="45" t="n"/>
      <c r="K104" s="13" t="n"/>
      <c r="L104" s="13" t="n"/>
    </row>
    <row r="105" ht="15" customHeight="1">
      <c r="A105" s="13" t="n"/>
      <c r="B105" s="14">
        <f>IF(A105="","",IF(COUNTIF(lst_Jobs,A105&amp;"")&gt;0,"OK","CHECK"))</f>
        <v/>
      </c>
      <c r="C105" s="14">
        <f>IF(A105="","",IFERROR(INDEX(lst_JobName,MATCH(A105&amp;"",lst_Jobs,0)),""))</f>
        <v/>
      </c>
      <c r="D105" s="14">
        <f>IF(A105="","",IFERROR(INDEX(tbl_Finance[Client],MATCH(A105&amp;"",tbl_Finance[Job Number],0)),""))</f>
        <v/>
      </c>
      <c r="E105" s="44">
        <f>IF(A105="","",COUNTIFS(tbl_Finance[Job Number],A105&amp;"",tbl_Finance[Ex GST],"&lt;&gt;"))</f>
        <v/>
      </c>
      <c r="F105" s="16">
        <f>IF(A105="","",SUMIFS(tbl_Finance[Ex GST],tbl_Finance[Job Number],A105&amp;""))</f>
        <v/>
      </c>
      <c r="G105" s="14">
        <f>IF(A105="","",IFERROR(INDEX(tbl_Finance[Cost Centre],MATCH(A105&amp;"",tbl_Finance[Job Number],0)),"not invoiced yet"))</f>
        <v/>
      </c>
      <c r="H105" s="13" t="n"/>
      <c r="I105" s="13" t="n"/>
      <c r="J105" s="45" t="n"/>
      <c r="K105" s="13" t="n"/>
      <c r="L105" s="13" t="n"/>
    </row>
    <row r="106" ht="15" customHeight="1">
      <c r="A106" s="13" t="n"/>
      <c r="B106" s="14">
        <f>IF(A106="","",IF(COUNTIF(lst_Jobs,A106&amp;"")&gt;0,"OK","CHECK"))</f>
        <v/>
      </c>
      <c r="C106" s="14">
        <f>IF(A106="","",IFERROR(INDEX(lst_JobName,MATCH(A106&amp;"",lst_Jobs,0)),""))</f>
        <v/>
      </c>
      <c r="D106" s="14">
        <f>IF(A106="","",IFERROR(INDEX(tbl_Finance[Client],MATCH(A106&amp;"",tbl_Finance[Job Number],0)),""))</f>
        <v/>
      </c>
      <c r="E106" s="44">
        <f>IF(A106="","",COUNTIFS(tbl_Finance[Job Number],A106&amp;"",tbl_Finance[Ex GST],"&lt;&gt;"))</f>
        <v/>
      </c>
      <c r="F106" s="16">
        <f>IF(A106="","",SUMIFS(tbl_Finance[Ex GST],tbl_Finance[Job Number],A106&amp;""))</f>
        <v/>
      </c>
      <c r="G106" s="14">
        <f>IF(A106="","",IFERROR(INDEX(tbl_Finance[Cost Centre],MATCH(A106&amp;"",tbl_Finance[Job Number],0)),"not invoiced yet"))</f>
        <v/>
      </c>
      <c r="H106" s="13" t="n"/>
      <c r="I106" s="13" t="n"/>
      <c r="J106" s="45" t="n"/>
      <c r="K106" s="13" t="n"/>
      <c r="L106" s="13" t="n"/>
    </row>
    <row r="107" ht="15" customHeight="1">
      <c r="A107" s="13" t="n"/>
      <c r="B107" s="14">
        <f>IF(A107="","",IF(COUNTIF(lst_Jobs,A107&amp;"")&gt;0,"OK","CHECK"))</f>
        <v/>
      </c>
      <c r="C107" s="14">
        <f>IF(A107="","",IFERROR(INDEX(lst_JobName,MATCH(A107&amp;"",lst_Jobs,0)),""))</f>
        <v/>
      </c>
      <c r="D107" s="14">
        <f>IF(A107="","",IFERROR(INDEX(tbl_Finance[Client],MATCH(A107&amp;"",tbl_Finance[Job Number],0)),""))</f>
        <v/>
      </c>
      <c r="E107" s="44">
        <f>IF(A107="","",COUNTIFS(tbl_Finance[Job Number],A107&amp;"",tbl_Finance[Ex GST],"&lt;&gt;"))</f>
        <v/>
      </c>
      <c r="F107" s="16">
        <f>IF(A107="","",SUMIFS(tbl_Finance[Ex GST],tbl_Finance[Job Number],A107&amp;""))</f>
        <v/>
      </c>
      <c r="G107" s="14">
        <f>IF(A107="","",IFERROR(INDEX(tbl_Finance[Cost Centre],MATCH(A107&amp;"",tbl_Finance[Job Number],0)),"not invoiced yet"))</f>
        <v/>
      </c>
      <c r="H107" s="13" t="n"/>
      <c r="I107" s="13" t="n"/>
      <c r="J107" s="45" t="n"/>
      <c r="K107" s="13" t="n"/>
      <c r="L107" s="13" t="n"/>
    </row>
    <row r="108" ht="15" customHeight="1">
      <c r="A108" s="13" t="n"/>
      <c r="B108" s="14">
        <f>IF(A108="","",IF(COUNTIF(lst_Jobs,A108&amp;"")&gt;0,"OK","CHECK"))</f>
        <v/>
      </c>
      <c r="C108" s="14">
        <f>IF(A108="","",IFERROR(INDEX(lst_JobName,MATCH(A108&amp;"",lst_Jobs,0)),""))</f>
        <v/>
      </c>
      <c r="D108" s="14">
        <f>IF(A108="","",IFERROR(INDEX(tbl_Finance[Client],MATCH(A108&amp;"",tbl_Finance[Job Number],0)),""))</f>
        <v/>
      </c>
      <c r="E108" s="44">
        <f>IF(A108="","",COUNTIFS(tbl_Finance[Job Number],A108&amp;"",tbl_Finance[Ex GST],"&lt;&gt;"))</f>
        <v/>
      </c>
      <c r="F108" s="16">
        <f>IF(A108="","",SUMIFS(tbl_Finance[Ex GST],tbl_Finance[Job Number],A108&amp;""))</f>
        <v/>
      </c>
      <c r="G108" s="14">
        <f>IF(A108="","",IFERROR(INDEX(tbl_Finance[Cost Centre],MATCH(A108&amp;"",tbl_Finance[Job Number],0)),"not invoiced yet"))</f>
        <v/>
      </c>
      <c r="H108" s="13" t="n"/>
      <c r="I108" s="13" t="n"/>
      <c r="J108" s="45" t="n"/>
      <c r="K108" s="13" t="n"/>
      <c r="L108" s="13" t="n"/>
    </row>
    <row r="109" ht="15" customHeight="1">
      <c r="A109" s="13" t="n"/>
      <c r="B109" s="14">
        <f>IF(A109="","",IF(COUNTIF(lst_Jobs,A109&amp;"")&gt;0,"OK","CHECK"))</f>
        <v/>
      </c>
      <c r="C109" s="14">
        <f>IF(A109="","",IFERROR(INDEX(lst_JobName,MATCH(A109&amp;"",lst_Jobs,0)),""))</f>
        <v/>
      </c>
      <c r="D109" s="14">
        <f>IF(A109="","",IFERROR(INDEX(tbl_Finance[Client],MATCH(A109&amp;"",tbl_Finance[Job Number],0)),""))</f>
        <v/>
      </c>
      <c r="E109" s="44">
        <f>IF(A109="","",COUNTIFS(tbl_Finance[Job Number],A109&amp;"",tbl_Finance[Ex GST],"&lt;&gt;"))</f>
        <v/>
      </c>
      <c r="F109" s="16">
        <f>IF(A109="","",SUMIFS(tbl_Finance[Ex GST],tbl_Finance[Job Number],A109&amp;""))</f>
        <v/>
      </c>
      <c r="G109" s="14">
        <f>IF(A109="","",IFERROR(INDEX(tbl_Finance[Cost Centre],MATCH(A109&amp;"",tbl_Finance[Job Number],0)),"not invoiced yet"))</f>
        <v/>
      </c>
      <c r="H109" s="13" t="n"/>
      <c r="I109" s="13" t="n"/>
      <c r="J109" s="45" t="n"/>
      <c r="K109" s="13" t="n"/>
      <c r="L109" s="13" t="n"/>
    </row>
    <row r="110" ht="15" customHeight="1">
      <c r="A110" s="13" t="n"/>
      <c r="B110" s="14">
        <f>IF(A110="","",IF(COUNTIF(lst_Jobs,A110&amp;"")&gt;0,"OK","CHECK"))</f>
        <v/>
      </c>
      <c r="C110" s="14">
        <f>IF(A110="","",IFERROR(INDEX(lst_JobName,MATCH(A110&amp;"",lst_Jobs,0)),""))</f>
        <v/>
      </c>
      <c r="D110" s="14">
        <f>IF(A110="","",IFERROR(INDEX(tbl_Finance[Client],MATCH(A110&amp;"",tbl_Finance[Job Number],0)),""))</f>
        <v/>
      </c>
      <c r="E110" s="44">
        <f>IF(A110="","",COUNTIFS(tbl_Finance[Job Number],A110&amp;"",tbl_Finance[Ex GST],"&lt;&gt;"))</f>
        <v/>
      </c>
      <c r="F110" s="16">
        <f>IF(A110="","",SUMIFS(tbl_Finance[Ex GST],tbl_Finance[Job Number],A110&amp;""))</f>
        <v/>
      </c>
      <c r="G110" s="14">
        <f>IF(A110="","",IFERROR(INDEX(tbl_Finance[Cost Centre],MATCH(A110&amp;"",tbl_Finance[Job Number],0)),"not invoiced yet"))</f>
        <v/>
      </c>
      <c r="H110" s="13" t="n"/>
      <c r="I110" s="13" t="n"/>
      <c r="J110" s="45" t="n"/>
      <c r="K110" s="13" t="n"/>
      <c r="L110" s="13" t="n"/>
    </row>
    <row r="111" ht="15" customHeight="1">
      <c r="A111" s="13" t="n"/>
      <c r="B111" s="14">
        <f>IF(A111="","",IF(COUNTIF(lst_Jobs,A111&amp;"")&gt;0,"OK","CHECK"))</f>
        <v/>
      </c>
      <c r="C111" s="14">
        <f>IF(A111="","",IFERROR(INDEX(lst_JobName,MATCH(A111&amp;"",lst_Jobs,0)),""))</f>
        <v/>
      </c>
      <c r="D111" s="14">
        <f>IF(A111="","",IFERROR(INDEX(tbl_Finance[Client],MATCH(A111&amp;"",tbl_Finance[Job Number],0)),""))</f>
        <v/>
      </c>
      <c r="E111" s="44">
        <f>IF(A111="","",COUNTIFS(tbl_Finance[Job Number],A111&amp;"",tbl_Finance[Ex GST],"&lt;&gt;"))</f>
        <v/>
      </c>
      <c r="F111" s="16">
        <f>IF(A111="","",SUMIFS(tbl_Finance[Ex GST],tbl_Finance[Job Number],A111&amp;""))</f>
        <v/>
      </c>
      <c r="G111" s="14">
        <f>IF(A111="","",IFERROR(INDEX(tbl_Finance[Cost Centre],MATCH(A111&amp;"",tbl_Finance[Job Number],0)),"not invoiced yet"))</f>
        <v/>
      </c>
      <c r="H111" s="13" t="n"/>
      <c r="I111" s="13" t="n"/>
      <c r="J111" s="45" t="n"/>
      <c r="K111" s="13" t="n"/>
      <c r="L111" s="13" t="n"/>
    </row>
    <row r="112" ht="15" customHeight="1">
      <c r="A112" s="13" t="n"/>
      <c r="B112" s="14">
        <f>IF(A112="","",IF(COUNTIF(lst_Jobs,A112&amp;"")&gt;0,"OK","CHECK"))</f>
        <v/>
      </c>
      <c r="C112" s="14">
        <f>IF(A112="","",IFERROR(INDEX(lst_JobName,MATCH(A112&amp;"",lst_Jobs,0)),""))</f>
        <v/>
      </c>
      <c r="D112" s="14">
        <f>IF(A112="","",IFERROR(INDEX(tbl_Finance[Client],MATCH(A112&amp;"",tbl_Finance[Job Number],0)),""))</f>
        <v/>
      </c>
      <c r="E112" s="44">
        <f>IF(A112="","",COUNTIFS(tbl_Finance[Job Number],A112&amp;"",tbl_Finance[Ex GST],"&lt;&gt;"))</f>
        <v/>
      </c>
      <c r="F112" s="16">
        <f>IF(A112="","",SUMIFS(tbl_Finance[Ex GST],tbl_Finance[Job Number],A112&amp;""))</f>
        <v/>
      </c>
      <c r="G112" s="14">
        <f>IF(A112="","",IFERROR(INDEX(tbl_Finance[Cost Centre],MATCH(A112&amp;"",tbl_Finance[Job Number],0)),"not invoiced yet"))</f>
        <v/>
      </c>
      <c r="H112" s="13" t="n"/>
      <c r="I112" s="13" t="n"/>
      <c r="J112" s="45" t="n"/>
      <c r="K112" s="13" t="n"/>
      <c r="L112" s="13" t="n"/>
    </row>
    <row r="113" ht="15" customHeight="1">
      <c r="A113" s="13" t="n"/>
      <c r="B113" s="14">
        <f>IF(A113="","",IF(COUNTIF(lst_Jobs,A113&amp;"")&gt;0,"OK","CHECK"))</f>
        <v/>
      </c>
      <c r="C113" s="14">
        <f>IF(A113="","",IFERROR(INDEX(lst_JobName,MATCH(A113&amp;"",lst_Jobs,0)),""))</f>
        <v/>
      </c>
      <c r="D113" s="14">
        <f>IF(A113="","",IFERROR(INDEX(tbl_Finance[Client],MATCH(A113&amp;"",tbl_Finance[Job Number],0)),""))</f>
        <v/>
      </c>
      <c r="E113" s="44">
        <f>IF(A113="","",COUNTIFS(tbl_Finance[Job Number],A113&amp;"",tbl_Finance[Ex GST],"&lt;&gt;"))</f>
        <v/>
      </c>
      <c r="F113" s="16">
        <f>IF(A113="","",SUMIFS(tbl_Finance[Ex GST],tbl_Finance[Job Number],A113&amp;""))</f>
        <v/>
      </c>
      <c r="G113" s="14">
        <f>IF(A113="","",IFERROR(INDEX(tbl_Finance[Cost Centre],MATCH(A113&amp;"",tbl_Finance[Job Number],0)),"not invoiced yet"))</f>
        <v/>
      </c>
      <c r="H113" s="13" t="n"/>
      <c r="I113" s="13" t="n"/>
      <c r="J113" s="45" t="n"/>
      <c r="K113" s="13" t="n"/>
      <c r="L113" s="13" t="n"/>
    </row>
    <row r="114" ht="15" customHeight="1">
      <c r="A114" s="13" t="n"/>
      <c r="B114" s="14">
        <f>IF(A114="","",IF(COUNTIF(lst_Jobs,A114&amp;"")&gt;0,"OK","CHECK"))</f>
        <v/>
      </c>
      <c r="C114" s="14">
        <f>IF(A114="","",IFERROR(INDEX(lst_JobName,MATCH(A114&amp;"",lst_Jobs,0)),""))</f>
        <v/>
      </c>
      <c r="D114" s="14">
        <f>IF(A114="","",IFERROR(INDEX(tbl_Finance[Client],MATCH(A114&amp;"",tbl_Finance[Job Number],0)),""))</f>
        <v/>
      </c>
      <c r="E114" s="44">
        <f>IF(A114="","",COUNTIFS(tbl_Finance[Job Number],A114&amp;"",tbl_Finance[Ex GST],"&lt;&gt;"))</f>
        <v/>
      </c>
      <c r="F114" s="16">
        <f>IF(A114="","",SUMIFS(tbl_Finance[Ex GST],tbl_Finance[Job Number],A114&amp;""))</f>
        <v/>
      </c>
      <c r="G114" s="14">
        <f>IF(A114="","",IFERROR(INDEX(tbl_Finance[Cost Centre],MATCH(A114&amp;"",tbl_Finance[Job Number],0)),"not invoiced yet"))</f>
        <v/>
      </c>
      <c r="H114" s="13" t="n"/>
      <c r="I114" s="13" t="n"/>
      <c r="J114" s="45" t="n"/>
      <c r="K114" s="13" t="n"/>
      <c r="L114" s="13" t="n"/>
    </row>
    <row r="115" ht="15" customHeight="1">
      <c r="A115" s="13" t="n"/>
      <c r="B115" s="14">
        <f>IF(A115="","",IF(COUNTIF(lst_Jobs,A115&amp;"")&gt;0,"OK","CHECK"))</f>
        <v/>
      </c>
      <c r="C115" s="14">
        <f>IF(A115="","",IFERROR(INDEX(lst_JobName,MATCH(A115&amp;"",lst_Jobs,0)),""))</f>
        <v/>
      </c>
      <c r="D115" s="14">
        <f>IF(A115="","",IFERROR(INDEX(tbl_Finance[Client],MATCH(A115&amp;"",tbl_Finance[Job Number],0)),""))</f>
        <v/>
      </c>
      <c r="E115" s="44">
        <f>IF(A115="","",COUNTIFS(tbl_Finance[Job Number],A115&amp;"",tbl_Finance[Ex GST],"&lt;&gt;"))</f>
        <v/>
      </c>
      <c r="F115" s="16">
        <f>IF(A115="","",SUMIFS(tbl_Finance[Ex GST],tbl_Finance[Job Number],A115&amp;""))</f>
        <v/>
      </c>
      <c r="G115" s="14">
        <f>IF(A115="","",IFERROR(INDEX(tbl_Finance[Cost Centre],MATCH(A115&amp;"",tbl_Finance[Job Number],0)),"not invoiced yet"))</f>
        <v/>
      </c>
      <c r="H115" s="13" t="n"/>
      <c r="I115" s="13" t="n"/>
      <c r="J115" s="45" t="n"/>
      <c r="K115" s="13" t="n"/>
      <c r="L115" s="13" t="n"/>
    </row>
    <row r="116" ht="15" customHeight="1">
      <c r="A116" s="13" t="n"/>
      <c r="B116" s="14">
        <f>IF(A116="","",IF(COUNTIF(lst_Jobs,A116&amp;"")&gt;0,"OK","CHECK"))</f>
        <v/>
      </c>
      <c r="C116" s="14">
        <f>IF(A116="","",IFERROR(INDEX(lst_JobName,MATCH(A116&amp;"",lst_Jobs,0)),""))</f>
        <v/>
      </c>
      <c r="D116" s="14">
        <f>IF(A116="","",IFERROR(INDEX(tbl_Finance[Client],MATCH(A116&amp;"",tbl_Finance[Job Number],0)),""))</f>
        <v/>
      </c>
      <c r="E116" s="44">
        <f>IF(A116="","",COUNTIFS(tbl_Finance[Job Number],A116&amp;"",tbl_Finance[Ex GST],"&lt;&gt;"))</f>
        <v/>
      </c>
      <c r="F116" s="16">
        <f>IF(A116="","",SUMIFS(tbl_Finance[Ex GST],tbl_Finance[Job Number],A116&amp;""))</f>
        <v/>
      </c>
      <c r="G116" s="14">
        <f>IF(A116="","",IFERROR(INDEX(tbl_Finance[Cost Centre],MATCH(A116&amp;"",tbl_Finance[Job Number],0)),"not invoiced yet"))</f>
        <v/>
      </c>
      <c r="H116" s="13" t="n"/>
      <c r="I116" s="13" t="n"/>
      <c r="J116" s="45" t="n"/>
      <c r="K116" s="13" t="n"/>
      <c r="L116" s="13" t="n"/>
    </row>
    <row r="117" ht="15" customHeight="1">
      <c r="A117" s="13" t="n"/>
      <c r="B117" s="14">
        <f>IF(A117="","",IF(COUNTIF(lst_Jobs,A117&amp;"")&gt;0,"OK","CHECK"))</f>
        <v/>
      </c>
      <c r="C117" s="14">
        <f>IF(A117="","",IFERROR(INDEX(lst_JobName,MATCH(A117&amp;"",lst_Jobs,0)),""))</f>
        <v/>
      </c>
      <c r="D117" s="14">
        <f>IF(A117="","",IFERROR(INDEX(tbl_Finance[Client],MATCH(A117&amp;"",tbl_Finance[Job Number],0)),""))</f>
        <v/>
      </c>
      <c r="E117" s="44">
        <f>IF(A117="","",COUNTIFS(tbl_Finance[Job Number],A117&amp;"",tbl_Finance[Ex GST],"&lt;&gt;"))</f>
        <v/>
      </c>
      <c r="F117" s="16">
        <f>IF(A117="","",SUMIFS(tbl_Finance[Ex GST],tbl_Finance[Job Number],A117&amp;""))</f>
        <v/>
      </c>
      <c r="G117" s="14">
        <f>IF(A117="","",IFERROR(INDEX(tbl_Finance[Cost Centre],MATCH(A117&amp;"",tbl_Finance[Job Number],0)),"not invoiced yet"))</f>
        <v/>
      </c>
      <c r="H117" s="13" t="n"/>
      <c r="I117" s="13" t="n"/>
      <c r="J117" s="45" t="n"/>
      <c r="K117" s="13" t="n"/>
      <c r="L117" s="13" t="n"/>
    </row>
    <row r="118" ht="15" customHeight="1">
      <c r="A118" s="13" t="n"/>
      <c r="B118" s="14">
        <f>IF(A118="","",IF(COUNTIF(lst_Jobs,A118&amp;"")&gt;0,"OK","CHECK"))</f>
        <v/>
      </c>
      <c r="C118" s="14">
        <f>IF(A118="","",IFERROR(INDEX(lst_JobName,MATCH(A118&amp;"",lst_Jobs,0)),""))</f>
        <v/>
      </c>
      <c r="D118" s="14">
        <f>IF(A118="","",IFERROR(INDEX(tbl_Finance[Client],MATCH(A118&amp;"",tbl_Finance[Job Number],0)),""))</f>
        <v/>
      </c>
      <c r="E118" s="44">
        <f>IF(A118="","",COUNTIFS(tbl_Finance[Job Number],A118&amp;"",tbl_Finance[Ex GST],"&lt;&gt;"))</f>
        <v/>
      </c>
      <c r="F118" s="16">
        <f>IF(A118="","",SUMIFS(tbl_Finance[Ex GST],tbl_Finance[Job Number],A118&amp;""))</f>
        <v/>
      </c>
      <c r="G118" s="14">
        <f>IF(A118="","",IFERROR(INDEX(tbl_Finance[Cost Centre],MATCH(A118&amp;"",tbl_Finance[Job Number],0)),"not invoiced yet"))</f>
        <v/>
      </c>
      <c r="H118" s="13" t="n"/>
      <c r="I118" s="13" t="n"/>
      <c r="J118" s="45" t="n"/>
      <c r="K118" s="13" t="n"/>
      <c r="L118" s="13" t="n"/>
    </row>
    <row r="119" ht="15" customHeight="1">
      <c r="A119" s="13" t="n"/>
      <c r="B119" s="14">
        <f>IF(A119="","",IF(COUNTIF(lst_Jobs,A119&amp;"")&gt;0,"OK","CHECK"))</f>
        <v/>
      </c>
      <c r="C119" s="14">
        <f>IF(A119="","",IFERROR(INDEX(lst_JobName,MATCH(A119&amp;"",lst_Jobs,0)),""))</f>
        <v/>
      </c>
      <c r="D119" s="14">
        <f>IF(A119="","",IFERROR(INDEX(tbl_Finance[Client],MATCH(A119&amp;"",tbl_Finance[Job Number],0)),""))</f>
        <v/>
      </c>
      <c r="E119" s="44">
        <f>IF(A119="","",COUNTIFS(tbl_Finance[Job Number],A119&amp;"",tbl_Finance[Ex GST],"&lt;&gt;"))</f>
        <v/>
      </c>
      <c r="F119" s="16">
        <f>IF(A119="","",SUMIFS(tbl_Finance[Ex GST],tbl_Finance[Job Number],A119&amp;""))</f>
        <v/>
      </c>
      <c r="G119" s="14">
        <f>IF(A119="","",IFERROR(INDEX(tbl_Finance[Cost Centre],MATCH(A119&amp;"",tbl_Finance[Job Number],0)),"not invoiced yet"))</f>
        <v/>
      </c>
      <c r="H119" s="13" t="n"/>
      <c r="I119" s="13" t="n"/>
      <c r="J119" s="45" t="n"/>
      <c r="K119" s="13" t="n"/>
      <c r="L119" s="13" t="n"/>
    </row>
    <row r="120" ht="15" customHeight="1">
      <c r="A120" s="13" t="n"/>
      <c r="B120" s="14">
        <f>IF(A120="","",IF(COUNTIF(lst_Jobs,A120&amp;"")&gt;0,"OK","CHECK"))</f>
        <v/>
      </c>
      <c r="C120" s="14">
        <f>IF(A120="","",IFERROR(INDEX(lst_JobName,MATCH(A120&amp;"",lst_Jobs,0)),""))</f>
        <v/>
      </c>
      <c r="D120" s="14">
        <f>IF(A120="","",IFERROR(INDEX(tbl_Finance[Client],MATCH(A120&amp;"",tbl_Finance[Job Number],0)),""))</f>
        <v/>
      </c>
      <c r="E120" s="44">
        <f>IF(A120="","",COUNTIFS(tbl_Finance[Job Number],A120&amp;"",tbl_Finance[Ex GST],"&lt;&gt;"))</f>
        <v/>
      </c>
      <c r="F120" s="16">
        <f>IF(A120="","",SUMIFS(tbl_Finance[Ex GST],tbl_Finance[Job Number],A120&amp;""))</f>
        <v/>
      </c>
      <c r="G120" s="14">
        <f>IF(A120="","",IFERROR(INDEX(tbl_Finance[Cost Centre],MATCH(A120&amp;"",tbl_Finance[Job Number],0)),"not invoiced yet"))</f>
        <v/>
      </c>
      <c r="H120" s="13" t="n"/>
      <c r="I120" s="13" t="n"/>
      <c r="J120" s="45" t="n"/>
      <c r="K120" s="13" t="n"/>
      <c r="L120" s="13" t="n"/>
    </row>
    <row r="121" ht="15" customHeight="1">
      <c r="A121" s="13" t="n"/>
      <c r="B121" s="14">
        <f>IF(A121="","",IF(COUNTIF(lst_Jobs,A121&amp;"")&gt;0,"OK","CHECK"))</f>
        <v/>
      </c>
      <c r="C121" s="14">
        <f>IF(A121="","",IFERROR(INDEX(lst_JobName,MATCH(A121&amp;"",lst_Jobs,0)),""))</f>
        <v/>
      </c>
      <c r="D121" s="14">
        <f>IF(A121="","",IFERROR(INDEX(tbl_Finance[Client],MATCH(A121&amp;"",tbl_Finance[Job Number],0)),""))</f>
        <v/>
      </c>
      <c r="E121" s="44">
        <f>IF(A121="","",COUNTIFS(tbl_Finance[Job Number],A121&amp;"",tbl_Finance[Ex GST],"&lt;&gt;"))</f>
        <v/>
      </c>
      <c r="F121" s="16">
        <f>IF(A121="","",SUMIFS(tbl_Finance[Ex GST],tbl_Finance[Job Number],A121&amp;""))</f>
        <v/>
      </c>
      <c r="G121" s="14">
        <f>IF(A121="","",IFERROR(INDEX(tbl_Finance[Cost Centre],MATCH(A121&amp;"",tbl_Finance[Job Number],0)),"not invoiced yet"))</f>
        <v/>
      </c>
      <c r="H121" s="13" t="n"/>
      <c r="I121" s="13" t="n"/>
      <c r="J121" s="45" t="n"/>
      <c r="K121" s="13" t="n"/>
      <c r="L121" s="13" t="n"/>
    </row>
    <row r="122" ht="15" customHeight="1">
      <c r="A122" s="13" t="n"/>
      <c r="B122" s="14">
        <f>IF(A122="","",IF(COUNTIF(lst_Jobs,A122&amp;"")&gt;0,"OK","CHECK"))</f>
        <v/>
      </c>
      <c r="C122" s="14">
        <f>IF(A122="","",IFERROR(INDEX(lst_JobName,MATCH(A122&amp;"",lst_Jobs,0)),""))</f>
        <v/>
      </c>
      <c r="D122" s="14">
        <f>IF(A122="","",IFERROR(INDEX(tbl_Finance[Client],MATCH(A122&amp;"",tbl_Finance[Job Number],0)),""))</f>
        <v/>
      </c>
      <c r="E122" s="44">
        <f>IF(A122="","",COUNTIFS(tbl_Finance[Job Number],A122&amp;"",tbl_Finance[Ex GST],"&lt;&gt;"))</f>
        <v/>
      </c>
      <c r="F122" s="16">
        <f>IF(A122="","",SUMIFS(tbl_Finance[Ex GST],tbl_Finance[Job Number],A122&amp;""))</f>
        <v/>
      </c>
      <c r="G122" s="14">
        <f>IF(A122="","",IFERROR(INDEX(tbl_Finance[Cost Centre],MATCH(A122&amp;"",tbl_Finance[Job Number],0)),"not invoiced yet"))</f>
        <v/>
      </c>
      <c r="H122" s="13" t="n"/>
      <c r="I122" s="13" t="n"/>
      <c r="J122" s="45" t="n"/>
      <c r="K122" s="13" t="n"/>
      <c r="L122" s="13" t="n"/>
    </row>
    <row r="123" ht="15" customHeight="1">
      <c r="A123" s="13" t="n"/>
      <c r="B123" s="14">
        <f>IF(A123="","",IF(COUNTIF(lst_Jobs,A123&amp;"")&gt;0,"OK","CHECK"))</f>
        <v/>
      </c>
      <c r="C123" s="14">
        <f>IF(A123="","",IFERROR(INDEX(lst_JobName,MATCH(A123&amp;"",lst_Jobs,0)),""))</f>
        <v/>
      </c>
      <c r="D123" s="14">
        <f>IF(A123="","",IFERROR(INDEX(tbl_Finance[Client],MATCH(A123&amp;"",tbl_Finance[Job Number],0)),""))</f>
        <v/>
      </c>
      <c r="E123" s="44">
        <f>IF(A123="","",COUNTIFS(tbl_Finance[Job Number],A123&amp;"",tbl_Finance[Ex GST],"&lt;&gt;"))</f>
        <v/>
      </c>
      <c r="F123" s="16">
        <f>IF(A123="","",SUMIFS(tbl_Finance[Ex GST],tbl_Finance[Job Number],A123&amp;""))</f>
        <v/>
      </c>
      <c r="G123" s="14">
        <f>IF(A123="","",IFERROR(INDEX(tbl_Finance[Cost Centre],MATCH(A123&amp;"",tbl_Finance[Job Number],0)),"not invoiced yet"))</f>
        <v/>
      </c>
      <c r="H123" s="13" t="n"/>
      <c r="I123" s="13" t="n"/>
      <c r="J123" s="45" t="n"/>
      <c r="K123" s="13" t="n"/>
      <c r="L123" s="13" t="n"/>
    </row>
    <row r="124" ht="15" customHeight="1">
      <c r="A124" s="13" t="n"/>
      <c r="B124" s="14">
        <f>IF(A124="","",IF(COUNTIF(lst_Jobs,A124&amp;"")&gt;0,"OK","CHECK"))</f>
        <v/>
      </c>
      <c r="C124" s="14">
        <f>IF(A124="","",IFERROR(INDEX(lst_JobName,MATCH(A124&amp;"",lst_Jobs,0)),""))</f>
        <v/>
      </c>
      <c r="D124" s="14">
        <f>IF(A124="","",IFERROR(INDEX(tbl_Finance[Client],MATCH(A124&amp;"",tbl_Finance[Job Number],0)),""))</f>
        <v/>
      </c>
      <c r="E124" s="44">
        <f>IF(A124="","",COUNTIFS(tbl_Finance[Job Number],A124&amp;"",tbl_Finance[Ex GST],"&lt;&gt;"))</f>
        <v/>
      </c>
      <c r="F124" s="16">
        <f>IF(A124="","",SUMIFS(tbl_Finance[Ex GST],tbl_Finance[Job Number],A124&amp;""))</f>
        <v/>
      </c>
      <c r="G124" s="14">
        <f>IF(A124="","",IFERROR(INDEX(tbl_Finance[Cost Centre],MATCH(A124&amp;"",tbl_Finance[Job Number],0)),"not invoiced yet"))</f>
        <v/>
      </c>
      <c r="H124" s="13" t="n"/>
      <c r="I124" s="13" t="n"/>
      <c r="J124" s="45" t="n"/>
      <c r="K124" s="13" t="n"/>
      <c r="L124" s="13" t="n"/>
    </row>
    <row r="125" ht="15" customHeight="1">
      <c r="A125" s="13" t="n"/>
      <c r="B125" s="14">
        <f>IF(A125="","",IF(COUNTIF(lst_Jobs,A125&amp;"")&gt;0,"OK","CHECK"))</f>
        <v/>
      </c>
      <c r="C125" s="14">
        <f>IF(A125="","",IFERROR(INDEX(lst_JobName,MATCH(A125&amp;"",lst_Jobs,0)),""))</f>
        <v/>
      </c>
      <c r="D125" s="14">
        <f>IF(A125="","",IFERROR(INDEX(tbl_Finance[Client],MATCH(A125&amp;"",tbl_Finance[Job Number],0)),""))</f>
        <v/>
      </c>
      <c r="E125" s="44">
        <f>IF(A125="","",COUNTIFS(tbl_Finance[Job Number],A125&amp;"",tbl_Finance[Ex GST],"&lt;&gt;"))</f>
        <v/>
      </c>
      <c r="F125" s="16">
        <f>IF(A125="","",SUMIFS(tbl_Finance[Ex GST],tbl_Finance[Job Number],A125&amp;""))</f>
        <v/>
      </c>
      <c r="G125" s="14">
        <f>IF(A125="","",IFERROR(INDEX(tbl_Finance[Cost Centre],MATCH(A125&amp;"",tbl_Finance[Job Number],0)),"not invoiced yet"))</f>
        <v/>
      </c>
      <c r="H125" s="13" t="n"/>
      <c r="I125" s="13" t="n"/>
      <c r="J125" s="45" t="n"/>
      <c r="K125" s="13" t="n"/>
      <c r="L125" s="13" t="n"/>
    </row>
    <row r="126" ht="15" customHeight="1">
      <c r="A126" s="13" t="n"/>
      <c r="B126" s="14">
        <f>IF(A126="","",IF(COUNTIF(lst_Jobs,A126&amp;"")&gt;0,"OK","CHECK"))</f>
        <v/>
      </c>
      <c r="C126" s="14">
        <f>IF(A126="","",IFERROR(INDEX(lst_JobName,MATCH(A126&amp;"",lst_Jobs,0)),""))</f>
        <v/>
      </c>
      <c r="D126" s="14">
        <f>IF(A126="","",IFERROR(INDEX(tbl_Finance[Client],MATCH(A126&amp;"",tbl_Finance[Job Number],0)),""))</f>
        <v/>
      </c>
      <c r="E126" s="44">
        <f>IF(A126="","",COUNTIFS(tbl_Finance[Job Number],A126&amp;"",tbl_Finance[Ex GST],"&lt;&gt;"))</f>
        <v/>
      </c>
      <c r="F126" s="16">
        <f>IF(A126="","",SUMIFS(tbl_Finance[Ex GST],tbl_Finance[Job Number],A126&amp;""))</f>
        <v/>
      </c>
      <c r="G126" s="14">
        <f>IF(A126="","",IFERROR(INDEX(tbl_Finance[Cost Centre],MATCH(A126&amp;"",tbl_Finance[Job Number],0)),"not invoiced yet"))</f>
        <v/>
      </c>
      <c r="H126" s="13" t="n"/>
      <c r="I126" s="13" t="n"/>
      <c r="J126" s="45" t="n"/>
      <c r="K126" s="13" t="n"/>
      <c r="L126" s="13" t="n"/>
    </row>
    <row r="127" ht="15" customHeight="1">
      <c r="A127" s="13" t="n"/>
      <c r="B127" s="14">
        <f>IF(A127="","",IF(COUNTIF(lst_Jobs,A127&amp;"")&gt;0,"OK","CHECK"))</f>
        <v/>
      </c>
      <c r="C127" s="14">
        <f>IF(A127="","",IFERROR(INDEX(lst_JobName,MATCH(A127&amp;"",lst_Jobs,0)),""))</f>
        <v/>
      </c>
      <c r="D127" s="14">
        <f>IF(A127="","",IFERROR(INDEX(tbl_Finance[Client],MATCH(A127&amp;"",tbl_Finance[Job Number],0)),""))</f>
        <v/>
      </c>
      <c r="E127" s="44">
        <f>IF(A127="","",COUNTIFS(tbl_Finance[Job Number],A127&amp;"",tbl_Finance[Ex GST],"&lt;&gt;"))</f>
        <v/>
      </c>
      <c r="F127" s="16">
        <f>IF(A127="","",SUMIFS(tbl_Finance[Ex GST],tbl_Finance[Job Number],A127&amp;""))</f>
        <v/>
      </c>
      <c r="G127" s="14">
        <f>IF(A127="","",IFERROR(INDEX(tbl_Finance[Cost Centre],MATCH(A127&amp;"",tbl_Finance[Job Number],0)),"not invoiced yet"))</f>
        <v/>
      </c>
      <c r="H127" s="13" t="n"/>
      <c r="I127" s="13" t="n"/>
      <c r="J127" s="45" t="n"/>
      <c r="K127" s="13" t="n"/>
      <c r="L127" s="13" t="n"/>
    </row>
    <row r="128" ht="15" customHeight="1">
      <c r="A128" s="13" t="n"/>
      <c r="B128" s="14">
        <f>IF(A128="","",IF(COUNTIF(lst_Jobs,A128&amp;"")&gt;0,"OK","CHECK"))</f>
        <v/>
      </c>
      <c r="C128" s="14">
        <f>IF(A128="","",IFERROR(INDEX(lst_JobName,MATCH(A128&amp;"",lst_Jobs,0)),""))</f>
        <v/>
      </c>
      <c r="D128" s="14">
        <f>IF(A128="","",IFERROR(INDEX(tbl_Finance[Client],MATCH(A128&amp;"",tbl_Finance[Job Number],0)),""))</f>
        <v/>
      </c>
      <c r="E128" s="44">
        <f>IF(A128="","",COUNTIFS(tbl_Finance[Job Number],A128&amp;"",tbl_Finance[Ex GST],"&lt;&gt;"))</f>
        <v/>
      </c>
      <c r="F128" s="16">
        <f>IF(A128="","",SUMIFS(tbl_Finance[Ex GST],tbl_Finance[Job Number],A128&amp;""))</f>
        <v/>
      </c>
      <c r="G128" s="14">
        <f>IF(A128="","",IFERROR(INDEX(tbl_Finance[Cost Centre],MATCH(A128&amp;"",tbl_Finance[Job Number],0)),"not invoiced yet"))</f>
        <v/>
      </c>
      <c r="H128" s="13" t="n"/>
      <c r="I128" s="13" t="n"/>
      <c r="J128" s="45" t="n"/>
      <c r="K128" s="13" t="n"/>
      <c r="L128" s="13" t="n"/>
    </row>
    <row r="129" ht="15" customHeight="1">
      <c r="A129" s="13" t="n"/>
      <c r="B129" s="14">
        <f>IF(A129="","",IF(COUNTIF(lst_Jobs,A129&amp;"")&gt;0,"OK","CHECK"))</f>
        <v/>
      </c>
      <c r="C129" s="14">
        <f>IF(A129="","",IFERROR(INDEX(lst_JobName,MATCH(A129&amp;"",lst_Jobs,0)),""))</f>
        <v/>
      </c>
      <c r="D129" s="14">
        <f>IF(A129="","",IFERROR(INDEX(tbl_Finance[Client],MATCH(A129&amp;"",tbl_Finance[Job Number],0)),""))</f>
        <v/>
      </c>
      <c r="E129" s="44">
        <f>IF(A129="","",COUNTIFS(tbl_Finance[Job Number],A129&amp;"",tbl_Finance[Ex GST],"&lt;&gt;"))</f>
        <v/>
      </c>
      <c r="F129" s="16">
        <f>IF(A129="","",SUMIFS(tbl_Finance[Ex GST],tbl_Finance[Job Number],A129&amp;""))</f>
        <v/>
      </c>
      <c r="G129" s="14">
        <f>IF(A129="","",IFERROR(INDEX(tbl_Finance[Cost Centre],MATCH(A129&amp;"",tbl_Finance[Job Number],0)),"not invoiced yet"))</f>
        <v/>
      </c>
      <c r="H129" s="13" t="n"/>
      <c r="I129" s="13" t="n"/>
      <c r="J129" s="45" t="n"/>
      <c r="K129" s="13" t="n"/>
      <c r="L129" s="13" t="n"/>
    </row>
    <row r="130" ht="15" customHeight="1">
      <c r="A130" s="13" t="n"/>
      <c r="B130" s="14">
        <f>IF(A130="","",IF(COUNTIF(lst_Jobs,A130&amp;"")&gt;0,"OK","CHECK"))</f>
        <v/>
      </c>
      <c r="C130" s="14">
        <f>IF(A130="","",IFERROR(INDEX(lst_JobName,MATCH(A130&amp;"",lst_Jobs,0)),""))</f>
        <v/>
      </c>
      <c r="D130" s="14">
        <f>IF(A130="","",IFERROR(INDEX(tbl_Finance[Client],MATCH(A130&amp;"",tbl_Finance[Job Number],0)),""))</f>
        <v/>
      </c>
      <c r="E130" s="44">
        <f>IF(A130="","",COUNTIFS(tbl_Finance[Job Number],A130&amp;"",tbl_Finance[Ex GST],"&lt;&gt;"))</f>
        <v/>
      </c>
      <c r="F130" s="16">
        <f>IF(A130="","",SUMIFS(tbl_Finance[Ex GST],tbl_Finance[Job Number],A130&amp;""))</f>
        <v/>
      </c>
      <c r="G130" s="14">
        <f>IF(A130="","",IFERROR(INDEX(tbl_Finance[Cost Centre],MATCH(A130&amp;"",tbl_Finance[Job Number],0)),"not invoiced yet"))</f>
        <v/>
      </c>
      <c r="H130" s="13" t="n"/>
      <c r="I130" s="13" t="n"/>
      <c r="J130" s="45" t="n"/>
      <c r="K130" s="13" t="n"/>
      <c r="L130" s="13" t="n"/>
    </row>
    <row r="131" ht="15" customHeight="1">
      <c r="A131" s="13" t="n"/>
      <c r="B131" s="14">
        <f>IF(A131="","",IF(COUNTIF(lst_Jobs,A131&amp;"")&gt;0,"OK","CHECK"))</f>
        <v/>
      </c>
      <c r="C131" s="14">
        <f>IF(A131="","",IFERROR(INDEX(lst_JobName,MATCH(A131&amp;"",lst_Jobs,0)),""))</f>
        <v/>
      </c>
      <c r="D131" s="14">
        <f>IF(A131="","",IFERROR(INDEX(tbl_Finance[Client],MATCH(A131&amp;"",tbl_Finance[Job Number],0)),""))</f>
        <v/>
      </c>
      <c r="E131" s="44">
        <f>IF(A131="","",COUNTIFS(tbl_Finance[Job Number],A131&amp;"",tbl_Finance[Ex GST],"&lt;&gt;"))</f>
        <v/>
      </c>
      <c r="F131" s="16">
        <f>IF(A131="","",SUMIFS(tbl_Finance[Ex GST],tbl_Finance[Job Number],A131&amp;""))</f>
        <v/>
      </c>
      <c r="G131" s="14">
        <f>IF(A131="","",IFERROR(INDEX(tbl_Finance[Cost Centre],MATCH(A131&amp;"",tbl_Finance[Job Number],0)),"not invoiced yet"))</f>
        <v/>
      </c>
      <c r="H131" s="13" t="n"/>
      <c r="I131" s="13" t="n"/>
      <c r="J131" s="45" t="n"/>
      <c r="K131" s="13" t="n"/>
      <c r="L131" s="13" t="n"/>
    </row>
    <row r="132" ht="15" customHeight="1">
      <c r="A132" s="13" t="n"/>
      <c r="B132" s="14">
        <f>IF(A132="","",IF(COUNTIF(lst_Jobs,A132&amp;"")&gt;0,"OK","CHECK"))</f>
        <v/>
      </c>
      <c r="C132" s="14">
        <f>IF(A132="","",IFERROR(INDEX(lst_JobName,MATCH(A132&amp;"",lst_Jobs,0)),""))</f>
        <v/>
      </c>
      <c r="D132" s="14">
        <f>IF(A132="","",IFERROR(INDEX(tbl_Finance[Client],MATCH(A132&amp;"",tbl_Finance[Job Number],0)),""))</f>
        <v/>
      </c>
      <c r="E132" s="44">
        <f>IF(A132="","",COUNTIFS(tbl_Finance[Job Number],A132&amp;"",tbl_Finance[Ex GST],"&lt;&gt;"))</f>
        <v/>
      </c>
      <c r="F132" s="16">
        <f>IF(A132="","",SUMIFS(tbl_Finance[Ex GST],tbl_Finance[Job Number],A132&amp;""))</f>
        <v/>
      </c>
      <c r="G132" s="14">
        <f>IF(A132="","",IFERROR(INDEX(tbl_Finance[Cost Centre],MATCH(A132&amp;"",tbl_Finance[Job Number],0)),"not invoiced yet"))</f>
        <v/>
      </c>
      <c r="H132" s="13" t="n"/>
      <c r="I132" s="13" t="n"/>
      <c r="J132" s="45" t="n"/>
      <c r="K132" s="13" t="n"/>
      <c r="L132" s="13" t="n"/>
    </row>
    <row r="133" ht="15" customHeight="1">
      <c r="A133" s="13" t="n"/>
      <c r="B133" s="14">
        <f>IF(A133="","",IF(COUNTIF(lst_Jobs,A133&amp;"")&gt;0,"OK","CHECK"))</f>
        <v/>
      </c>
      <c r="C133" s="14">
        <f>IF(A133="","",IFERROR(INDEX(lst_JobName,MATCH(A133&amp;"",lst_Jobs,0)),""))</f>
        <v/>
      </c>
      <c r="D133" s="14">
        <f>IF(A133="","",IFERROR(INDEX(tbl_Finance[Client],MATCH(A133&amp;"",tbl_Finance[Job Number],0)),""))</f>
        <v/>
      </c>
      <c r="E133" s="44">
        <f>IF(A133="","",COUNTIFS(tbl_Finance[Job Number],A133&amp;"",tbl_Finance[Ex GST],"&lt;&gt;"))</f>
        <v/>
      </c>
      <c r="F133" s="16">
        <f>IF(A133="","",SUMIFS(tbl_Finance[Ex GST],tbl_Finance[Job Number],A133&amp;""))</f>
        <v/>
      </c>
      <c r="G133" s="14">
        <f>IF(A133="","",IFERROR(INDEX(tbl_Finance[Cost Centre],MATCH(A133&amp;"",tbl_Finance[Job Number],0)),"not invoiced yet"))</f>
        <v/>
      </c>
      <c r="H133" s="13" t="n"/>
      <c r="I133" s="13" t="n"/>
      <c r="J133" s="45" t="n"/>
      <c r="K133" s="13" t="n"/>
      <c r="L133" s="13" t="n"/>
    </row>
    <row r="134" ht="15" customHeight="1">
      <c r="A134" s="13" t="n"/>
      <c r="B134" s="14">
        <f>IF(A134="","",IF(COUNTIF(lst_Jobs,A134&amp;"")&gt;0,"OK","CHECK"))</f>
        <v/>
      </c>
      <c r="C134" s="14">
        <f>IF(A134="","",IFERROR(INDEX(lst_JobName,MATCH(A134&amp;"",lst_Jobs,0)),""))</f>
        <v/>
      </c>
      <c r="D134" s="14">
        <f>IF(A134="","",IFERROR(INDEX(tbl_Finance[Client],MATCH(A134&amp;"",tbl_Finance[Job Number],0)),""))</f>
        <v/>
      </c>
      <c r="E134" s="44">
        <f>IF(A134="","",COUNTIFS(tbl_Finance[Job Number],A134&amp;"",tbl_Finance[Ex GST],"&lt;&gt;"))</f>
        <v/>
      </c>
      <c r="F134" s="16">
        <f>IF(A134="","",SUMIFS(tbl_Finance[Ex GST],tbl_Finance[Job Number],A134&amp;""))</f>
        <v/>
      </c>
      <c r="G134" s="14">
        <f>IF(A134="","",IFERROR(INDEX(tbl_Finance[Cost Centre],MATCH(A134&amp;"",tbl_Finance[Job Number],0)),"not invoiced yet"))</f>
        <v/>
      </c>
      <c r="H134" s="13" t="n"/>
      <c r="I134" s="13" t="n"/>
      <c r="J134" s="45" t="n"/>
      <c r="K134" s="13" t="n"/>
      <c r="L134" s="13" t="n"/>
    </row>
    <row r="135" ht="15" customHeight="1">
      <c r="A135" s="13" t="n"/>
      <c r="B135" s="14">
        <f>IF(A135="","",IF(COUNTIF(lst_Jobs,A135&amp;"")&gt;0,"OK","CHECK"))</f>
        <v/>
      </c>
      <c r="C135" s="14">
        <f>IF(A135="","",IFERROR(INDEX(lst_JobName,MATCH(A135&amp;"",lst_Jobs,0)),""))</f>
        <v/>
      </c>
      <c r="D135" s="14">
        <f>IF(A135="","",IFERROR(INDEX(tbl_Finance[Client],MATCH(A135&amp;"",tbl_Finance[Job Number],0)),""))</f>
        <v/>
      </c>
      <c r="E135" s="44">
        <f>IF(A135="","",COUNTIFS(tbl_Finance[Job Number],A135&amp;"",tbl_Finance[Ex GST],"&lt;&gt;"))</f>
        <v/>
      </c>
      <c r="F135" s="16">
        <f>IF(A135="","",SUMIFS(tbl_Finance[Ex GST],tbl_Finance[Job Number],A135&amp;""))</f>
        <v/>
      </c>
      <c r="G135" s="14">
        <f>IF(A135="","",IFERROR(INDEX(tbl_Finance[Cost Centre],MATCH(A135&amp;"",tbl_Finance[Job Number],0)),"not invoiced yet"))</f>
        <v/>
      </c>
      <c r="H135" s="13" t="n"/>
      <c r="I135" s="13" t="n"/>
      <c r="J135" s="45" t="n"/>
      <c r="K135" s="13" t="n"/>
      <c r="L135" s="13" t="n"/>
    </row>
    <row r="136" ht="15" customHeight="1">
      <c r="A136" s="13" t="n"/>
      <c r="B136" s="14">
        <f>IF(A136="","",IF(COUNTIF(lst_Jobs,A136&amp;"")&gt;0,"OK","CHECK"))</f>
        <v/>
      </c>
      <c r="C136" s="14">
        <f>IF(A136="","",IFERROR(INDEX(lst_JobName,MATCH(A136&amp;"",lst_Jobs,0)),""))</f>
        <v/>
      </c>
      <c r="D136" s="14">
        <f>IF(A136="","",IFERROR(INDEX(tbl_Finance[Client],MATCH(A136&amp;"",tbl_Finance[Job Number],0)),""))</f>
        <v/>
      </c>
      <c r="E136" s="44">
        <f>IF(A136="","",COUNTIFS(tbl_Finance[Job Number],A136&amp;"",tbl_Finance[Ex GST],"&lt;&gt;"))</f>
        <v/>
      </c>
      <c r="F136" s="16">
        <f>IF(A136="","",SUMIFS(tbl_Finance[Ex GST],tbl_Finance[Job Number],A136&amp;""))</f>
        <v/>
      </c>
      <c r="G136" s="14">
        <f>IF(A136="","",IFERROR(INDEX(tbl_Finance[Cost Centre],MATCH(A136&amp;"",tbl_Finance[Job Number],0)),"not invoiced yet"))</f>
        <v/>
      </c>
      <c r="H136" s="13" t="n"/>
      <c r="I136" s="13" t="n"/>
      <c r="J136" s="45" t="n"/>
      <c r="K136" s="13" t="n"/>
      <c r="L136" s="13" t="n"/>
    </row>
    <row r="137" ht="15" customHeight="1">
      <c r="A137" s="13" t="n"/>
      <c r="B137" s="14">
        <f>IF(A137="","",IF(COUNTIF(lst_Jobs,A137&amp;"")&gt;0,"OK","CHECK"))</f>
        <v/>
      </c>
      <c r="C137" s="14">
        <f>IF(A137="","",IFERROR(INDEX(lst_JobName,MATCH(A137&amp;"",lst_Jobs,0)),""))</f>
        <v/>
      </c>
      <c r="D137" s="14">
        <f>IF(A137="","",IFERROR(INDEX(tbl_Finance[Client],MATCH(A137&amp;"",tbl_Finance[Job Number],0)),""))</f>
        <v/>
      </c>
      <c r="E137" s="44">
        <f>IF(A137="","",COUNTIFS(tbl_Finance[Job Number],A137&amp;"",tbl_Finance[Ex GST],"&lt;&gt;"))</f>
        <v/>
      </c>
      <c r="F137" s="16">
        <f>IF(A137="","",SUMIFS(tbl_Finance[Ex GST],tbl_Finance[Job Number],A137&amp;""))</f>
        <v/>
      </c>
      <c r="G137" s="14">
        <f>IF(A137="","",IFERROR(INDEX(tbl_Finance[Cost Centre],MATCH(A137&amp;"",tbl_Finance[Job Number],0)),"not invoiced yet"))</f>
        <v/>
      </c>
      <c r="H137" s="13" t="n"/>
      <c r="I137" s="13" t="n"/>
      <c r="J137" s="45" t="n"/>
      <c r="K137" s="13" t="n"/>
      <c r="L137" s="13" t="n"/>
    </row>
    <row r="138" ht="15" customHeight="1">
      <c r="A138" s="13" t="n"/>
      <c r="B138" s="14">
        <f>IF(A138="","",IF(COUNTIF(lst_Jobs,A138&amp;"")&gt;0,"OK","CHECK"))</f>
        <v/>
      </c>
      <c r="C138" s="14">
        <f>IF(A138="","",IFERROR(INDEX(lst_JobName,MATCH(A138&amp;"",lst_Jobs,0)),""))</f>
        <v/>
      </c>
      <c r="D138" s="14">
        <f>IF(A138="","",IFERROR(INDEX(tbl_Finance[Client],MATCH(A138&amp;"",tbl_Finance[Job Number],0)),""))</f>
        <v/>
      </c>
      <c r="E138" s="44">
        <f>IF(A138="","",COUNTIFS(tbl_Finance[Job Number],A138&amp;"",tbl_Finance[Ex GST],"&lt;&gt;"))</f>
        <v/>
      </c>
      <c r="F138" s="16">
        <f>IF(A138="","",SUMIFS(tbl_Finance[Ex GST],tbl_Finance[Job Number],A138&amp;""))</f>
        <v/>
      </c>
      <c r="G138" s="14">
        <f>IF(A138="","",IFERROR(INDEX(tbl_Finance[Cost Centre],MATCH(A138&amp;"",tbl_Finance[Job Number],0)),"not invoiced yet"))</f>
        <v/>
      </c>
      <c r="H138" s="13" t="n"/>
      <c r="I138" s="13" t="n"/>
      <c r="J138" s="45" t="n"/>
      <c r="K138" s="13" t="n"/>
      <c r="L138" s="13" t="n"/>
    </row>
    <row r="139" ht="15" customHeight="1">
      <c r="A139" s="13" t="n"/>
      <c r="B139" s="14">
        <f>IF(A139="","",IF(COUNTIF(lst_Jobs,A139&amp;"")&gt;0,"OK","CHECK"))</f>
        <v/>
      </c>
      <c r="C139" s="14">
        <f>IF(A139="","",IFERROR(INDEX(lst_JobName,MATCH(A139&amp;"",lst_Jobs,0)),""))</f>
        <v/>
      </c>
      <c r="D139" s="14">
        <f>IF(A139="","",IFERROR(INDEX(tbl_Finance[Client],MATCH(A139&amp;"",tbl_Finance[Job Number],0)),""))</f>
        <v/>
      </c>
      <c r="E139" s="44">
        <f>IF(A139="","",COUNTIFS(tbl_Finance[Job Number],A139&amp;"",tbl_Finance[Ex GST],"&lt;&gt;"))</f>
        <v/>
      </c>
      <c r="F139" s="16">
        <f>IF(A139="","",SUMIFS(tbl_Finance[Ex GST],tbl_Finance[Job Number],A139&amp;""))</f>
        <v/>
      </c>
      <c r="G139" s="14">
        <f>IF(A139="","",IFERROR(INDEX(tbl_Finance[Cost Centre],MATCH(A139&amp;"",tbl_Finance[Job Number],0)),"not invoiced yet"))</f>
        <v/>
      </c>
      <c r="H139" s="13" t="n"/>
      <c r="I139" s="13" t="n"/>
      <c r="J139" s="45" t="n"/>
      <c r="K139" s="13" t="n"/>
      <c r="L139" s="13" t="n"/>
    </row>
    <row r="140" ht="15" customHeight="1">
      <c r="A140" s="13" t="n"/>
      <c r="B140" s="14">
        <f>IF(A140="","",IF(COUNTIF(lst_Jobs,A140&amp;"")&gt;0,"OK","CHECK"))</f>
        <v/>
      </c>
      <c r="C140" s="14">
        <f>IF(A140="","",IFERROR(INDEX(lst_JobName,MATCH(A140&amp;"",lst_Jobs,0)),""))</f>
        <v/>
      </c>
      <c r="D140" s="14">
        <f>IF(A140="","",IFERROR(INDEX(tbl_Finance[Client],MATCH(A140&amp;"",tbl_Finance[Job Number],0)),""))</f>
        <v/>
      </c>
      <c r="E140" s="44">
        <f>IF(A140="","",COUNTIFS(tbl_Finance[Job Number],A140&amp;"",tbl_Finance[Ex GST],"&lt;&gt;"))</f>
        <v/>
      </c>
      <c r="F140" s="16">
        <f>IF(A140="","",SUMIFS(tbl_Finance[Ex GST],tbl_Finance[Job Number],A140&amp;""))</f>
        <v/>
      </c>
      <c r="G140" s="14">
        <f>IF(A140="","",IFERROR(INDEX(tbl_Finance[Cost Centre],MATCH(A140&amp;"",tbl_Finance[Job Number],0)),"not invoiced yet"))</f>
        <v/>
      </c>
      <c r="H140" s="13" t="n"/>
      <c r="I140" s="13" t="n"/>
      <c r="J140" s="45" t="n"/>
      <c r="K140" s="13" t="n"/>
      <c r="L140" s="13" t="n"/>
    </row>
    <row r="141" ht="15" customHeight="1">
      <c r="A141" s="13" t="n"/>
      <c r="B141" s="14">
        <f>IF(A141="","",IF(COUNTIF(lst_Jobs,A141&amp;"")&gt;0,"OK","CHECK"))</f>
        <v/>
      </c>
      <c r="C141" s="14">
        <f>IF(A141="","",IFERROR(INDEX(lst_JobName,MATCH(A141&amp;"",lst_Jobs,0)),""))</f>
        <v/>
      </c>
      <c r="D141" s="14">
        <f>IF(A141="","",IFERROR(INDEX(tbl_Finance[Client],MATCH(A141&amp;"",tbl_Finance[Job Number],0)),""))</f>
        <v/>
      </c>
      <c r="E141" s="44">
        <f>IF(A141="","",COUNTIFS(tbl_Finance[Job Number],A141&amp;"",tbl_Finance[Ex GST],"&lt;&gt;"))</f>
        <v/>
      </c>
      <c r="F141" s="16">
        <f>IF(A141="","",SUMIFS(tbl_Finance[Ex GST],tbl_Finance[Job Number],A141&amp;""))</f>
        <v/>
      </c>
      <c r="G141" s="14">
        <f>IF(A141="","",IFERROR(INDEX(tbl_Finance[Cost Centre],MATCH(A141&amp;"",tbl_Finance[Job Number],0)),"not invoiced yet"))</f>
        <v/>
      </c>
      <c r="H141" s="13" t="n"/>
      <c r="I141" s="13" t="n"/>
      <c r="J141" s="45" t="n"/>
      <c r="K141" s="13" t="n"/>
      <c r="L141" s="13" t="n"/>
    </row>
    <row r="142" ht="15" customHeight="1">
      <c r="A142" s="13" t="n"/>
      <c r="B142" s="14">
        <f>IF(A142="","",IF(COUNTIF(lst_Jobs,A142&amp;"")&gt;0,"OK","CHECK"))</f>
        <v/>
      </c>
      <c r="C142" s="14">
        <f>IF(A142="","",IFERROR(INDEX(lst_JobName,MATCH(A142&amp;"",lst_Jobs,0)),""))</f>
        <v/>
      </c>
      <c r="D142" s="14">
        <f>IF(A142="","",IFERROR(INDEX(tbl_Finance[Client],MATCH(A142&amp;"",tbl_Finance[Job Number],0)),""))</f>
        <v/>
      </c>
      <c r="E142" s="44">
        <f>IF(A142="","",COUNTIFS(tbl_Finance[Job Number],A142&amp;"",tbl_Finance[Ex GST],"&lt;&gt;"))</f>
        <v/>
      </c>
      <c r="F142" s="16">
        <f>IF(A142="","",SUMIFS(tbl_Finance[Ex GST],tbl_Finance[Job Number],A142&amp;""))</f>
        <v/>
      </c>
      <c r="G142" s="14">
        <f>IF(A142="","",IFERROR(INDEX(tbl_Finance[Cost Centre],MATCH(A142&amp;"",tbl_Finance[Job Number],0)),"not invoiced yet"))</f>
        <v/>
      </c>
      <c r="H142" s="13" t="n"/>
      <c r="I142" s="13" t="n"/>
      <c r="J142" s="45" t="n"/>
      <c r="K142" s="13" t="n"/>
      <c r="L142" s="13" t="n"/>
    </row>
    <row r="143" ht="15" customHeight="1">
      <c r="A143" s="13" t="n"/>
      <c r="B143" s="14">
        <f>IF(A143="","",IF(COUNTIF(lst_Jobs,A143&amp;"")&gt;0,"OK","CHECK"))</f>
        <v/>
      </c>
      <c r="C143" s="14">
        <f>IF(A143="","",IFERROR(INDEX(lst_JobName,MATCH(A143&amp;"",lst_Jobs,0)),""))</f>
        <v/>
      </c>
      <c r="D143" s="14">
        <f>IF(A143="","",IFERROR(INDEX(tbl_Finance[Client],MATCH(A143&amp;"",tbl_Finance[Job Number],0)),""))</f>
        <v/>
      </c>
      <c r="E143" s="44">
        <f>IF(A143="","",COUNTIFS(tbl_Finance[Job Number],A143&amp;"",tbl_Finance[Ex GST],"&lt;&gt;"))</f>
        <v/>
      </c>
      <c r="F143" s="16">
        <f>IF(A143="","",SUMIFS(tbl_Finance[Ex GST],tbl_Finance[Job Number],A143&amp;""))</f>
        <v/>
      </c>
      <c r="G143" s="14">
        <f>IF(A143="","",IFERROR(INDEX(tbl_Finance[Cost Centre],MATCH(A143&amp;"",tbl_Finance[Job Number],0)),"not invoiced yet"))</f>
        <v/>
      </c>
      <c r="H143" s="13" t="n"/>
      <c r="I143" s="13" t="n"/>
      <c r="J143" s="45" t="n"/>
      <c r="K143" s="13" t="n"/>
      <c r="L143" s="13" t="n"/>
    </row>
    <row r="144" ht="15" customHeight="1">
      <c r="A144" s="13" t="n"/>
      <c r="B144" s="14">
        <f>IF(A144="","",IF(COUNTIF(lst_Jobs,A144&amp;"")&gt;0,"OK","CHECK"))</f>
        <v/>
      </c>
      <c r="C144" s="14">
        <f>IF(A144="","",IFERROR(INDEX(lst_JobName,MATCH(A144&amp;"",lst_Jobs,0)),""))</f>
        <v/>
      </c>
      <c r="D144" s="14">
        <f>IF(A144="","",IFERROR(INDEX(tbl_Finance[Client],MATCH(A144&amp;"",tbl_Finance[Job Number],0)),""))</f>
        <v/>
      </c>
      <c r="E144" s="44">
        <f>IF(A144="","",COUNTIFS(tbl_Finance[Job Number],A144&amp;"",tbl_Finance[Ex GST],"&lt;&gt;"))</f>
        <v/>
      </c>
      <c r="F144" s="16">
        <f>IF(A144="","",SUMIFS(tbl_Finance[Ex GST],tbl_Finance[Job Number],A144&amp;""))</f>
        <v/>
      </c>
      <c r="G144" s="14">
        <f>IF(A144="","",IFERROR(INDEX(tbl_Finance[Cost Centre],MATCH(A144&amp;"",tbl_Finance[Job Number],0)),"not invoiced yet"))</f>
        <v/>
      </c>
      <c r="H144" s="13" t="n"/>
      <c r="I144" s="13" t="n"/>
      <c r="J144" s="45" t="n"/>
      <c r="K144" s="13" t="n"/>
      <c r="L144" s="13" t="n"/>
    </row>
    <row r="145" ht="15" customHeight="1">
      <c r="A145" s="13" t="n"/>
      <c r="B145" s="14">
        <f>IF(A145="","",IF(COUNTIF(lst_Jobs,A145&amp;"")&gt;0,"OK","CHECK"))</f>
        <v/>
      </c>
      <c r="C145" s="14">
        <f>IF(A145="","",IFERROR(INDEX(lst_JobName,MATCH(A145&amp;"",lst_Jobs,0)),""))</f>
        <v/>
      </c>
      <c r="D145" s="14">
        <f>IF(A145="","",IFERROR(INDEX(tbl_Finance[Client],MATCH(A145&amp;"",tbl_Finance[Job Number],0)),""))</f>
        <v/>
      </c>
      <c r="E145" s="44">
        <f>IF(A145="","",COUNTIFS(tbl_Finance[Job Number],A145&amp;"",tbl_Finance[Ex GST],"&lt;&gt;"))</f>
        <v/>
      </c>
      <c r="F145" s="16">
        <f>IF(A145="","",SUMIFS(tbl_Finance[Ex GST],tbl_Finance[Job Number],A145&amp;""))</f>
        <v/>
      </c>
      <c r="G145" s="14">
        <f>IF(A145="","",IFERROR(INDEX(tbl_Finance[Cost Centre],MATCH(A145&amp;"",tbl_Finance[Job Number],0)),"not invoiced yet"))</f>
        <v/>
      </c>
      <c r="H145" s="13" t="n"/>
      <c r="I145" s="13" t="n"/>
      <c r="J145" s="45" t="n"/>
      <c r="K145" s="13" t="n"/>
      <c r="L145" s="13" t="n"/>
    </row>
    <row r="146" ht="15" customHeight="1">
      <c r="A146" s="13" t="n"/>
      <c r="B146" s="14">
        <f>IF(A146="","",IF(COUNTIF(lst_Jobs,A146&amp;"")&gt;0,"OK","CHECK"))</f>
        <v/>
      </c>
      <c r="C146" s="14">
        <f>IF(A146="","",IFERROR(INDEX(lst_JobName,MATCH(A146&amp;"",lst_Jobs,0)),""))</f>
        <v/>
      </c>
      <c r="D146" s="14">
        <f>IF(A146="","",IFERROR(INDEX(tbl_Finance[Client],MATCH(A146&amp;"",tbl_Finance[Job Number],0)),""))</f>
        <v/>
      </c>
      <c r="E146" s="44">
        <f>IF(A146="","",COUNTIFS(tbl_Finance[Job Number],A146&amp;"",tbl_Finance[Ex GST],"&lt;&gt;"))</f>
        <v/>
      </c>
      <c r="F146" s="16">
        <f>IF(A146="","",SUMIFS(tbl_Finance[Ex GST],tbl_Finance[Job Number],A146&amp;""))</f>
        <v/>
      </c>
      <c r="G146" s="14">
        <f>IF(A146="","",IFERROR(INDEX(tbl_Finance[Cost Centre],MATCH(A146&amp;"",tbl_Finance[Job Number],0)),"not invoiced yet"))</f>
        <v/>
      </c>
      <c r="H146" s="13" t="n"/>
      <c r="I146" s="13" t="n"/>
      <c r="J146" s="45" t="n"/>
      <c r="K146" s="13" t="n"/>
      <c r="L146" s="13" t="n"/>
    </row>
    <row r="147" ht="15" customHeight="1">
      <c r="A147" s="13" t="n"/>
      <c r="B147" s="14">
        <f>IF(A147="","",IF(COUNTIF(lst_Jobs,A147&amp;"")&gt;0,"OK","CHECK"))</f>
        <v/>
      </c>
      <c r="C147" s="14">
        <f>IF(A147="","",IFERROR(INDEX(lst_JobName,MATCH(A147&amp;"",lst_Jobs,0)),""))</f>
        <v/>
      </c>
      <c r="D147" s="14">
        <f>IF(A147="","",IFERROR(INDEX(tbl_Finance[Client],MATCH(A147&amp;"",tbl_Finance[Job Number],0)),""))</f>
        <v/>
      </c>
      <c r="E147" s="44">
        <f>IF(A147="","",COUNTIFS(tbl_Finance[Job Number],A147&amp;"",tbl_Finance[Ex GST],"&lt;&gt;"))</f>
        <v/>
      </c>
      <c r="F147" s="16">
        <f>IF(A147="","",SUMIFS(tbl_Finance[Ex GST],tbl_Finance[Job Number],A147&amp;""))</f>
        <v/>
      </c>
      <c r="G147" s="14">
        <f>IF(A147="","",IFERROR(INDEX(tbl_Finance[Cost Centre],MATCH(A147&amp;"",tbl_Finance[Job Number],0)),"not invoiced yet"))</f>
        <v/>
      </c>
      <c r="H147" s="13" t="n"/>
      <c r="I147" s="13" t="n"/>
      <c r="J147" s="45" t="n"/>
      <c r="K147" s="13" t="n"/>
      <c r="L147" s="13" t="n"/>
    </row>
    <row r="148" ht="15" customHeight="1">
      <c r="A148" s="13" t="n"/>
      <c r="B148" s="14">
        <f>IF(A148="","",IF(COUNTIF(lst_Jobs,A148&amp;"")&gt;0,"OK","CHECK"))</f>
        <v/>
      </c>
      <c r="C148" s="14">
        <f>IF(A148="","",IFERROR(INDEX(lst_JobName,MATCH(A148&amp;"",lst_Jobs,0)),""))</f>
        <v/>
      </c>
      <c r="D148" s="14">
        <f>IF(A148="","",IFERROR(INDEX(tbl_Finance[Client],MATCH(A148&amp;"",tbl_Finance[Job Number],0)),""))</f>
        <v/>
      </c>
      <c r="E148" s="44">
        <f>IF(A148="","",COUNTIFS(tbl_Finance[Job Number],A148&amp;"",tbl_Finance[Ex GST],"&lt;&gt;"))</f>
        <v/>
      </c>
      <c r="F148" s="16">
        <f>IF(A148="","",SUMIFS(tbl_Finance[Ex GST],tbl_Finance[Job Number],A148&amp;""))</f>
        <v/>
      </c>
      <c r="G148" s="14">
        <f>IF(A148="","",IFERROR(INDEX(tbl_Finance[Cost Centre],MATCH(A148&amp;"",tbl_Finance[Job Number],0)),"not invoiced yet"))</f>
        <v/>
      </c>
      <c r="H148" s="13" t="n"/>
      <c r="I148" s="13" t="n"/>
      <c r="J148" s="45" t="n"/>
      <c r="K148" s="13" t="n"/>
      <c r="L148" s="13" t="n"/>
    </row>
    <row r="149" ht="15" customHeight="1">
      <c r="A149" s="13" t="n"/>
      <c r="B149" s="14">
        <f>IF(A149="","",IF(COUNTIF(lst_Jobs,A149&amp;"")&gt;0,"OK","CHECK"))</f>
        <v/>
      </c>
      <c r="C149" s="14">
        <f>IF(A149="","",IFERROR(INDEX(lst_JobName,MATCH(A149&amp;"",lst_Jobs,0)),""))</f>
        <v/>
      </c>
      <c r="D149" s="14">
        <f>IF(A149="","",IFERROR(INDEX(tbl_Finance[Client],MATCH(A149&amp;"",tbl_Finance[Job Number],0)),""))</f>
        <v/>
      </c>
      <c r="E149" s="44">
        <f>IF(A149="","",COUNTIFS(tbl_Finance[Job Number],A149&amp;"",tbl_Finance[Ex GST],"&lt;&gt;"))</f>
        <v/>
      </c>
      <c r="F149" s="16">
        <f>IF(A149="","",SUMIFS(tbl_Finance[Ex GST],tbl_Finance[Job Number],A149&amp;""))</f>
        <v/>
      </c>
      <c r="G149" s="14">
        <f>IF(A149="","",IFERROR(INDEX(tbl_Finance[Cost Centre],MATCH(A149&amp;"",tbl_Finance[Job Number],0)),"not invoiced yet"))</f>
        <v/>
      </c>
      <c r="H149" s="13" t="n"/>
      <c r="I149" s="13" t="n"/>
      <c r="J149" s="45" t="n"/>
      <c r="K149" s="13" t="n"/>
      <c r="L149" s="13" t="n"/>
    </row>
    <row r="150" ht="15" customHeight="1">
      <c r="A150" s="13" t="n"/>
      <c r="B150" s="14">
        <f>IF(A150="","",IF(COUNTIF(lst_Jobs,A150&amp;"")&gt;0,"OK","CHECK"))</f>
        <v/>
      </c>
      <c r="C150" s="14">
        <f>IF(A150="","",IFERROR(INDEX(lst_JobName,MATCH(A150&amp;"",lst_Jobs,0)),""))</f>
        <v/>
      </c>
      <c r="D150" s="14">
        <f>IF(A150="","",IFERROR(INDEX(tbl_Finance[Client],MATCH(A150&amp;"",tbl_Finance[Job Number],0)),""))</f>
        <v/>
      </c>
      <c r="E150" s="44">
        <f>IF(A150="","",COUNTIFS(tbl_Finance[Job Number],A150&amp;"",tbl_Finance[Ex GST],"&lt;&gt;"))</f>
        <v/>
      </c>
      <c r="F150" s="16">
        <f>IF(A150="","",SUMIFS(tbl_Finance[Ex GST],tbl_Finance[Job Number],A150&amp;""))</f>
        <v/>
      </c>
      <c r="G150" s="14">
        <f>IF(A150="","",IFERROR(INDEX(tbl_Finance[Cost Centre],MATCH(A150&amp;"",tbl_Finance[Job Number],0)),"not invoiced yet"))</f>
        <v/>
      </c>
      <c r="H150" s="13" t="n"/>
      <c r="I150" s="13" t="n"/>
      <c r="J150" s="45" t="n"/>
      <c r="K150" s="13" t="n"/>
      <c r="L150" s="13" t="n"/>
    </row>
    <row r="151" ht="15" customHeight="1">
      <c r="A151" s="13" t="n"/>
      <c r="B151" s="14">
        <f>IF(A151="","",IF(COUNTIF(lst_Jobs,A151&amp;"")&gt;0,"OK","CHECK"))</f>
        <v/>
      </c>
      <c r="C151" s="14">
        <f>IF(A151="","",IFERROR(INDEX(lst_JobName,MATCH(A151&amp;"",lst_Jobs,0)),""))</f>
        <v/>
      </c>
      <c r="D151" s="14">
        <f>IF(A151="","",IFERROR(INDEX(tbl_Finance[Client],MATCH(A151&amp;"",tbl_Finance[Job Number],0)),""))</f>
        <v/>
      </c>
      <c r="E151" s="44">
        <f>IF(A151="","",COUNTIFS(tbl_Finance[Job Number],A151&amp;"",tbl_Finance[Ex GST],"&lt;&gt;"))</f>
        <v/>
      </c>
      <c r="F151" s="16">
        <f>IF(A151="","",SUMIFS(tbl_Finance[Ex GST],tbl_Finance[Job Number],A151&amp;""))</f>
        <v/>
      </c>
      <c r="G151" s="14">
        <f>IF(A151="","",IFERROR(INDEX(tbl_Finance[Cost Centre],MATCH(A151&amp;"",tbl_Finance[Job Number],0)),"not invoiced yet"))</f>
        <v/>
      </c>
      <c r="H151" s="13" t="n"/>
      <c r="I151" s="13" t="n"/>
      <c r="J151" s="45" t="n"/>
      <c r="K151" s="13" t="n"/>
      <c r="L151" s="13" t="n"/>
    </row>
    <row r="152" ht="15" customHeight="1">
      <c r="A152" s="13" t="n"/>
      <c r="B152" s="14">
        <f>IF(A152="","",IF(COUNTIF(lst_Jobs,A152&amp;"")&gt;0,"OK","CHECK"))</f>
        <v/>
      </c>
      <c r="C152" s="14">
        <f>IF(A152="","",IFERROR(INDEX(lst_JobName,MATCH(A152&amp;"",lst_Jobs,0)),""))</f>
        <v/>
      </c>
      <c r="D152" s="14">
        <f>IF(A152="","",IFERROR(INDEX(tbl_Finance[Client],MATCH(A152&amp;"",tbl_Finance[Job Number],0)),""))</f>
        <v/>
      </c>
      <c r="E152" s="44">
        <f>IF(A152="","",COUNTIFS(tbl_Finance[Job Number],A152&amp;"",tbl_Finance[Ex GST],"&lt;&gt;"))</f>
        <v/>
      </c>
      <c r="F152" s="16">
        <f>IF(A152="","",SUMIFS(tbl_Finance[Ex GST],tbl_Finance[Job Number],A152&amp;""))</f>
        <v/>
      </c>
      <c r="G152" s="14">
        <f>IF(A152="","",IFERROR(INDEX(tbl_Finance[Cost Centre],MATCH(A152&amp;"",tbl_Finance[Job Number],0)),"not invoiced yet"))</f>
        <v/>
      </c>
      <c r="H152" s="13" t="n"/>
      <c r="I152" s="13" t="n"/>
      <c r="J152" s="45" t="n"/>
      <c r="K152" s="13" t="n"/>
      <c r="L152" s="13" t="n"/>
    </row>
    <row r="153" ht="15" customHeight="1">
      <c r="A153" s="13" t="n"/>
      <c r="B153" s="14">
        <f>IF(A153="","",IF(COUNTIF(lst_Jobs,A153&amp;"")&gt;0,"OK","CHECK"))</f>
        <v/>
      </c>
      <c r="C153" s="14">
        <f>IF(A153="","",IFERROR(INDEX(lst_JobName,MATCH(A153&amp;"",lst_Jobs,0)),""))</f>
        <v/>
      </c>
      <c r="D153" s="14">
        <f>IF(A153="","",IFERROR(INDEX(tbl_Finance[Client],MATCH(A153&amp;"",tbl_Finance[Job Number],0)),""))</f>
        <v/>
      </c>
      <c r="E153" s="44">
        <f>IF(A153="","",COUNTIFS(tbl_Finance[Job Number],A153&amp;"",tbl_Finance[Ex GST],"&lt;&gt;"))</f>
        <v/>
      </c>
      <c r="F153" s="16">
        <f>IF(A153="","",SUMIFS(tbl_Finance[Ex GST],tbl_Finance[Job Number],A153&amp;""))</f>
        <v/>
      </c>
      <c r="G153" s="14">
        <f>IF(A153="","",IFERROR(INDEX(tbl_Finance[Cost Centre],MATCH(A153&amp;"",tbl_Finance[Job Number],0)),"not invoiced yet"))</f>
        <v/>
      </c>
      <c r="H153" s="13" t="n"/>
      <c r="I153" s="13" t="n"/>
      <c r="J153" s="45" t="n"/>
      <c r="K153" s="13" t="n"/>
      <c r="L153" s="13" t="n"/>
    </row>
    <row r="154" ht="15" customHeight="1">
      <c r="A154" s="13" t="n"/>
      <c r="B154" s="14">
        <f>IF(A154="","",IF(COUNTIF(lst_Jobs,A154&amp;"")&gt;0,"OK","CHECK"))</f>
        <v/>
      </c>
      <c r="C154" s="14">
        <f>IF(A154="","",IFERROR(INDEX(lst_JobName,MATCH(A154&amp;"",lst_Jobs,0)),""))</f>
        <v/>
      </c>
      <c r="D154" s="14">
        <f>IF(A154="","",IFERROR(INDEX(tbl_Finance[Client],MATCH(A154&amp;"",tbl_Finance[Job Number],0)),""))</f>
        <v/>
      </c>
      <c r="E154" s="44">
        <f>IF(A154="","",COUNTIFS(tbl_Finance[Job Number],A154&amp;"",tbl_Finance[Ex GST],"&lt;&gt;"))</f>
        <v/>
      </c>
      <c r="F154" s="16">
        <f>IF(A154="","",SUMIFS(tbl_Finance[Ex GST],tbl_Finance[Job Number],A154&amp;""))</f>
        <v/>
      </c>
      <c r="G154" s="14">
        <f>IF(A154="","",IFERROR(INDEX(tbl_Finance[Cost Centre],MATCH(A154&amp;"",tbl_Finance[Job Number],0)),"not invoiced yet"))</f>
        <v/>
      </c>
      <c r="H154" s="13" t="n"/>
      <c r="I154" s="13" t="n"/>
      <c r="J154" s="45" t="n"/>
      <c r="K154" s="13" t="n"/>
      <c r="L154" s="13" t="n"/>
    </row>
    <row r="155" ht="15" customHeight="1">
      <c r="A155" s="13" t="n"/>
      <c r="B155" s="14">
        <f>IF(A155="","",IF(COUNTIF(lst_Jobs,A155&amp;"")&gt;0,"OK","CHECK"))</f>
        <v/>
      </c>
      <c r="C155" s="14">
        <f>IF(A155="","",IFERROR(INDEX(lst_JobName,MATCH(A155&amp;"",lst_Jobs,0)),""))</f>
        <v/>
      </c>
      <c r="D155" s="14">
        <f>IF(A155="","",IFERROR(INDEX(tbl_Finance[Client],MATCH(A155&amp;"",tbl_Finance[Job Number],0)),""))</f>
        <v/>
      </c>
      <c r="E155" s="44">
        <f>IF(A155="","",COUNTIFS(tbl_Finance[Job Number],A155&amp;"",tbl_Finance[Ex GST],"&lt;&gt;"))</f>
        <v/>
      </c>
      <c r="F155" s="16">
        <f>IF(A155="","",SUMIFS(tbl_Finance[Ex GST],tbl_Finance[Job Number],A155&amp;""))</f>
        <v/>
      </c>
      <c r="G155" s="14">
        <f>IF(A155="","",IFERROR(INDEX(tbl_Finance[Cost Centre],MATCH(A155&amp;"",tbl_Finance[Job Number],0)),"not invoiced yet"))</f>
        <v/>
      </c>
      <c r="H155" s="13" t="n"/>
      <c r="I155" s="13" t="n"/>
      <c r="J155" s="45" t="n"/>
      <c r="K155" s="13" t="n"/>
      <c r="L155" s="13" t="n"/>
    </row>
    <row r="156" ht="15" customHeight="1">
      <c r="A156" s="13" t="n"/>
      <c r="B156" s="14">
        <f>IF(A156="","",IF(COUNTIF(lst_Jobs,A156&amp;"")&gt;0,"OK","CHECK"))</f>
        <v/>
      </c>
      <c r="C156" s="14">
        <f>IF(A156="","",IFERROR(INDEX(lst_JobName,MATCH(A156&amp;"",lst_Jobs,0)),""))</f>
        <v/>
      </c>
      <c r="D156" s="14">
        <f>IF(A156="","",IFERROR(INDEX(tbl_Finance[Client],MATCH(A156&amp;"",tbl_Finance[Job Number],0)),""))</f>
        <v/>
      </c>
      <c r="E156" s="44">
        <f>IF(A156="","",COUNTIFS(tbl_Finance[Job Number],A156&amp;"",tbl_Finance[Ex GST],"&lt;&gt;"))</f>
        <v/>
      </c>
      <c r="F156" s="16">
        <f>IF(A156="","",SUMIFS(tbl_Finance[Ex GST],tbl_Finance[Job Number],A156&amp;""))</f>
        <v/>
      </c>
      <c r="G156" s="14">
        <f>IF(A156="","",IFERROR(INDEX(tbl_Finance[Cost Centre],MATCH(A156&amp;"",tbl_Finance[Job Number],0)),"not invoiced yet"))</f>
        <v/>
      </c>
      <c r="H156" s="13" t="n"/>
      <c r="I156" s="13" t="n"/>
      <c r="J156" s="45" t="n"/>
      <c r="K156" s="13" t="n"/>
      <c r="L156" s="13" t="n"/>
    </row>
    <row r="157" ht="15" customHeight="1">
      <c r="A157" s="13" t="n"/>
      <c r="B157" s="14">
        <f>IF(A157="","",IF(COUNTIF(lst_Jobs,A157&amp;"")&gt;0,"OK","CHECK"))</f>
        <v/>
      </c>
      <c r="C157" s="14">
        <f>IF(A157="","",IFERROR(INDEX(lst_JobName,MATCH(A157&amp;"",lst_Jobs,0)),""))</f>
        <v/>
      </c>
      <c r="D157" s="14">
        <f>IF(A157="","",IFERROR(INDEX(tbl_Finance[Client],MATCH(A157&amp;"",tbl_Finance[Job Number],0)),""))</f>
        <v/>
      </c>
      <c r="E157" s="44">
        <f>IF(A157="","",COUNTIFS(tbl_Finance[Job Number],A157&amp;"",tbl_Finance[Ex GST],"&lt;&gt;"))</f>
        <v/>
      </c>
      <c r="F157" s="16">
        <f>IF(A157="","",SUMIFS(tbl_Finance[Ex GST],tbl_Finance[Job Number],A157&amp;""))</f>
        <v/>
      </c>
      <c r="G157" s="14">
        <f>IF(A157="","",IFERROR(INDEX(tbl_Finance[Cost Centre],MATCH(A157&amp;"",tbl_Finance[Job Number],0)),"not invoiced yet"))</f>
        <v/>
      </c>
      <c r="H157" s="13" t="n"/>
      <c r="I157" s="13" t="n"/>
      <c r="J157" s="45" t="n"/>
      <c r="K157" s="13" t="n"/>
      <c r="L157" s="13" t="n"/>
    </row>
    <row r="158" ht="15" customHeight="1">
      <c r="A158" s="13" t="n"/>
      <c r="B158" s="14">
        <f>IF(A158="","",IF(COUNTIF(lst_Jobs,A158&amp;"")&gt;0,"OK","CHECK"))</f>
        <v/>
      </c>
      <c r="C158" s="14">
        <f>IF(A158="","",IFERROR(INDEX(lst_JobName,MATCH(A158&amp;"",lst_Jobs,0)),""))</f>
        <v/>
      </c>
      <c r="D158" s="14">
        <f>IF(A158="","",IFERROR(INDEX(tbl_Finance[Client],MATCH(A158&amp;"",tbl_Finance[Job Number],0)),""))</f>
        <v/>
      </c>
      <c r="E158" s="44">
        <f>IF(A158="","",COUNTIFS(tbl_Finance[Job Number],A158&amp;"",tbl_Finance[Ex GST],"&lt;&gt;"))</f>
        <v/>
      </c>
      <c r="F158" s="16">
        <f>IF(A158="","",SUMIFS(tbl_Finance[Ex GST],tbl_Finance[Job Number],A158&amp;""))</f>
        <v/>
      </c>
      <c r="G158" s="14">
        <f>IF(A158="","",IFERROR(INDEX(tbl_Finance[Cost Centre],MATCH(A158&amp;"",tbl_Finance[Job Number],0)),"not invoiced yet"))</f>
        <v/>
      </c>
      <c r="H158" s="13" t="n"/>
      <c r="I158" s="13" t="n"/>
      <c r="J158" s="45" t="n"/>
      <c r="K158" s="13" t="n"/>
      <c r="L158" s="13" t="n"/>
    </row>
    <row r="159" ht="15" customHeight="1">
      <c r="A159" s="13" t="n"/>
      <c r="B159" s="14">
        <f>IF(A159="","",IF(COUNTIF(lst_Jobs,A159&amp;"")&gt;0,"OK","CHECK"))</f>
        <v/>
      </c>
      <c r="C159" s="14">
        <f>IF(A159="","",IFERROR(INDEX(lst_JobName,MATCH(A159&amp;"",lst_Jobs,0)),""))</f>
        <v/>
      </c>
      <c r="D159" s="14">
        <f>IF(A159="","",IFERROR(INDEX(tbl_Finance[Client],MATCH(A159&amp;"",tbl_Finance[Job Number],0)),""))</f>
        <v/>
      </c>
      <c r="E159" s="44">
        <f>IF(A159="","",COUNTIFS(tbl_Finance[Job Number],A159&amp;"",tbl_Finance[Ex GST],"&lt;&gt;"))</f>
        <v/>
      </c>
      <c r="F159" s="16">
        <f>IF(A159="","",SUMIFS(tbl_Finance[Ex GST],tbl_Finance[Job Number],A159&amp;""))</f>
        <v/>
      </c>
      <c r="G159" s="14">
        <f>IF(A159="","",IFERROR(INDEX(tbl_Finance[Cost Centre],MATCH(A159&amp;"",tbl_Finance[Job Number],0)),"not invoiced yet"))</f>
        <v/>
      </c>
      <c r="H159" s="13" t="n"/>
      <c r="I159" s="13" t="n"/>
      <c r="J159" s="45" t="n"/>
      <c r="K159" s="13" t="n"/>
      <c r="L159" s="13" t="n"/>
    </row>
    <row r="160" ht="15" customHeight="1">
      <c r="A160" s="13" t="n"/>
      <c r="B160" s="14">
        <f>IF(A160="","",IF(COUNTIF(lst_Jobs,A160&amp;"")&gt;0,"OK","CHECK"))</f>
        <v/>
      </c>
      <c r="C160" s="14">
        <f>IF(A160="","",IFERROR(INDEX(lst_JobName,MATCH(A160&amp;"",lst_Jobs,0)),""))</f>
        <v/>
      </c>
      <c r="D160" s="14">
        <f>IF(A160="","",IFERROR(INDEX(tbl_Finance[Client],MATCH(A160&amp;"",tbl_Finance[Job Number],0)),""))</f>
        <v/>
      </c>
      <c r="E160" s="44">
        <f>IF(A160="","",COUNTIFS(tbl_Finance[Job Number],A160&amp;"",tbl_Finance[Ex GST],"&lt;&gt;"))</f>
        <v/>
      </c>
      <c r="F160" s="16">
        <f>IF(A160="","",SUMIFS(tbl_Finance[Ex GST],tbl_Finance[Job Number],A160&amp;""))</f>
        <v/>
      </c>
      <c r="G160" s="14">
        <f>IF(A160="","",IFERROR(INDEX(tbl_Finance[Cost Centre],MATCH(A160&amp;"",tbl_Finance[Job Number],0)),"not invoiced yet"))</f>
        <v/>
      </c>
      <c r="H160" s="13" t="n"/>
      <c r="I160" s="13" t="n"/>
      <c r="J160" s="45" t="n"/>
      <c r="K160" s="13" t="n"/>
      <c r="L160" s="13" t="n"/>
    </row>
    <row r="161" ht="15" customHeight="1">
      <c r="A161" s="13" t="n"/>
      <c r="B161" s="14">
        <f>IF(A161="","",IF(COUNTIF(lst_Jobs,A161&amp;"")&gt;0,"OK","CHECK"))</f>
        <v/>
      </c>
      <c r="C161" s="14">
        <f>IF(A161="","",IFERROR(INDEX(lst_JobName,MATCH(A161&amp;"",lst_Jobs,0)),""))</f>
        <v/>
      </c>
      <c r="D161" s="14">
        <f>IF(A161="","",IFERROR(INDEX(tbl_Finance[Client],MATCH(A161&amp;"",tbl_Finance[Job Number],0)),""))</f>
        <v/>
      </c>
      <c r="E161" s="44">
        <f>IF(A161="","",COUNTIFS(tbl_Finance[Job Number],A161&amp;"",tbl_Finance[Ex GST],"&lt;&gt;"))</f>
        <v/>
      </c>
      <c r="F161" s="16">
        <f>IF(A161="","",SUMIFS(tbl_Finance[Ex GST],tbl_Finance[Job Number],A161&amp;""))</f>
        <v/>
      </c>
      <c r="G161" s="14">
        <f>IF(A161="","",IFERROR(INDEX(tbl_Finance[Cost Centre],MATCH(A161&amp;"",tbl_Finance[Job Number],0)),"not invoiced yet"))</f>
        <v/>
      </c>
      <c r="H161" s="13" t="n"/>
      <c r="I161" s="13" t="n"/>
      <c r="J161" s="45" t="n"/>
      <c r="K161" s="13" t="n"/>
      <c r="L161" s="13" t="n"/>
    </row>
    <row r="162" ht="15" customHeight="1">
      <c r="A162" s="13" t="n"/>
      <c r="B162" s="14">
        <f>IF(A162="","",IF(COUNTIF(lst_Jobs,A162&amp;"")&gt;0,"OK","CHECK"))</f>
        <v/>
      </c>
      <c r="C162" s="14">
        <f>IF(A162="","",IFERROR(INDEX(lst_JobName,MATCH(A162&amp;"",lst_Jobs,0)),""))</f>
        <v/>
      </c>
      <c r="D162" s="14">
        <f>IF(A162="","",IFERROR(INDEX(tbl_Finance[Client],MATCH(A162&amp;"",tbl_Finance[Job Number],0)),""))</f>
        <v/>
      </c>
      <c r="E162" s="44">
        <f>IF(A162="","",COUNTIFS(tbl_Finance[Job Number],A162&amp;"",tbl_Finance[Ex GST],"&lt;&gt;"))</f>
        <v/>
      </c>
      <c r="F162" s="16">
        <f>IF(A162="","",SUMIFS(tbl_Finance[Ex GST],tbl_Finance[Job Number],A162&amp;""))</f>
        <v/>
      </c>
      <c r="G162" s="14">
        <f>IF(A162="","",IFERROR(INDEX(tbl_Finance[Cost Centre],MATCH(A162&amp;"",tbl_Finance[Job Number],0)),"not invoiced yet"))</f>
        <v/>
      </c>
      <c r="H162" s="13" t="n"/>
      <c r="I162" s="13" t="n"/>
      <c r="J162" s="45" t="n"/>
      <c r="K162" s="13" t="n"/>
      <c r="L162" s="13" t="n"/>
    </row>
    <row r="163" ht="15" customHeight="1">
      <c r="A163" s="13" t="n"/>
      <c r="B163" s="14">
        <f>IF(A163="","",IF(COUNTIF(lst_Jobs,A163&amp;"")&gt;0,"OK","CHECK"))</f>
        <v/>
      </c>
      <c r="C163" s="14">
        <f>IF(A163="","",IFERROR(INDEX(lst_JobName,MATCH(A163&amp;"",lst_Jobs,0)),""))</f>
        <v/>
      </c>
      <c r="D163" s="14">
        <f>IF(A163="","",IFERROR(INDEX(tbl_Finance[Client],MATCH(A163&amp;"",tbl_Finance[Job Number],0)),""))</f>
        <v/>
      </c>
      <c r="E163" s="44">
        <f>IF(A163="","",COUNTIFS(tbl_Finance[Job Number],A163&amp;"",tbl_Finance[Ex GST],"&lt;&gt;"))</f>
        <v/>
      </c>
      <c r="F163" s="16">
        <f>IF(A163="","",SUMIFS(tbl_Finance[Ex GST],tbl_Finance[Job Number],A163&amp;""))</f>
        <v/>
      </c>
      <c r="G163" s="14">
        <f>IF(A163="","",IFERROR(INDEX(tbl_Finance[Cost Centre],MATCH(A163&amp;"",tbl_Finance[Job Number],0)),"not invoiced yet"))</f>
        <v/>
      </c>
      <c r="H163" s="13" t="n"/>
      <c r="I163" s="13" t="n"/>
      <c r="J163" s="45" t="n"/>
      <c r="K163" s="13" t="n"/>
      <c r="L163" s="13" t="n"/>
    </row>
    <row r="164" ht="15" customHeight="1">
      <c r="A164" s="13" t="n"/>
      <c r="B164" s="14">
        <f>IF(A164="","",IF(COUNTIF(lst_Jobs,A164&amp;"")&gt;0,"OK","CHECK"))</f>
        <v/>
      </c>
      <c r="C164" s="14">
        <f>IF(A164="","",IFERROR(INDEX(lst_JobName,MATCH(A164&amp;"",lst_Jobs,0)),""))</f>
        <v/>
      </c>
      <c r="D164" s="14">
        <f>IF(A164="","",IFERROR(INDEX(tbl_Finance[Client],MATCH(A164&amp;"",tbl_Finance[Job Number],0)),""))</f>
        <v/>
      </c>
      <c r="E164" s="44">
        <f>IF(A164="","",COUNTIFS(tbl_Finance[Job Number],A164&amp;"",tbl_Finance[Ex GST],"&lt;&gt;"))</f>
        <v/>
      </c>
      <c r="F164" s="16">
        <f>IF(A164="","",SUMIFS(tbl_Finance[Ex GST],tbl_Finance[Job Number],A164&amp;""))</f>
        <v/>
      </c>
      <c r="G164" s="14">
        <f>IF(A164="","",IFERROR(INDEX(tbl_Finance[Cost Centre],MATCH(A164&amp;"",tbl_Finance[Job Number],0)),"not invoiced yet"))</f>
        <v/>
      </c>
      <c r="H164" s="13" t="n"/>
      <c r="I164" s="13" t="n"/>
      <c r="J164" s="45" t="n"/>
      <c r="K164" s="13" t="n"/>
      <c r="L164" s="13" t="n"/>
    </row>
    <row r="165" ht="15" customHeight="1">
      <c r="A165" s="13" t="n"/>
      <c r="B165" s="14">
        <f>IF(A165="","",IF(COUNTIF(lst_Jobs,A165&amp;"")&gt;0,"OK","CHECK"))</f>
        <v/>
      </c>
      <c r="C165" s="14">
        <f>IF(A165="","",IFERROR(INDEX(lst_JobName,MATCH(A165&amp;"",lst_Jobs,0)),""))</f>
        <v/>
      </c>
      <c r="D165" s="14">
        <f>IF(A165="","",IFERROR(INDEX(tbl_Finance[Client],MATCH(A165&amp;"",tbl_Finance[Job Number],0)),""))</f>
        <v/>
      </c>
      <c r="E165" s="44">
        <f>IF(A165="","",COUNTIFS(tbl_Finance[Job Number],A165&amp;"",tbl_Finance[Ex GST],"&lt;&gt;"))</f>
        <v/>
      </c>
      <c r="F165" s="16">
        <f>IF(A165="","",SUMIFS(tbl_Finance[Ex GST],tbl_Finance[Job Number],A165&amp;""))</f>
        <v/>
      </c>
      <c r="G165" s="14">
        <f>IF(A165="","",IFERROR(INDEX(tbl_Finance[Cost Centre],MATCH(A165&amp;"",tbl_Finance[Job Number],0)),"not invoiced yet"))</f>
        <v/>
      </c>
      <c r="H165" s="13" t="n"/>
      <c r="I165" s="13" t="n"/>
      <c r="J165" s="45" t="n"/>
      <c r="K165" s="13" t="n"/>
      <c r="L165" s="13" t="n"/>
    </row>
    <row r="166" ht="15" customHeight="1">
      <c r="A166" s="13" t="n"/>
      <c r="B166" s="14">
        <f>IF(A166="","",IF(COUNTIF(lst_Jobs,A166&amp;"")&gt;0,"OK","CHECK"))</f>
        <v/>
      </c>
      <c r="C166" s="14">
        <f>IF(A166="","",IFERROR(INDEX(lst_JobName,MATCH(A166&amp;"",lst_Jobs,0)),""))</f>
        <v/>
      </c>
      <c r="D166" s="14">
        <f>IF(A166="","",IFERROR(INDEX(tbl_Finance[Client],MATCH(A166&amp;"",tbl_Finance[Job Number],0)),""))</f>
        <v/>
      </c>
      <c r="E166" s="44">
        <f>IF(A166="","",COUNTIFS(tbl_Finance[Job Number],A166&amp;"",tbl_Finance[Ex GST],"&lt;&gt;"))</f>
        <v/>
      </c>
      <c r="F166" s="16">
        <f>IF(A166="","",SUMIFS(tbl_Finance[Ex GST],tbl_Finance[Job Number],A166&amp;""))</f>
        <v/>
      </c>
      <c r="G166" s="14">
        <f>IF(A166="","",IFERROR(INDEX(tbl_Finance[Cost Centre],MATCH(A166&amp;"",tbl_Finance[Job Number],0)),"not invoiced yet"))</f>
        <v/>
      </c>
      <c r="H166" s="13" t="n"/>
      <c r="I166" s="13" t="n"/>
      <c r="J166" s="45" t="n"/>
      <c r="K166" s="13" t="n"/>
      <c r="L166" s="13" t="n"/>
    </row>
    <row r="167" ht="15" customHeight="1">
      <c r="A167" s="13" t="n"/>
      <c r="B167" s="14">
        <f>IF(A167="","",IF(COUNTIF(lst_Jobs,A167&amp;"")&gt;0,"OK","CHECK"))</f>
        <v/>
      </c>
      <c r="C167" s="14">
        <f>IF(A167="","",IFERROR(INDEX(lst_JobName,MATCH(A167&amp;"",lst_Jobs,0)),""))</f>
        <v/>
      </c>
      <c r="D167" s="14">
        <f>IF(A167="","",IFERROR(INDEX(tbl_Finance[Client],MATCH(A167&amp;"",tbl_Finance[Job Number],0)),""))</f>
        <v/>
      </c>
      <c r="E167" s="44">
        <f>IF(A167="","",COUNTIFS(tbl_Finance[Job Number],A167&amp;"",tbl_Finance[Ex GST],"&lt;&gt;"))</f>
        <v/>
      </c>
      <c r="F167" s="16">
        <f>IF(A167="","",SUMIFS(tbl_Finance[Ex GST],tbl_Finance[Job Number],A167&amp;""))</f>
        <v/>
      </c>
      <c r="G167" s="14">
        <f>IF(A167="","",IFERROR(INDEX(tbl_Finance[Cost Centre],MATCH(A167&amp;"",tbl_Finance[Job Number],0)),"not invoiced yet"))</f>
        <v/>
      </c>
      <c r="H167" s="13" t="n"/>
      <c r="I167" s="13" t="n"/>
      <c r="J167" s="45" t="n"/>
      <c r="K167" s="13" t="n"/>
      <c r="L167" s="13" t="n"/>
    </row>
    <row r="168" ht="15" customHeight="1">
      <c r="A168" s="13" t="n"/>
      <c r="B168" s="14">
        <f>IF(A168="","",IF(COUNTIF(lst_Jobs,A168&amp;"")&gt;0,"OK","CHECK"))</f>
        <v/>
      </c>
      <c r="C168" s="14">
        <f>IF(A168="","",IFERROR(INDEX(lst_JobName,MATCH(A168&amp;"",lst_Jobs,0)),""))</f>
        <v/>
      </c>
      <c r="D168" s="14">
        <f>IF(A168="","",IFERROR(INDEX(tbl_Finance[Client],MATCH(A168&amp;"",tbl_Finance[Job Number],0)),""))</f>
        <v/>
      </c>
      <c r="E168" s="44">
        <f>IF(A168="","",COUNTIFS(tbl_Finance[Job Number],A168&amp;"",tbl_Finance[Ex GST],"&lt;&gt;"))</f>
        <v/>
      </c>
      <c r="F168" s="16">
        <f>IF(A168="","",SUMIFS(tbl_Finance[Ex GST],tbl_Finance[Job Number],A168&amp;""))</f>
        <v/>
      </c>
      <c r="G168" s="14">
        <f>IF(A168="","",IFERROR(INDEX(tbl_Finance[Cost Centre],MATCH(A168&amp;"",tbl_Finance[Job Number],0)),"not invoiced yet"))</f>
        <v/>
      </c>
      <c r="H168" s="13" t="n"/>
      <c r="I168" s="13" t="n"/>
      <c r="J168" s="45" t="n"/>
      <c r="K168" s="13" t="n"/>
      <c r="L168" s="13" t="n"/>
    </row>
    <row r="169" ht="15" customHeight="1">
      <c r="A169" s="13" t="n"/>
      <c r="B169" s="14">
        <f>IF(A169="","",IF(COUNTIF(lst_Jobs,A169&amp;"")&gt;0,"OK","CHECK"))</f>
        <v/>
      </c>
      <c r="C169" s="14">
        <f>IF(A169="","",IFERROR(INDEX(lst_JobName,MATCH(A169&amp;"",lst_Jobs,0)),""))</f>
        <v/>
      </c>
      <c r="D169" s="14">
        <f>IF(A169="","",IFERROR(INDEX(tbl_Finance[Client],MATCH(A169&amp;"",tbl_Finance[Job Number],0)),""))</f>
        <v/>
      </c>
      <c r="E169" s="44">
        <f>IF(A169="","",COUNTIFS(tbl_Finance[Job Number],A169&amp;"",tbl_Finance[Ex GST],"&lt;&gt;"))</f>
        <v/>
      </c>
      <c r="F169" s="16">
        <f>IF(A169="","",SUMIFS(tbl_Finance[Ex GST],tbl_Finance[Job Number],A169&amp;""))</f>
        <v/>
      </c>
      <c r="G169" s="14">
        <f>IF(A169="","",IFERROR(INDEX(tbl_Finance[Cost Centre],MATCH(A169&amp;"",tbl_Finance[Job Number],0)),"not invoiced yet"))</f>
        <v/>
      </c>
      <c r="H169" s="13" t="n"/>
      <c r="I169" s="13" t="n"/>
      <c r="J169" s="45" t="n"/>
      <c r="K169" s="13" t="n"/>
      <c r="L169" s="13" t="n"/>
    </row>
    <row r="170" ht="15" customHeight="1">
      <c r="A170" s="13" t="n"/>
      <c r="B170" s="14">
        <f>IF(A170="","",IF(COUNTIF(lst_Jobs,A170&amp;"")&gt;0,"OK","CHECK"))</f>
        <v/>
      </c>
      <c r="C170" s="14">
        <f>IF(A170="","",IFERROR(INDEX(lst_JobName,MATCH(A170&amp;"",lst_Jobs,0)),""))</f>
        <v/>
      </c>
      <c r="D170" s="14">
        <f>IF(A170="","",IFERROR(INDEX(tbl_Finance[Client],MATCH(A170&amp;"",tbl_Finance[Job Number],0)),""))</f>
        <v/>
      </c>
      <c r="E170" s="44">
        <f>IF(A170="","",COUNTIFS(tbl_Finance[Job Number],A170&amp;"",tbl_Finance[Ex GST],"&lt;&gt;"))</f>
        <v/>
      </c>
      <c r="F170" s="16">
        <f>IF(A170="","",SUMIFS(tbl_Finance[Ex GST],tbl_Finance[Job Number],A170&amp;""))</f>
        <v/>
      </c>
      <c r="G170" s="14">
        <f>IF(A170="","",IFERROR(INDEX(tbl_Finance[Cost Centre],MATCH(A170&amp;"",tbl_Finance[Job Number],0)),"not invoiced yet"))</f>
        <v/>
      </c>
      <c r="H170" s="13" t="n"/>
      <c r="I170" s="13" t="n"/>
      <c r="J170" s="45" t="n"/>
      <c r="K170" s="13" t="n"/>
      <c r="L170" s="13" t="n"/>
    </row>
    <row r="171" ht="15" customHeight="1">
      <c r="A171" s="13" t="n"/>
      <c r="B171" s="14">
        <f>IF(A171="","",IF(COUNTIF(lst_Jobs,A171&amp;"")&gt;0,"OK","CHECK"))</f>
        <v/>
      </c>
      <c r="C171" s="14">
        <f>IF(A171="","",IFERROR(INDEX(lst_JobName,MATCH(A171&amp;"",lst_Jobs,0)),""))</f>
        <v/>
      </c>
      <c r="D171" s="14">
        <f>IF(A171="","",IFERROR(INDEX(tbl_Finance[Client],MATCH(A171&amp;"",tbl_Finance[Job Number],0)),""))</f>
        <v/>
      </c>
      <c r="E171" s="44">
        <f>IF(A171="","",COUNTIFS(tbl_Finance[Job Number],A171&amp;"",tbl_Finance[Ex GST],"&lt;&gt;"))</f>
        <v/>
      </c>
      <c r="F171" s="16">
        <f>IF(A171="","",SUMIFS(tbl_Finance[Ex GST],tbl_Finance[Job Number],A171&amp;""))</f>
        <v/>
      </c>
      <c r="G171" s="14">
        <f>IF(A171="","",IFERROR(INDEX(tbl_Finance[Cost Centre],MATCH(A171&amp;"",tbl_Finance[Job Number],0)),"not invoiced yet"))</f>
        <v/>
      </c>
      <c r="H171" s="13" t="n"/>
      <c r="I171" s="13" t="n"/>
      <c r="J171" s="45" t="n"/>
      <c r="K171" s="13" t="n"/>
      <c r="L171" s="13" t="n"/>
    </row>
    <row r="172" ht="15" customHeight="1">
      <c r="A172" s="13" t="n"/>
      <c r="B172" s="14">
        <f>IF(A172="","",IF(COUNTIF(lst_Jobs,A172&amp;"")&gt;0,"OK","CHECK"))</f>
        <v/>
      </c>
      <c r="C172" s="14">
        <f>IF(A172="","",IFERROR(INDEX(lst_JobName,MATCH(A172&amp;"",lst_Jobs,0)),""))</f>
        <v/>
      </c>
      <c r="D172" s="14">
        <f>IF(A172="","",IFERROR(INDEX(tbl_Finance[Client],MATCH(A172&amp;"",tbl_Finance[Job Number],0)),""))</f>
        <v/>
      </c>
      <c r="E172" s="44">
        <f>IF(A172="","",COUNTIFS(tbl_Finance[Job Number],A172&amp;"",tbl_Finance[Ex GST],"&lt;&gt;"))</f>
        <v/>
      </c>
      <c r="F172" s="16">
        <f>IF(A172="","",SUMIFS(tbl_Finance[Ex GST],tbl_Finance[Job Number],A172&amp;""))</f>
        <v/>
      </c>
      <c r="G172" s="14">
        <f>IF(A172="","",IFERROR(INDEX(tbl_Finance[Cost Centre],MATCH(A172&amp;"",tbl_Finance[Job Number],0)),"not invoiced yet"))</f>
        <v/>
      </c>
      <c r="H172" s="13" t="n"/>
      <c r="I172" s="13" t="n"/>
      <c r="J172" s="45" t="n"/>
      <c r="K172" s="13" t="n"/>
      <c r="L172" s="13" t="n"/>
    </row>
    <row r="173" ht="15" customHeight="1">
      <c r="A173" s="13" t="n"/>
      <c r="B173" s="14">
        <f>IF(A173="","",IF(COUNTIF(lst_Jobs,A173&amp;"")&gt;0,"OK","CHECK"))</f>
        <v/>
      </c>
      <c r="C173" s="14">
        <f>IF(A173="","",IFERROR(INDEX(lst_JobName,MATCH(A173&amp;"",lst_Jobs,0)),""))</f>
        <v/>
      </c>
      <c r="D173" s="14">
        <f>IF(A173="","",IFERROR(INDEX(tbl_Finance[Client],MATCH(A173&amp;"",tbl_Finance[Job Number],0)),""))</f>
        <v/>
      </c>
      <c r="E173" s="44">
        <f>IF(A173="","",COUNTIFS(tbl_Finance[Job Number],A173&amp;"",tbl_Finance[Ex GST],"&lt;&gt;"))</f>
        <v/>
      </c>
      <c r="F173" s="16">
        <f>IF(A173="","",SUMIFS(tbl_Finance[Ex GST],tbl_Finance[Job Number],A173&amp;""))</f>
        <v/>
      </c>
      <c r="G173" s="14">
        <f>IF(A173="","",IFERROR(INDEX(tbl_Finance[Cost Centre],MATCH(A173&amp;"",tbl_Finance[Job Number],0)),"not invoiced yet"))</f>
        <v/>
      </c>
      <c r="H173" s="13" t="n"/>
      <c r="I173" s="13" t="n"/>
      <c r="J173" s="45" t="n"/>
      <c r="K173" s="13" t="n"/>
      <c r="L173" s="13" t="n"/>
    </row>
    <row r="174" ht="15" customHeight="1">
      <c r="A174" s="13" t="n"/>
      <c r="B174" s="14">
        <f>IF(A174="","",IF(COUNTIF(lst_Jobs,A174&amp;"")&gt;0,"OK","CHECK"))</f>
        <v/>
      </c>
      <c r="C174" s="14">
        <f>IF(A174="","",IFERROR(INDEX(lst_JobName,MATCH(A174&amp;"",lst_Jobs,0)),""))</f>
        <v/>
      </c>
      <c r="D174" s="14">
        <f>IF(A174="","",IFERROR(INDEX(tbl_Finance[Client],MATCH(A174&amp;"",tbl_Finance[Job Number],0)),""))</f>
        <v/>
      </c>
      <c r="E174" s="44">
        <f>IF(A174="","",COUNTIFS(tbl_Finance[Job Number],A174&amp;"",tbl_Finance[Ex GST],"&lt;&gt;"))</f>
        <v/>
      </c>
      <c r="F174" s="16">
        <f>IF(A174="","",SUMIFS(tbl_Finance[Ex GST],tbl_Finance[Job Number],A174&amp;""))</f>
        <v/>
      </c>
      <c r="G174" s="14">
        <f>IF(A174="","",IFERROR(INDEX(tbl_Finance[Cost Centre],MATCH(A174&amp;"",tbl_Finance[Job Number],0)),"not invoiced yet"))</f>
        <v/>
      </c>
      <c r="H174" s="13" t="n"/>
      <c r="I174" s="13" t="n"/>
      <c r="J174" s="45" t="n"/>
      <c r="K174" s="13" t="n"/>
      <c r="L174" s="13" t="n"/>
    </row>
    <row r="175" ht="15" customHeight="1">
      <c r="A175" s="13" t="n"/>
      <c r="B175" s="14">
        <f>IF(A175="","",IF(COUNTIF(lst_Jobs,A175&amp;"")&gt;0,"OK","CHECK"))</f>
        <v/>
      </c>
      <c r="C175" s="14">
        <f>IF(A175="","",IFERROR(INDEX(lst_JobName,MATCH(A175&amp;"",lst_Jobs,0)),""))</f>
        <v/>
      </c>
      <c r="D175" s="14">
        <f>IF(A175="","",IFERROR(INDEX(tbl_Finance[Client],MATCH(A175&amp;"",tbl_Finance[Job Number],0)),""))</f>
        <v/>
      </c>
      <c r="E175" s="44">
        <f>IF(A175="","",COUNTIFS(tbl_Finance[Job Number],A175&amp;"",tbl_Finance[Ex GST],"&lt;&gt;"))</f>
        <v/>
      </c>
      <c r="F175" s="16">
        <f>IF(A175="","",SUMIFS(tbl_Finance[Ex GST],tbl_Finance[Job Number],A175&amp;""))</f>
        <v/>
      </c>
      <c r="G175" s="14">
        <f>IF(A175="","",IFERROR(INDEX(tbl_Finance[Cost Centre],MATCH(A175&amp;"",tbl_Finance[Job Number],0)),"not invoiced yet"))</f>
        <v/>
      </c>
      <c r="H175" s="13" t="n"/>
      <c r="I175" s="13" t="n"/>
      <c r="J175" s="45" t="n"/>
      <c r="K175" s="13" t="n"/>
      <c r="L175" s="13" t="n"/>
    </row>
    <row r="176" ht="15" customHeight="1">
      <c r="A176" s="13" t="n"/>
      <c r="B176" s="14">
        <f>IF(A176="","",IF(COUNTIF(lst_Jobs,A176&amp;"")&gt;0,"OK","CHECK"))</f>
        <v/>
      </c>
      <c r="C176" s="14">
        <f>IF(A176="","",IFERROR(INDEX(lst_JobName,MATCH(A176&amp;"",lst_Jobs,0)),""))</f>
        <v/>
      </c>
      <c r="D176" s="14">
        <f>IF(A176="","",IFERROR(INDEX(tbl_Finance[Client],MATCH(A176&amp;"",tbl_Finance[Job Number],0)),""))</f>
        <v/>
      </c>
      <c r="E176" s="44">
        <f>IF(A176="","",COUNTIFS(tbl_Finance[Job Number],A176&amp;"",tbl_Finance[Ex GST],"&lt;&gt;"))</f>
        <v/>
      </c>
      <c r="F176" s="16">
        <f>IF(A176="","",SUMIFS(tbl_Finance[Ex GST],tbl_Finance[Job Number],A176&amp;""))</f>
        <v/>
      </c>
      <c r="G176" s="14">
        <f>IF(A176="","",IFERROR(INDEX(tbl_Finance[Cost Centre],MATCH(A176&amp;"",tbl_Finance[Job Number],0)),"not invoiced yet"))</f>
        <v/>
      </c>
      <c r="H176" s="13" t="n"/>
      <c r="I176" s="13" t="n"/>
      <c r="J176" s="45" t="n"/>
      <c r="K176" s="13" t="n"/>
      <c r="L176" s="13" t="n"/>
    </row>
    <row r="177" ht="15" customHeight="1">
      <c r="A177" s="13" t="n"/>
      <c r="B177" s="14">
        <f>IF(A177="","",IF(COUNTIF(lst_Jobs,A177&amp;"")&gt;0,"OK","CHECK"))</f>
        <v/>
      </c>
      <c r="C177" s="14">
        <f>IF(A177="","",IFERROR(INDEX(lst_JobName,MATCH(A177&amp;"",lst_Jobs,0)),""))</f>
        <v/>
      </c>
      <c r="D177" s="14">
        <f>IF(A177="","",IFERROR(INDEX(tbl_Finance[Client],MATCH(A177&amp;"",tbl_Finance[Job Number],0)),""))</f>
        <v/>
      </c>
      <c r="E177" s="44">
        <f>IF(A177="","",COUNTIFS(tbl_Finance[Job Number],A177&amp;"",tbl_Finance[Ex GST],"&lt;&gt;"))</f>
        <v/>
      </c>
      <c r="F177" s="16">
        <f>IF(A177="","",SUMIFS(tbl_Finance[Ex GST],tbl_Finance[Job Number],A177&amp;""))</f>
        <v/>
      </c>
      <c r="G177" s="14">
        <f>IF(A177="","",IFERROR(INDEX(tbl_Finance[Cost Centre],MATCH(A177&amp;"",tbl_Finance[Job Number],0)),"not invoiced yet"))</f>
        <v/>
      </c>
      <c r="H177" s="13" t="n"/>
      <c r="I177" s="13" t="n"/>
      <c r="J177" s="45" t="n"/>
      <c r="K177" s="13" t="n"/>
      <c r="L177" s="13" t="n"/>
    </row>
    <row r="178" ht="15" customHeight="1">
      <c r="A178" s="13" t="n"/>
      <c r="B178" s="14">
        <f>IF(A178="","",IF(COUNTIF(lst_Jobs,A178&amp;"")&gt;0,"OK","CHECK"))</f>
        <v/>
      </c>
      <c r="C178" s="14">
        <f>IF(A178="","",IFERROR(INDEX(lst_JobName,MATCH(A178&amp;"",lst_Jobs,0)),""))</f>
        <v/>
      </c>
      <c r="D178" s="14">
        <f>IF(A178="","",IFERROR(INDEX(tbl_Finance[Client],MATCH(A178&amp;"",tbl_Finance[Job Number],0)),""))</f>
        <v/>
      </c>
      <c r="E178" s="44">
        <f>IF(A178="","",COUNTIFS(tbl_Finance[Job Number],A178&amp;"",tbl_Finance[Ex GST],"&lt;&gt;"))</f>
        <v/>
      </c>
      <c r="F178" s="16">
        <f>IF(A178="","",SUMIFS(tbl_Finance[Ex GST],tbl_Finance[Job Number],A178&amp;""))</f>
        <v/>
      </c>
      <c r="G178" s="14">
        <f>IF(A178="","",IFERROR(INDEX(tbl_Finance[Cost Centre],MATCH(A178&amp;"",tbl_Finance[Job Number],0)),"not invoiced yet"))</f>
        <v/>
      </c>
      <c r="H178" s="13" t="n"/>
      <c r="I178" s="13" t="n"/>
      <c r="J178" s="45" t="n"/>
      <c r="K178" s="13" t="n"/>
      <c r="L178" s="13" t="n"/>
    </row>
    <row r="179" ht="15" customHeight="1">
      <c r="A179" s="13" t="n"/>
      <c r="B179" s="14">
        <f>IF(A179="","",IF(COUNTIF(lst_Jobs,A179&amp;"")&gt;0,"OK","CHECK"))</f>
        <v/>
      </c>
      <c r="C179" s="14">
        <f>IF(A179="","",IFERROR(INDEX(lst_JobName,MATCH(A179&amp;"",lst_Jobs,0)),""))</f>
        <v/>
      </c>
      <c r="D179" s="14">
        <f>IF(A179="","",IFERROR(INDEX(tbl_Finance[Client],MATCH(A179&amp;"",tbl_Finance[Job Number],0)),""))</f>
        <v/>
      </c>
      <c r="E179" s="44">
        <f>IF(A179="","",COUNTIFS(tbl_Finance[Job Number],A179&amp;"",tbl_Finance[Ex GST],"&lt;&gt;"))</f>
        <v/>
      </c>
      <c r="F179" s="16">
        <f>IF(A179="","",SUMIFS(tbl_Finance[Ex GST],tbl_Finance[Job Number],A179&amp;""))</f>
        <v/>
      </c>
      <c r="G179" s="14">
        <f>IF(A179="","",IFERROR(INDEX(tbl_Finance[Cost Centre],MATCH(A179&amp;"",tbl_Finance[Job Number],0)),"not invoiced yet"))</f>
        <v/>
      </c>
      <c r="H179" s="13" t="n"/>
      <c r="I179" s="13" t="n"/>
      <c r="J179" s="45" t="n"/>
      <c r="K179" s="13" t="n"/>
      <c r="L179" s="13" t="n"/>
    </row>
    <row r="180" ht="15" customHeight="1">
      <c r="A180" s="13" t="n"/>
      <c r="B180" s="14">
        <f>IF(A180="","",IF(COUNTIF(lst_Jobs,A180&amp;"")&gt;0,"OK","CHECK"))</f>
        <v/>
      </c>
      <c r="C180" s="14">
        <f>IF(A180="","",IFERROR(INDEX(lst_JobName,MATCH(A180&amp;"",lst_Jobs,0)),""))</f>
        <v/>
      </c>
      <c r="D180" s="14">
        <f>IF(A180="","",IFERROR(INDEX(tbl_Finance[Client],MATCH(A180&amp;"",tbl_Finance[Job Number],0)),""))</f>
        <v/>
      </c>
      <c r="E180" s="44">
        <f>IF(A180="","",COUNTIFS(tbl_Finance[Job Number],A180&amp;"",tbl_Finance[Ex GST],"&lt;&gt;"))</f>
        <v/>
      </c>
      <c r="F180" s="16">
        <f>IF(A180="","",SUMIFS(tbl_Finance[Ex GST],tbl_Finance[Job Number],A180&amp;""))</f>
        <v/>
      </c>
      <c r="G180" s="14">
        <f>IF(A180="","",IFERROR(INDEX(tbl_Finance[Cost Centre],MATCH(A180&amp;"",tbl_Finance[Job Number],0)),"not invoiced yet"))</f>
        <v/>
      </c>
      <c r="H180" s="13" t="n"/>
      <c r="I180" s="13" t="n"/>
      <c r="J180" s="45" t="n"/>
      <c r="K180" s="13" t="n"/>
      <c r="L180" s="13" t="n"/>
    </row>
    <row r="181" ht="15" customHeight="1">
      <c r="A181" s="13" t="n"/>
      <c r="B181" s="14">
        <f>IF(A181="","",IF(COUNTIF(lst_Jobs,A181&amp;"")&gt;0,"OK","CHECK"))</f>
        <v/>
      </c>
      <c r="C181" s="14">
        <f>IF(A181="","",IFERROR(INDEX(lst_JobName,MATCH(A181&amp;"",lst_Jobs,0)),""))</f>
        <v/>
      </c>
      <c r="D181" s="14">
        <f>IF(A181="","",IFERROR(INDEX(tbl_Finance[Client],MATCH(A181&amp;"",tbl_Finance[Job Number],0)),""))</f>
        <v/>
      </c>
      <c r="E181" s="44">
        <f>IF(A181="","",COUNTIFS(tbl_Finance[Job Number],A181&amp;"",tbl_Finance[Ex GST],"&lt;&gt;"))</f>
        <v/>
      </c>
      <c r="F181" s="16">
        <f>IF(A181="","",SUMIFS(tbl_Finance[Ex GST],tbl_Finance[Job Number],A181&amp;""))</f>
        <v/>
      </c>
      <c r="G181" s="14">
        <f>IF(A181="","",IFERROR(INDEX(tbl_Finance[Cost Centre],MATCH(A181&amp;"",tbl_Finance[Job Number],0)),"not invoiced yet"))</f>
        <v/>
      </c>
      <c r="H181" s="13" t="n"/>
      <c r="I181" s="13" t="n"/>
      <c r="J181" s="45" t="n"/>
      <c r="K181" s="13" t="n"/>
      <c r="L181" s="13" t="n"/>
    </row>
    <row r="182" ht="15" customHeight="1">
      <c r="A182" s="13" t="n"/>
      <c r="B182" s="14">
        <f>IF(A182="","",IF(COUNTIF(lst_Jobs,A182&amp;"")&gt;0,"OK","CHECK"))</f>
        <v/>
      </c>
      <c r="C182" s="14">
        <f>IF(A182="","",IFERROR(INDEX(lst_JobName,MATCH(A182&amp;"",lst_Jobs,0)),""))</f>
        <v/>
      </c>
      <c r="D182" s="14">
        <f>IF(A182="","",IFERROR(INDEX(tbl_Finance[Client],MATCH(A182&amp;"",tbl_Finance[Job Number],0)),""))</f>
        <v/>
      </c>
      <c r="E182" s="44">
        <f>IF(A182="","",COUNTIFS(tbl_Finance[Job Number],A182&amp;"",tbl_Finance[Ex GST],"&lt;&gt;"))</f>
        <v/>
      </c>
      <c r="F182" s="16">
        <f>IF(A182="","",SUMIFS(tbl_Finance[Ex GST],tbl_Finance[Job Number],A182&amp;""))</f>
        <v/>
      </c>
      <c r="G182" s="14">
        <f>IF(A182="","",IFERROR(INDEX(tbl_Finance[Cost Centre],MATCH(A182&amp;"",tbl_Finance[Job Number],0)),"not invoiced yet"))</f>
        <v/>
      </c>
      <c r="H182" s="13" t="n"/>
      <c r="I182" s="13" t="n"/>
      <c r="J182" s="45" t="n"/>
      <c r="K182" s="13" t="n"/>
      <c r="L182" s="13" t="n"/>
    </row>
    <row r="183" ht="15" customHeight="1">
      <c r="A183" s="13" t="n"/>
      <c r="B183" s="14">
        <f>IF(A183="","",IF(COUNTIF(lst_Jobs,A183&amp;"")&gt;0,"OK","CHECK"))</f>
        <v/>
      </c>
      <c r="C183" s="14">
        <f>IF(A183="","",IFERROR(INDEX(lst_JobName,MATCH(A183&amp;"",lst_Jobs,0)),""))</f>
        <v/>
      </c>
      <c r="D183" s="14">
        <f>IF(A183="","",IFERROR(INDEX(tbl_Finance[Client],MATCH(A183&amp;"",tbl_Finance[Job Number],0)),""))</f>
        <v/>
      </c>
      <c r="E183" s="44">
        <f>IF(A183="","",COUNTIFS(tbl_Finance[Job Number],A183&amp;"",tbl_Finance[Ex GST],"&lt;&gt;"))</f>
        <v/>
      </c>
      <c r="F183" s="16">
        <f>IF(A183="","",SUMIFS(tbl_Finance[Ex GST],tbl_Finance[Job Number],A183&amp;""))</f>
        <v/>
      </c>
      <c r="G183" s="14">
        <f>IF(A183="","",IFERROR(INDEX(tbl_Finance[Cost Centre],MATCH(A183&amp;"",tbl_Finance[Job Number],0)),"not invoiced yet"))</f>
        <v/>
      </c>
      <c r="H183" s="13" t="n"/>
      <c r="I183" s="13" t="n"/>
      <c r="J183" s="45" t="n"/>
      <c r="K183" s="13" t="n"/>
      <c r="L183" s="13" t="n"/>
    </row>
    <row r="184" ht="15" customHeight="1">
      <c r="A184" s="13" t="n"/>
      <c r="B184" s="14">
        <f>IF(A184="","",IF(COUNTIF(lst_Jobs,A184&amp;"")&gt;0,"OK","CHECK"))</f>
        <v/>
      </c>
      <c r="C184" s="14">
        <f>IF(A184="","",IFERROR(INDEX(lst_JobName,MATCH(A184&amp;"",lst_Jobs,0)),""))</f>
        <v/>
      </c>
      <c r="D184" s="14">
        <f>IF(A184="","",IFERROR(INDEX(tbl_Finance[Client],MATCH(A184&amp;"",tbl_Finance[Job Number],0)),""))</f>
        <v/>
      </c>
      <c r="E184" s="44">
        <f>IF(A184="","",COUNTIFS(tbl_Finance[Job Number],A184&amp;"",tbl_Finance[Ex GST],"&lt;&gt;"))</f>
        <v/>
      </c>
      <c r="F184" s="16">
        <f>IF(A184="","",SUMIFS(tbl_Finance[Ex GST],tbl_Finance[Job Number],A184&amp;""))</f>
        <v/>
      </c>
      <c r="G184" s="14">
        <f>IF(A184="","",IFERROR(INDEX(tbl_Finance[Cost Centre],MATCH(A184&amp;"",tbl_Finance[Job Number],0)),"not invoiced yet"))</f>
        <v/>
      </c>
      <c r="H184" s="13" t="n"/>
      <c r="I184" s="13" t="n"/>
      <c r="J184" s="45" t="n"/>
      <c r="K184" s="13" t="n"/>
      <c r="L184" s="13" t="n"/>
    </row>
    <row r="185" ht="15" customHeight="1">
      <c r="A185" s="13" t="n"/>
      <c r="B185" s="14">
        <f>IF(A185="","",IF(COUNTIF(lst_Jobs,A185&amp;"")&gt;0,"OK","CHECK"))</f>
        <v/>
      </c>
      <c r="C185" s="14">
        <f>IF(A185="","",IFERROR(INDEX(lst_JobName,MATCH(A185&amp;"",lst_Jobs,0)),""))</f>
        <v/>
      </c>
      <c r="D185" s="14">
        <f>IF(A185="","",IFERROR(INDEX(tbl_Finance[Client],MATCH(A185&amp;"",tbl_Finance[Job Number],0)),""))</f>
        <v/>
      </c>
      <c r="E185" s="44">
        <f>IF(A185="","",COUNTIFS(tbl_Finance[Job Number],A185&amp;"",tbl_Finance[Ex GST],"&lt;&gt;"))</f>
        <v/>
      </c>
      <c r="F185" s="16">
        <f>IF(A185="","",SUMIFS(tbl_Finance[Ex GST],tbl_Finance[Job Number],A185&amp;""))</f>
        <v/>
      </c>
      <c r="G185" s="14">
        <f>IF(A185="","",IFERROR(INDEX(tbl_Finance[Cost Centre],MATCH(A185&amp;"",tbl_Finance[Job Number],0)),"not invoiced yet"))</f>
        <v/>
      </c>
      <c r="H185" s="13" t="n"/>
      <c r="I185" s="13" t="n"/>
      <c r="J185" s="45" t="n"/>
      <c r="K185" s="13" t="n"/>
      <c r="L185" s="13" t="n"/>
    </row>
    <row r="186" ht="15" customHeight="1">
      <c r="A186" s="13" t="n"/>
      <c r="B186" s="14">
        <f>IF(A186="","",IF(COUNTIF(lst_Jobs,A186&amp;"")&gt;0,"OK","CHECK"))</f>
        <v/>
      </c>
      <c r="C186" s="14">
        <f>IF(A186="","",IFERROR(INDEX(lst_JobName,MATCH(A186&amp;"",lst_Jobs,0)),""))</f>
        <v/>
      </c>
      <c r="D186" s="14">
        <f>IF(A186="","",IFERROR(INDEX(tbl_Finance[Client],MATCH(A186&amp;"",tbl_Finance[Job Number],0)),""))</f>
        <v/>
      </c>
      <c r="E186" s="44">
        <f>IF(A186="","",COUNTIFS(tbl_Finance[Job Number],A186&amp;"",tbl_Finance[Ex GST],"&lt;&gt;"))</f>
        <v/>
      </c>
      <c r="F186" s="16">
        <f>IF(A186="","",SUMIFS(tbl_Finance[Ex GST],tbl_Finance[Job Number],A186&amp;""))</f>
        <v/>
      </c>
      <c r="G186" s="14">
        <f>IF(A186="","",IFERROR(INDEX(tbl_Finance[Cost Centre],MATCH(A186&amp;"",tbl_Finance[Job Number],0)),"not invoiced yet"))</f>
        <v/>
      </c>
      <c r="H186" s="13" t="n"/>
      <c r="I186" s="13" t="n"/>
      <c r="J186" s="45" t="n"/>
      <c r="K186" s="13" t="n"/>
      <c r="L186" s="13" t="n"/>
    </row>
    <row r="187" ht="15" customHeight="1">
      <c r="A187" s="13" t="n"/>
      <c r="B187" s="14">
        <f>IF(A187="","",IF(COUNTIF(lst_Jobs,A187&amp;"")&gt;0,"OK","CHECK"))</f>
        <v/>
      </c>
      <c r="C187" s="14">
        <f>IF(A187="","",IFERROR(INDEX(lst_JobName,MATCH(A187&amp;"",lst_Jobs,0)),""))</f>
        <v/>
      </c>
      <c r="D187" s="14">
        <f>IF(A187="","",IFERROR(INDEX(tbl_Finance[Client],MATCH(A187&amp;"",tbl_Finance[Job Number],0)),""))</f>
        <v/>
      </c>
      <c r="E187" s="44">
        <f>IF(A187="","",COUNTIFS(tbl_Finance[Job Number],A187&amp;"",tbl_Finance[Ex GST],"&lt;&gt;"))</f>
        <v/>
      </c>
      <c r="F187" s="16">
        <f>IF(A187="","",SUMIFS(tbl_Finance[Ex GST],tbl_Finance[Job Number],A187&amp;""))</f>
        <v/>
      </c>
      <c r="G187" s="14">
        <f>IF(A187="","",IFERROR(INDEX(tbl_Finance[Cost Centre],MATCH(A187&amp;"",tbl_Finance[Job Number],0)),"not invoiced yet"))</f>
        <v/>
      </c>
      <c r="H187" s="13" t="n"/>
      <c r="I187" s="13" t="n"/>
      <c r="J187" s="45" t="n"/>
      <c r="K187" s="13" t="n"/>
      <c r="L187" s="13" t="n"/>
    </row>
    <row r="188" ht="15" customHeight="1">
      <c r="A188" s="13" t="n"/>
      <c r="B188" s="14">
        <f>IF(A188="","",IF(COUNTIF(lst_Jobs,A188&amp;"")&gt;0,"OK","CHECK"))</f>
        <v/>
      </c>
      <c r="C188" s="14">
        <f>IF(A188="","",IFERROR(INDEX(lst_JobName,MATCH(A188&amp;"",lst_Jobs,0)),""))</f>
        <v/>
      </c>
      <c r="D188" s="14">
        <f>IF(A188="","",IFERROR(INDEX(tbl_Finance[Client],MATCH(A188&amp;"",tbl_Finance[Job Number],0)),""))</f>
        <v/>
      </c>
      <c r="E188" s="44">
        <f>IF(A188="","",COUNTIFS(tbl_Finance[Job Number],A188&amp;"",tbl_Finance[Ex GST],"&lt;&gt;"))</f>
        <v/>
      </c>
      <c r="F188" s="16">
        <f>IF(A188="","",SUMIFS(tbl_Finance[Ex GST],tbl_Finance[Job Number],A188&amp;""))</f>
        <v/>
      </c>
      <c r="G188" s="14">
        <f>IF(A188="","",IFERROR(INDEX(tbl_Finance[Cost Centre],MATCH(A188&amp;"",tbl_Finance[Job Number],0)),"not invoiced yet"))</f>
        <v/>
      </c>
      <c r="H188" s="13" t="n"/>
      <c r="I188" s="13" t="n"/>
      <c r="J188" s="45" t="n"/>
      <c r="K188" s="13" t="n"/>
      <c r="L188" s="13" t="n"/>
    </row>
    <row r="189" ht="15" customHeight="1">
      <c r="A189" s="13" t="n"/>
      <c r="B189" s="14">
        <f>IF(A189="","",IF(COUNTIF(lst_Jobs,A189&amp;"")&gt;0,"OK","CHECK"))</f>
        <v/>
      </c>
      <c r="C189" s="14">
        <f>IF(A189="","",IFERROR(INDEX(lst_JobName,MATCH(A189&amp;"",lst_Jobs,0)),""))</f>
        <v/>
      </c>
      <c r="D189" s="14">
        <f>IF(A189="","",IFERROR(INDEX(tbl_Finance[Client],MATCH(A189&amp;"",tbl_Finance[Job Number],0)),""))</f>
        <v/>
      </c>
      <c r="E189" s="44">
        <f>IF(A189="","",COUNTIFS(tbl_Finance[Job Number],A189&amp;"",tbl_Finance[Ex GST],"&lt;&gt;"))</f>
        <v/>
      </c>
      <c r="F189" s="16">
        <f>IF(A189="","",SUMIFS(tbl_Finance[Ex GST],tbl_Finance[Job Number],A189&amp;""))</f>
        <v/>
      </c>
      <c r="G189" s="14">
        <f>IF(A189="","",IFERROR(INDEX(tbl_Finance[Cost Centre],MATCH(A189&amp;"",tbl_Finance[Job Number],0)),"not invoiced yet"))</f>
        <v/>
      </c>
      <c r="H189" s="13" t="n"/>
      <c r="I189" s="13" t="n"/>
      <c r="J189" s="45" t="n"/>
      <c r="K189" s="13" t="n"/>
      <c r="L189" s="13" t="n"/>
    </row>
    <row r="190" ht="15" customHeight="1">
      <c r="A190" s="13" t="n"/>
      <c r="B190" s="14">
        <f>IF(A190="","",IF(COUNTIF(lst_Jobs,A190&amp;"")&gt;0,"OK","CHECK"))</f>
        <v/>
      </c>
      <c r="C190" s="14">
        <f>IF(A190="","",IFERROR(INDEX(lst_JobName,MATCH(A190&amp;"",lst_Jobs,0)),""))</f>
        <v/>
      </c>
      <c r="D190" s="14">
        <f>IF(A190="","",IFERROR(INDEX(tbl_Finance[Client],MATCH(A190&amp;"",tbl_Finance[Job Number],0)),""))</f>
        <v/>
      </c>
      <c r="E190" s="44">
        <f>IF(A190="","",COUNTIFS(tbl_Finance[Job Number],A190&amp;"",tbl_Finance[Ex GST],"&lt;&gt;"))</f>
        <v/>
      </c>
      <c r="F190" s="16">
        <f>IF(A190="","",SUMIFS(tbl_Finance[Ex GST],tbl_Finance[Job Number],A190&amp;""))</f>
        <v/>
      </c>
      <c r="G190" s="14">
        <f>IF(A190="","",IFERROR(INDEX(tbl_Finance[Cost Centre],MATCH(A190&amp;"",tbl_Finance[Job Number],0)),"not invoiced yet"))</f>
        <v/>
      </c>
      <c r="H190" s="13" t="n"/>
      <c r="I190" s="13" t="n"/>
      <c r="J190" s="45" t="n"/>
      <c r="K190" s="13" t="n"/>
      <c r="L190" s="13" t="n"/>
    </row>
    <row r="191" ht="15" customHeight="1">
      <c r="A191" s="13" t="n"/>
      <c r="B191" s="14">
        <f>IF(A191="","",IF(COUNTIF(lst_Jobs,A191&amp;"")&gt;0,"OK","CHECK"))</f>
        <v/>
      </c>
      <c r="C191" s="14">
        <f>IF(A191="","",IFERROR(INDEX(lst_JobName,MATCH(A191&amp;"",lst_Jobs,0)),""))</f>
        <v/>
      </c>
      <c r="D191" s="14">
        <f>IF(A191="","",IFERROR(INDEX(tbl_Finance[Client],MATCH(A191&amp;"",tbl_Finance[Job Number],0)),""))</f>
        <v/>
      </c>
      <c r="E191" s="44">
        <f>IF(A191="","",COUNTIFS(tbl_Finance[Job Number],A191&amp;"",tbl_Finance[Ex GST],"&lt;&gt;"))</f>
        <v/>
      </c>
      <c r="F191" s="16">
        <f>IF(A191="","",SUMIFS(tbl_Finance[Ex GST],tbl_Finance[Job Number],A191&amp;""))</f>
        <v/>
      </c>
      <c r="G191" s="14">
        <f>IF(A191="","",IFERROR(INDEX(tbl_Finance[Cost Centre],MATCH(A191&amp;"",tbl_Finance[Job Number],0)),"not invoiced yet"))</f>
        <v/>
      </c>
      <c r="H191" s="13" t="n"/>
      <c r="I191" s="13" t="n"/>
      <c r="J191" s="45" t="n"/>
      <c r="K191" s="13" t="n"/>
      <c r="L191" s="13" t="n"/>
    </row>
    <row r="192" ht="15" customHeight="1">
      <c r="A192" s="13" t="n"/>
      <c r="B192" s="14">
        <f>IF(A192="","",IF(COUNTIF(lst_Jobs,A192&amp;"")&gt;0,"OK","CHECK"))</f>
        <v/>
      </c>
      <c r="C192" s="14">
        <f>IF(A192="","",IFERROR(INDEX(lst_JobName,MATCH(A192&amp;"",lst_Jobs,0)),""))</f>
        <v/>
      </c>
      <c r="D192" s="14">
        <f>IF(A192="","",IFERROR(INDEX(tbl_Finance[Client],MATCH(A192&amp;"",tbl_Finance[Job Number],0)),""))</f>
        <v/>
      </c>
      <c r="E192" s="44">
        <f>IF(A192="","",COUNTIFS(tbl_Finance[Job Number],A192&amp;"",tbl_Finance[Ex GST],"&lt;&gt;"))</f>
        <v/>
      </c>
      <c r="F192" s="16">
        <f>IF(A192="","",SUMIFS(tbl_Finance[Ex GST],tbl_Finance[Job Number],A192&amp;""))</f>
        <v/>
      </c>
      <c r="G192" s="14">
        <f>IF(A192="","",IFERROR(INDEX(tbl_Finance[Cost Centre],MATCH(A192&amp;"",tbl_Finance[Job Number],0)),"not invoiced yet"))</f>
        <v/>
      </c>
      <c r="H192" s="13" t="n"/>
      <c r="I192" s="13" t="n"/>
      <c r="J192" s="45" t="n"/>
      <c r="K192" s="13" t="n"/>
      <c r="L192" s="13" t="n"/>
    </row>
    <row r="193" ht="15" customHeight="1">
      <c r="A193" s="13" t="n"/>
      <c r="B193" s="14">
        <f>IF(A193="","",IF(COUNTIF(lst_Jobs,A193&amp;"")&gt;0,"OK","CHECK"))</f>
        <v/>
      </c>
      <c r="C193" s="14">
        <f>IF(A193="","",IFERROR(INDEX(lst_JobName,MATCH(A193&amp;"",lst_Jobs,0)),""))</f>
        <v/>
      </c>
      <c r="D193" s="14">
        <f>IF(A193="","",IFERROR(INDEX(tbl_Finance[Client],MATCH(A193&amp;"",tbl_Finance[Job Number],0)),""))</f>
        <v/>
      </c>
      <c r="E193" s="44">
        <f>IF(A193="","",COUNTIFS(tbl_Finance[Job Number],A193&amp;"",tbl_Finance[Ex GST],"&lt;&gt;"))</f>
        <v/>
      </c>
      <c r="F193" s="16">
        <f>IF(A193="","",SUMIFS(tbl_Finance[Ex GST],tbl_Finance[Job Number],A193&amp;""))</f>
        <v/>
      </c>
      <c r="G193" s="14">
        <f>IF(A193="","",IFERROR(INDEX(tbl_Finance[Cost Centre],MATCH(A193&amp;"",tbl_Finance[Job Number],0)),"not invoiced yet"))</f>
        <v/>
      </c>
      <c r="H193" s="13" t="n"/>
      <c r="I193" s="13" t="n"/>
      <c r="J193" s="45" t="n"/>
      <c r="K193" s="13" t="n"/>
      <c r="L193" s="13" t="n"/>
    </row>
    <row r="194" ht="15" customHeight="1">
      <c r="A194" s="13" t="n"/>
      <c r="B194" s="14">
        <f>IF(A194="","",IF(COUNTIF(lst_Jobs,A194&amp;"")&gt;0,"OK","CHECK"))</f>
        <v/>
      </c>
      <c r="C194" s="14">
        <f>IF(A194="","",IFERROR(INDEX(lst_JobName,MATCH(A194&amp;"",lst_Jobs,0)),""))</f>
        <v/>
      </c>
      <c r="D194" s="14">
        <f>IF(A194="","",IFERROR(INDEX(tbl_Finance[Client],MATCH(A194&amp;"",tbl_Finance[Job Number],0)),""))</f>
        <v/>
      </c>
      <c r="E194" s="44">
        <f>IF(A194="","",COUNTIFS(tbl_Finance[Job Number],A194&amp;"",tbl_Finance[Ex GST],"&lt;&gt;"))</f>
        <v/>
      </c>
      <c r="F194" s="16">
        <f>IF(A194="","",SUMIFS(tbl_Finance[Ex GST],tbl_Finance[Job Number],A194&amp;""))</f>
        <v/>
      </c>
      <c r="G194" s="14">
        <f>IF(A194="","",IFERROR(INDEX(tbl_Finance[Cost Centre],MATCH(A194&amp;"",tbl_Finance[Job Number],0)),"not invoiced yet"))</f>
        <v/>
      </c>
      <c r="H194" s="13" t="n"/>
      <c r="I194" s="13" t="n"/>
      <c r="J194" s="45" t="n"/>
      <c r="K194" s="13" t="n"/>
      <c r="L194" s="13" t="n"/>
    </row>
    <row r="195" ht="15" customHeight="1">
      <c r="A195" s="13" t="n"/>
      <c r="B195" s="14">
        <f>IF(A195="","",IF(COUNTIF(lst_Jobs,A195&amp;"")&gt;0,"OK","CHECK"))</f>
        <v/>
      </c>
      <c r="C195" s="14">
        <f>IF(A195="","",IFERROR(INDEX(lst_JobName,MATCH(A195&amp;"",lst_Jobs,0)),""))</f>
        <v/>
      </c>
      <c r="D195" s="14">
        <f>IF(A195="","",IFERROR(INDEX(tbl_Finance[Client],MATCH(A195&amp;"",tbl_Finance[Job Number],0)),""))</f>
        <v/>
      </c>
      <c r="E195" s="44">
        <f>IF(A195="","",COUNTIFS(tbl_Finance[Job Number],A195&amp;"",tbl_Finance[Ex GST],"&lt;&gt;"))</f>
        <v/>
      </c>
      <c r="F195" s="16">
        <f>IF(A195="","",SUMIFS(tbl_Finance[Ex GST],tbl_Finance[Job Number],A195&amp;""))</f>
        <v/>
      </c>
      <c r="G195" s="14">
        <f>IF(A195="","",IFERROR(INDEX(tbl_Finance[Cost Centre],MATCH(A195&amp;"",tbl_Finance[Job Number],0)),"not invoiced yet"))</f>
        <v/>
      </c>
      <c r="H195" s="13" t="n"/>
      <c r="I195" s="13" t="n"/>
      <c r="J195" s="45" t="n"/>
      <c r="K195" s="13" t="n"/>
      <c r="L195" s="13" t="n"/>
    </row>
    <row r="196" ht="15" customHeight="1">
      <c r="A196" s="13" t="n"/>
      <c r="B196" s="14">
        <f>IF(A196="","",IF(COUNTIF(lst_Jobs,A196&amp;"")&gt;0,"OK","CHECK"))</f>
        <v/>
      </c>
      <c r="C196" s="14">
        <f>IF(A196="","",IFERROR(INDEX(lst_JobName,MATCH(A196&amp;"",lst_Jobs,0)),""))</f>
        <v/>
      </c>
      <c r="D196" s="14">
        <f>IF(A196="","",IFERROR(INDEX(tbl_Finance[Client],MATCH(A196&amp;"",tbl_Finance[Job Number],0)),""))</f>
        <v/>
      </c>
      <c r="E196" s="44">
        <f>IF(A196="","",COUNTIFS(tbl_Finance[Job Number],A196&amp;"",tbl_Finance[Ex GST],"&lt;&gt;"))</f>
        <v/>
      </c>
      <c r="F196" s="16">
        <f>IF(A196="","",SUMIFS(tbl_Finance[Ex GST],tbl_Finance[Job Number],A196&amp;""))</f>
        <v/>
      </c>
      <c r="G196" s="14">
        <f>IF(A196="","",IFERROR(INDEX(tbl_Finance[Cost Centre],MATCH(A196&amp;"",tbl_Finance[Job Number],0)),"not invoiced yet"))</f>
        <v/>
      </c>
      <c r="H196" s="13" t="n"/>
      <c r="I196" s="13" t="n"/>
      <c r="J196" s="45" t="n"/>
      <c r="K196" s="13" t="n"/>
      <c r="L196" s="13" t="n"/>
    </row>
    <row r="197" ht="15" customHeight="1">
      <c r="A197" s="13" t="n"/>
      <c r="B197" s="14">
        <f>IF(A197="","",IF(COUNTIF(lst_Jobs,A197&amp;"")&gt;0,"OK","CHECK"))</f>
        <v/>
      </c>
      <c r="C197" s="14">
        <f>IF(A197="","",IFERROR(INDEX(lst_JobName,MATCH(A197&amp;"",lst_Jobs,0)),""))</f>
        <v/>
      </c>
      <c r="D197" s="14">
        <f>IF(A197="","",IFERROR(INDEX(tbl_Finance[Client],MATCH(A197&amp;"",tbl_Finance[Job Number],0)),""))</f>
        <v/>
      </c>
      <c r="E197" s="44">
        <f>IF(A197="","",COUNTIFS(tbl_Finance[Job Number],A197&amp;"",tbl_Finance[Ex GST],"&lt;&gt;"))</f>
        <v/>
      </c>
      <c r="F197" s="16">
        <f>IF(A197="","",SUMIFS(tbl_Finance[Ex GST],tbl_Finance[Job Number],A197&amp;""))</f>
        <v/>
      </c>
      <c r="G197" s="14">
        <f>IF(A197="","",IFERROR(INDEX(tbl_Finance[Cost Centre],MATCH(A197&amp;"",tbl_Finance[Job Number],0)),"not invoiced yet"))</f>
        <v/>
      </c>
      <c r="H197" s="13" t="n"/>
      <c r="I197" s="13" t="n"/>
      <c r="J197" s="45" t="n"/>
      <c r="K197" s="13" t="n"/>
      <c r="L197" s="13" t="n"/>
    </row>
    <row r="198" ht="15" customHeight="1">
      <c r="A198" s="13" t="n"/>
      <c r="B198" s="14">
        <f>IF(A198="","",IF(COUNTIF(lst_Jobs,A198&amp;"")&gt;0,"OK","CHECK"))</f>
        <v/>
      </c>
      <c r="C198" s="14">
        <f>IF(A198="","",IFERROR(INDEX(lst_JobName,MATCH(A198&amp;"",lst_Jobs,0)),""))</f>
        <v/>
      </c>
      <c r="D198" s="14">
        <f>IF(A198="","",IFERROR(INDEX(tbl_Finance[Client],MATCH(A198&amp;"",tbl_Finance[Job Number],0)),""))</f>
        <v/>
      </c>
      <c r="E198" s="44">
        <f>IF(A198="","",COUNTIFS(tbl_Finance[Job Number],A198&amp;"",tbl_Finance[Ex GST],"&lt;&gt;"))</f>
        <v/>
      </c>
      <c r="F198" s="16">
        <f>IF(A198="","",SUMIFS(tbl_Finance[Ex GST],tbl_Finance[Job Number],A198&amp;""))</f>
        <v/>
      </c>
      <c r="G198" s="14">
        <f>IF(A198="","",IFERROR(INDEX(tbl_Finance[Cost Centre],MATCH(A198&amp;"",tbl_Finance[Job Number],0)),"not invoiced yet"))</f>
        <v/>
      </c>
      <c r="H198" s="13" t="n"/>
      <c r="I198" s="13" t="n"/>
      <c r="J198" s="45" t="n"/>
      <c r="K198" s="13" t="n"/>
      <c r="L198" s="13" t="n"/>
    </row>
    <row r="199" ht="15" customHeight="1">
      <c r="A199" s="13" t="n"/>
      <c r="B199" s="14">
        <f>IF(A199="","",IF(COUNTIF(lst_Jobs,A199&amp;"")&gt;0,"OK","CHECK"))</f>
        <v/>
      </c>
      <c r="C199" s="14">
        <f>IF(A199="","",IFERROR(INDEX(lst_JobName,MATCH(A199&amp;"",lst_Jobs,0)),""))</f>
        <v/>
      </c>
      <c r="D199" s="14">
        <f>IF(A199="","",IFERROR(INDEX(tbl_Finance[Client],MATCH(A199&amp;"",tbl_Finance[Job Number],0)),""))</f>
        <v/>
      </c>
      <c r="E199" s="44">
        <f>IF(A199="","",COUNTIFS(tbl_Finance[Job Number],A199&amp;"",tbl_Finance[Ex GST],"&lt;&gt;"))</f>
        <v/>
      </c>
      <c r="F199" s="16">
        <f>IF(A199="","",SUMIFS(tbl_Finance[Ex GST],tbl_Finance[Job Number],A199&amp;""))</f>
        <v/>
      </c>
      <c r="G199" s="14">
        <f>IF(A199="","",IFERROR(INDEX(tbl_Finance[Cost Centre],MATCH(A199&amp;"",tbl_Finance[Job Number],0)),"not invoiced yet"))</f>
        <v/>
      </c>
      <c r="H199" s="13" t="n"/>
      <c r="I199" s="13" t="n"/>
      <c r="J199" s="45" t="n"/>
      <c r="K199" s="13" t="n"/>
      <c r="L199" s="13" t="n"/>
    </row>
    <row r="200" ht="15" customHeight="1">
      <c r="A200" s="13" t="n"/>
      <c r="B200" s="14">
        <f>IF(A200="","",IF(COUNTIF(lst_Jobs,A200&amp;"")&gt;0,"OK","CHECK"))</f>
        <v/>
      </c>
      <c r="C200" s="14">
        <f>IF(A200="","",IFERROR(INDEX(lst_JobName,MATCH(A200&amp;"",lst_Jobs,0)),""))</f>
        <v/>
      </c>
      <c r="D200" s="14">
        <f>IF(A200="","",IFERROR(INDEX(tbl_Finance[Client],MATCH(A200&amp;"",tbl_Finance[Job Number],0)),""))</f>
        <v/>
      </c>
      <c r="E200" s="44">
        <f>IF(A200="","",COUNTIFS(tbl_Finance[Job Number],A200&amp;"",tbl_Finance[Ex GST],"&lt;&gt;"))</f>
        <v/>
      </c>
      <c r="F200" s="16">
        <f>IF(A200="","",SUMIFS(tbl_Finance[Ex GST],tbl_Finance[Job Number],A200&amp;""))</f>
        <v/>
      </c>
      <c r="G200" s="14">
        <f>IF(A200="","",IFERROR(INDEX(tbl_Finance[Cost Centre],MATCH(A200&amp;"",tbl_Finance[Job Number],0)),"not invoiced yet"))</f>
        <v/>
      </c>
      <c r="H200" s="13" t="n"/>
      <c r="I200" s="13" t="n"/>
      <c r="J200" s="45" t="n"/>
      <c r="K200" s="13" t="n"/>
      <c r="L200" s="13" t="n"/>
    </row>
    <row r="201" ht="15" customHeight="1">
      <c r="A201" s="13" t="n"/>
      <c r="B201" s="14">
        <f>IF(A201="","",IF(COUNTIF(lst_Jobs,A201&amp;"")&gt;0,"OK","CHECK"))</f>
        <v/>
      </c>
      <c r="C201" s="14">
        <f>IF(A201="","",IFERROR(INDEX(lst_JobName,MATCH(A201&amp;"",lst_Jobs,0)),""))</f>
        <v/>
      </c>
      <c r="D201" s="14">
        <f>IF(A201="","",IFERROR(INDEX(tbl_Finance[Client],MATCH(A201&amp;"",tbl_Finance[Job Number],0)),""))</f>
        <v/>
      </c>
      <c r="E201" s="44">
        <f>IF(A201="","",COUNTIFS(tbl_Finance[Job Number],A201&amp;"",tbl_Finance[Ex GST],"&lt;&gt;"))</f>
        <v/>
      </c>
      <c r="F201" s="16">
        <f>IF(A201="","",SUMIFS(tbl_Finance[Ex GST],tbl_Finance[Job Number],A201&amp;""))</f>
        <v/>
      </c>
      <c r="G201" s="14">
        <f>IF(A201="","",IFERROR(INDEX(tbl_Finance[Cost Centre],MATCH(A201&amp;"",tbl_Finance[Job Number],0)),"not invoiced yet"))</f>
        <v/>
      </c>
      <c r="H201" s="13" t="n"/>
      <c r="I201" s="13" t="n"/>
      <c r="J201" s="45" t="n"/>
      <c r="K201" s="13" t="n"/>
      <c r="L201" s="13" t="n"/>
    </row>
    <row r="202" ht="15" customHeight="1">
      <c r="A202" s="13" t="n"/>
      <c r="B202" s="14">
        <f>IF(A202="","",IF(COUNTIF(lst_Jobs,A202&amp;"")&gt;0,"OK","CHECK"))</f>
        <v/>
      </c>
      <c r="C202" s="14">
        <f>IF(A202="","",IFERROR(INDEX(lst_JobName,MATCH(A202&amp;"",lst_Jobs,0)),""))</f>
        <v/>
      </c>
      <c r="D202" s="14">
        <f>IF(A202="","",IFERROR(INDEX(tbl_Finance[Client],MATCH(A202&amp;"",tbl_Finance[Job Number],0)),""))</f>
        <v/>
      </c>
      <c r="E202" s="44">
        <f>IF(A202="","",COUNTIFS(tbl_Finance[Job Number],A202&amp;"",tbl_Finance[Ex GST],"&lt;&gt;"))</f>
        <v/>
      </c>
      <c r="F202" s="16">
        <f>IF(A202="","",SUMIFS(tbl_Finance[Ex GST],tbl_Finance[Job Number],A202&amp;""))</f>
        <v/>
      </c>
      <c r="G202" s="14">
        <f>IF(A202="","",IFERROR(INDEX(tbl_Finance[Cost Centre],MATCH(A202&amp;"",tbl_Finance[Job Number],0)),"not invoiced yet"))</f>
        <v/>
      </c>
      <c r="H202" s="13" t="n"/>
      <c r="I202" s="13" t="n"/>
      <c r="J202" s="45" t="n"/>
      <c r="K202" s="13" t="n"/>
      <c r="L202" s="13" t="n"/>
    </row>
    <row r="203" ht="15" customHeight="1">
      <c r="A203" s="13" t="n"/>
      <c r="B203" s="14">
        <f>IF(A203="","",IF(COUNTIF(lst_Jobs,A203&amp;"")&gt;0,"OK","CHECK"))</f>
        <v/>
      </c>
      <c r="C203" s="14">
        <f>IF(A203="","",IFERROR(INDEX(lst_JobName,MATCH(A203&amp;"",lst_Jobs,0)),""))</f>
        <v/>
      </c>
      <c r="D203" s="14">
        <f>IF(A203="","",IFERROR(INDEX(tbl_Finance[Client],MATCH(A203&amp;"",tbl_Finance[Job Number],0)),""))</f>
        <v/>
      </c>
      <c r="E203" s="44">
        <f>IF(A203="","",COUNTIFS(tbl_Finance[Job Number],A203&amp;"",tbl_Finance[Ex GST],"&lt;&gt;"))</f>
        <v/>
      </c>
      <c r="F203" s="16">
        <f>IF(A203="","",SUMIFS(tbl_Finance[Ex GST],tbl_Finance[Job Number],A203&amp;""))</f>
        <v/>
      </c>
      <c r="G203" s="14">
        <f>IF(A203="","",IFERROR(INDEX(tbl_Finance[Cost Centre],MATCH(A203&amp;"",tbl_Finance[Job Number],0)),"not invoiced yet"))</f>
        <v/>
      </c>
      <c r="H203" s="13" t="n"/>
      <c r="I203" s="13" t="n"/>
      <c r="J203" s="45" t="n"/>
      <c r="K203" s="13" t="n"/>
      <c r="L203" s="13" t="n"/>
    </row>
    <row r="204" ht="15" customHeight="1">
      <c r="A204" s="13" t="n"/>
      <c r="B204" s="14">
        <f>IF(A204="","",IF(COUNTIF(lst_Jobs,A204&amp;"")&gt;0,"OK","CHECK"))</f>
        <v/>
      </c>
      <c r="C204" s="14">
        <f>IF(A204="","",IFERROR(INDEX(lst_JobName,MATCH(A204&amp;"",lst_Jobs,0)),""))</f>
        <v/>
      </c>
      <c r="D204" s="14">
        <f>IF(A204="","",IFERROR(INDEX(tbl_Finance[Client],MATCH(A204&amp;"",tbl_Finance[Job Number],0)),""))</f>
        <v/>
      </c>
      <c r="E204" s="44">
        <f>IF(A204="","",COUNTIFS(tbl_Finance[Job Number],A204&amp;"",tbl_Finance[Ex GST],"&lt;&gt;"))</f>
        <v/>
      </c>
      <c r="F204" s="16">
        <f>IF(A204="","",SUMIFS(tbl_Finance[Ex GST],tbl_Finance[Job Number],A204&amp;""))</f>
        <v/>
      </c>
      <c r="G204" s="14">
        <f>IF(A204="","",IFERROR(INDEX(tbl_Finance[Cost Centre],MATCH(A204&amp;"",tbl_Finance[Job Number],0)),"not invoiced yet"))</f>
        <v/>
      </c>
      <c r="H204" s="13" t="n"/>
      <c r="I204" s="13" t="n"/>
      <c r="J204" s="45" t="n"/>
      <c r="K204" s="13" t="n"/>
      <c r="L204" s="13" t="n"/>
    </row>
    <row r="205" ht="15" customHeight="1">
      <c r="A205" s="13" t="n"/>
      <c r="B205" s="14">
        <f>IF(A205="","",IF(COUNTIF(lst_Jobs,A205&amp;"")&gt;0,"OK","CHECK"))</f>
        <v/>
      </c>
      <c r="C205" s="14">
        <f>IF(A205="","",IFERROR(INDEX(lst_JobName,MATCH(A205&amp;"",lst_Jobs,0)),""))</f>
        <v/>
      </c>
      <c r="D205" s="14">
        <f>IF(A205="","",IFERROR(INDEX(tbl_Finance[Client],MATCH(A205&amp;"",tbl_Finance[Job Number],0)),""))</f>
        <v/>
      </c>
      <c r="E205" s="44">
        <f>IF(A205="","",COUNTIFS(tbl_Finance[Job Number],A205&amp;"",tbl_Finance[Ex GST],"&lt;&gt;"))</f>
        <v/>
      </c>
      <c r="F205" s="16">
        <f>IF(A205="","",SUMIFS(tbl_Finance[Ex GST],tbl_Finance[Job Number],A205&amp;""))</f>
        <v/>
      </c>
      <c r="G205" s="14">
        <f>IF(A205="","",IFERROR(INDEX(tbl_Finance[Cost Centre],MATCH(A205&amp;"",tbl_Finance[Job Number],0)),"not invoiced yet"))</f>
        <v/>
      </c>
      <c r="H205" s="13" t="n"/>
      <c r="I205" s="13" t="n"/>
      <c r="J205" s="45" t="n"/>
      <c r="K205" s="13" t="n"/>
      <c r="L205" s="13" t="n"/>
    </row>
    <row r="206" ht="15" customHeight="1">
      <c r="A206" s="13" t="n"/>
      <c r="B206" s="14">
        <f>IF(A206="","",IF(COUNTIF(lst_Jobs,A206&amp;"")&gt;0,"OK","CHECK"))</f>
        <v/>
      </c>
      <c r="C206" s="14">
        <f>IF(A206="","",IFERROR(INDEX(lst_JobName,MATCH(A206&amp;"",lst_Jobs,0)),""))</f>
        <v/>
      </c>
      <c r="D206" s="14">
        <f>IF(A206="","",IFERROR(INDEX(tbl_Finance[Client],MATCH(A206&amp;"",tbl_Finance[Job Number],0)),""))</f>
        <v/>
      </c>
      <c r="E206" s="44">
        <f>IF(A206="","",COUNTIFS(tbl_Finance[Job Number],A206&amp;"",tbl_Finance[Ex GST],"&lt;&gt;"))</f>
        <v/>
      </c>
      <c r="F206" s="16">
        <f>IF(A206="","",SUMIFS(tbl_Finance[Ex GST],tbl_Finance[Job Number],A206&amp;""))</f>
        <v/>
      </c>
      <c r="G206" s="14">
        <f>IF(A206="","",IFERROR(INDEX(tbl_Finance[Cost Centre],MATCH(A206&amp;"",tbl_Finance[Job Number],0)),"not invoiced yet"))</f>
        <v/>
      </c>
      <c r="H206" s="13" t="n"/>
      <c r="I206" s="13" t="n"/>
      <c r="J206" s="45" t="n"/>
      <c r="K206" s="13" t="n"/>
      <c r="L206" s="13" t="n"/>
    </row>
    <row r="207" ht="15" customHeight="1">
      <c r="A207" s="13" t="n"/>
      <c r="B207" s="14">
        <f>IF(A207="","",IF(COUNTIF(lst_Jobs,A207&amp;"")&gt;0,"OK","CHECK"))</f>
        <v/>
      </c>
      <c r="C207" s="14">
        <f>IF(A207="","",IFERROR(INDEX(lst_JobName,MATCH(A207&amp;"",lst_Jobs,0)),""))</f>
        <v/>
      </c>
      <c r="D207" s="14">
        <f>IF(A207="","",IFERROR(INDEX(tbl_Finance[Client],MATCH(A207&amp;"",tbl_Finance[Job Number],0)),""))</f>
        <v/>
      </c>
      <c r="E207" s="44">
        <f>IF(A207="","",COUNTIFS(tbl_Finance[Job Number],A207&amp;"",tbl_Finance[Ex GST],"&lt;&gt;"))</f>
        <v/>
      </c>
      <c r="F207" s="16">
        <f>IF(A207="","",SUMIFS(tbl_Finance[Ex GST],tbl_Finance[Job Number],A207&amp;""))</f>
        <v/>
      </c>
      <c r="G207" s="14">
        <f>IF(A207="","",IFERROR(INDEX(tbl_Finance[Cost Centre],MATCH(A207&amp;"",tbl_Finance[Job Number],0)),"not invoiced yet"))</f>
        <v/>
      </c>
      <c r="H207" s="13" t="n"/>
      <c r="I207" s="13" t="n"/>
      <c r="J207" s="45" t="n"/>
      <c r="K207" s="13" t="n"/>
      <c r="L207" s="13" t="n"/>
    </row>
    <row r="208" ht="15" customHeight="1">
      <c r="A208" s="13" t="n"/>
      <c r="B208" s="14">
        <f>IF(A208="","",IF(COUNTIF(lst_Jobs,A208&amp;"")&gt;0,"OK","CHECK"))</f>
        <v/>
      </c>
      <c r="C208" s="14">
        <f>IF(A208="","",IFERROR(INDEX(lst_JobName,MATCH(A208&amp;"",lst_Jobs,0)),""))</f>
        <v/>
      </c>
      <c r="D208" s="14">
        <f>IF(A208="","",IFERROR(INDEX(tbl_Finance[Client],MATCH(A208&amp;"",tbl_Finance[Job Number],0)),""))</f>
        <v/>
      </c>
      <c r="E208" s="44">
        <f>IF(A208="","",COUNTIFS(tbl_Finance[Job Number],A208&amp;"",tbl_Finance[Ex GST],"&lt;&gt;"))</f>
        <v/>
      </c>
      <c r="F208" s="16">
        <f>IF(A208="","",SUMIFS(tbl_Finance[Ex GST],tbl_Finance[Job Number],A208&amp;""))</f>
        <v/>
      </c>
      <c r="G208" s="14">
        <f>IF(A208="","",IFERROR(INDEX(tbl_Finance[Cost Centre],MATCH(A208&amp;"",tbl_Finance[Job Number],0)),"not invoiced yet"))</f>
        <v/>
      </c>
      <c r="H208" s="13" t="n"/>
      <c r="I208" s="13" t="n"/>
      <c r="J208" s="45" t="n"/>
      <c r="K208" s="13" t="n"/>
      <c r="L208" s="13" t="n"/>
    </row>
    <row r="209" ht="15" customHeight="1">
      <c r="A209" s="13" t="n"/>
      <c r="B209" s="14">
        <f>IF(A209="","",IF(COUNTIF(lst_Jobs,A209&amp;"")&gt;0,"OK","CHECK"))</f>
        <v/>
      </c>
      <c r="C209" s="14">
        <f>IF(A209="","",IFERROR(INDEX(lst_JobName,MATCH(A209&amp;"",lst_Jobs,0)),""))</f>
        <v/>
      </c>
      <c r="D209" s="14">
        <f>IF(A209="","",IFERROR(INDEX(tbl_Finance[Client],MATCH(A209&amp;"",tbl_Finance[Job Number],0)),""))</f>
        <v/>
      </c>
      <c r="E209" s="44">
        <f>IF(A209="","",COUNTIFS(tbl_Finance[Job Number],A209&amp;"",tbl_Finance[Ex GST],"&lt;&gt;"))</f>
        <v/>
      </c>
      <c r="F209" s="16">
        <f>IF(A209="","",SUMIFS(tbl_Finance[Ex GST],tbl_Finance[Job Number],A209&amp;""))</f>
        <v/>
      </c>
      <c r="G209" s="14">
        <f>IF(A209="","",IFERROR(INDEX(tbl_Finance[Cost Centre],MATCH(A209&amp;"",tbl_Finance[Job Number],0)),"not invoiced yet"))</f>
        <v/>
      </c>
      <c r="H209" s="13" t="n"/>
      <c r="I209" s="13" t="n"/>
      <c r="J209" s="45" t="n"/>
      <c r="K209" s="13" t="n"/>
      <c r="L209" s="13" t="n"/>
    </row>
    <row r="210" ht="15" customHeight="1">
      <c r="A210" s="13" t="n"/>
      <c r="B210" s="14">
        <f>IF(A210="","",IF(COUNTIF(lst_Jobs,A210&amp;"")&gt;0,"OK","CHECK"))</f>
        <v/>
      </c>
      <c r="C210" s="14">
        <f>IF(A210="","",IFERROR(INDEX(lst_JobName,MATCH(A210&amp;"",lst_Jobs,0)),""))</f>
        <v/>
      </c>
      <c r="D210" s="14">
        <f>IF(A210="","",IFERROR(INDEX(tbl_Finance[Client],MATCH(A210&amp;"",tbl_Finance[Job Number],0)),""))</f>
        <v/>
      </c>
      <c r="E210" s="44">
        <f>IF(A210="","",COUNTIFS(tbl_Finance[Job Number],A210&amp;"",tbl_Finance[Ex GST],"&lt;&gt;"))</f>
        <v/>
      </c>
      <c r="F210" s="16">
        <f>IF(A210="","",SUMIFS(tbl_Finance[Ex GST],tbl_Finance[Job Number],A210&amp;""))</f>
        <v/>
      </c>
      <c r="G210" s="14">
        <f>IF(A210="","",IFERROR(INDEX(tbl_Finance[Cost Centre],MATCH(A210&amp;"",tbl_Finance[Job Number],0)),"not invoiced yet"))</f>
        <v/>
      </c>
      <c r="H210" s="13" t="n"/>
      <c r="I210" s="13" t="n"/>
      <c r="J210" s="45" t="n"/>
      <c r="K210" s="13" t="n"/>
      <c r="L210" s="13" t="n"/>
    </row>
    <row r="211" ht="15" customHeight="1">
      <c r="A211" s="13" t="n"/>
      <c r="B211" s="14">
        <f>IF(A211="","",IF(COUNTIF(lst_Jobs,A211&amp;"")&gt;0,"OK","CHECK"))</f>
        <v/>
      </c>
      <c r="C211" s="14">
        <f>IF(A211="","",IFERROR(INDEX(lst_JobName,MATCH(A211&amp;"",lst_Jobs,0)),""))</f>
        <v/>
      </c>
      <c r="D211" s="14">
        <f>IF(A211="","",IFERROR(INDEX(tbl_Finance[Client],MATCH(A211&amp;"",tbl_Finance[Job Number],0)),""))</f>
        <v/>
      </c>
      <c r="E211" s="44">
        <f>IF(A211="","",COUNTIFS(tbl_Finance[Job Number],A211&amp;"",tbl_Finance[Ex GST],"&lt;&gt;"))</f>
        <v/>
      </c>
      <c r="F211" s="16">
        <f>IF(A211="","",SUMIFS(tbl_Finance[Ex GST],tbl_Finance[Job Number],A211&amp;""))</f>
        <v/>
      </c>
      <c r="G211" s="14">
        <f>IF(A211="","",IFERROR(INDEX(tbl_Finance[Cost Centre],MATCH(A211&amp;"",tbl_Finance[Job Number],0)),"not invoiced yet"))</f>
        <v/>
      </c>
      <c r="H211" s="13" t="n"/>
      <c r="I211" s="13" t="n"/>
      <c r="J211" s="45" t="n"/>
      <c r="K211" s="13" t="n"/>
      <c r="L211" s="13" t="n"/>
    </row>
    <row r="212" ht="15" customHeight="1">
      <c r="A212" s="13" t="n"/>
      <c r="B212" s="14">
        <f>IF(A212="","",IF(COUNTIF(lst_Jobs,A212&amp;"")&gt;0,"OK","CHECK"))</f>
        <v/>
      </c>
      <c r="C212" s="14">
        <f>IF(A212="","",IFERROR(INDEX(lst_JobName,MATCH(A212&amp;"",lst_Jobs,0)),""))</f>
        <v/>
      </c>
      <c r="D212" s="14">
        <f>IF(A212="","",IFERROR(INDEX(tbl_Finance[Client],MATCH(A212&amp;"",tbl_Finance[Job Number],0)),""))</f>
        <v/>
      </c>
      <c r="E212" s="44">
        <f>IF(A212="","",COUNTIFS(tbl_Finance[Job Number],A212&amp;"",tbl_Finance[Ex GST],"&lt;&gt;"))</f>
        <v/>
      </c>
      <c r="F212" s="16">
        <f>IF(A212="","",SUMIFS(tbl_Finance[Ex GST],tbl_Finance[Job Number],A212&amp;""))</f>
        <v/>
      </c>
      <c r="G212" s="14">
        <f>IF(A212="","",IFERROR(INDEX(tbl_Finance[Cost Centre],MATCH(A212&amp;"",tbl_Finance[Job Number],0)),"not invoiced yet"))</f>
        <v/>
      </c>
      <c r="H212" s="13" t="n"/>
      <c r="I212" s="13" t="n"/>
      <c r="J212" s="45" t="n"/>
      <c r="K212" s="13" t="n"/>
      <c r="L212" s="13" t="n"/>
    </row>
    <row r="213" ht="15" customHeight="1">
      <c r="A213" s="13" t="n"/>
      <c r="B213" s="14">
        <f>IF(A213="","",IF(COUNTIF(lst_Jobs,A213&amp;"")&gt;0,"OK","CHECK"))</f>
        <v/>
      </c>
      <c r="C213" s="14">
        <f>IF(A213="","",IFERROR(INDEX(lst_JobName,MATCH(A213&amp;"",lst_Jobs,0)),""))</f>
        <v/>
      </c>
      <c r="D213" s="14">
        <f>IF(A213="","",IFERROR(INDEX(tbl_Finance[Client],MATCH(A213&amp;"",tbl_Finance[Job Number],0)),""))</f>
        <v/>
      </c>
      <c r="E213" s="44">
        <f>IF(A213="","",COUNTIFS(tbl_Finance[Job Number],A213&amp;"",tbl_Finance[Ex GST],"&lt;&gt;"))</f>
        <v/>
      </c>
      <c r="F213" s="16">
        <f>IF(A213="","",SUMIFS(tbl_Finance[Ex GST],tbl_Finance[Job Number],A213&amp;""))</f>
        <v/>
      </c>
      <c r="G213" s="14">
        <f>IF(A213="","",IFERROR(INDEX(tbl_Finance[Cost Centre],MATCH(A213&amp;"",tbl_Finance[Job Number],0)),"not invoiced yet"))</f>
        <v/>
      </c>
      <c r="H213" s="13" t="n"/>
      <c r="I213" s="13" t="n"/>
      <c r="J213" s="45" t="n"/>
      <c r="K213" s="13" t="n"/>
      <c r="L213" s="13" t="n"/>
    </row>
    <row r="214" ht="15" customHeight="1">
      <c r="A214" s="13" t="n"/>
      <c r="B214" s="14">
        <f>IF(A214="","",IF(COUNTIF(lst_Jobs,A214&amp;"")&gt;0,"OK","CHECK"))</f>
        <v/>
      </c>
      <c r="C214" s="14">
        <f>IF(A214="","",IFERROR(INDEX(lst_JobName,MATCH(A214&amp;"",lst_Jobs,0)),""))</f>
        <v/>
      </c>
      <c r="D214" s="14">
        <f>IF(A214="","",IFERROR(INDEX(tbl_Finance[Client],MATCH(A214&amp;"",tbl_Finance[Job Number],0)),""))</f>
        <v/>
      </c>
      <c r="E214" s="44">
        <f>IF(A214="","",COUNTIFS(tbl_Finance[Job Number],A214&amp;"",tbl_Finance[Ex GST],"&lt;&gt;"))</f>
        <v/>
      </c>
      <c r="F214" s="16">
        <f>IF(A214="","",SUMIFS(tbl_Finance[Ex GST],tbl_Finance[Job Number],A214&amp;""))</f>
        <v/>
      </c>
      <c r="G214" s="14">
        <f>IF(A214="","",IFERROR(INDEX(tbl_Finance[Cost Centre],MATCH(A214&amp;"",tbl_Finance[Job Number],0)),"not invoiced yet"))</f>
        <v/>
      </c>
      <c r="H214" s="13" t="n"/>
      <c r="I214" s="13" t="n"/>
      <c r="J214" s="45" t="n"/>
      <c r="K214" s="13" t="n"/>
      <c r="L214" s="13" t="n"/>
    </row>
    <row r="215" ht="15" customHeight="1">
      <c r="A215" s="13" t="n"/>
      <c r="B215" s="14">
        <f>IF(A215="","",IF(COUNTIF(lst_Jobs,A215&amp;"")&gt;0,"OK","CHECK"))</f>
        <v/>
      </c>
      <c r="C215" s="14">
        <f>IF(A215="","",IFERROR(INDEX(lst_JobName,MATCH(A215&amp;"",lst_Jobs,0)),""))</f>
        <v/>
      </c>
      <c r="D215" s="14">
        <f>IF(A215="","",IFERROR(INDEX(tbl_Finance[Client],MATCH(A215&amp;"",tbl_Finance[Job Number],0)),""))</f>
        <v/>
      </c>
      <c r="E215" s="44">
        <f>IF(A215="","",COUNTIFS(tbl_Finance[Job Number],A215&amp;"",tbl_Finance[Ex GST],"&lt;&gt;"))</f>
        <v/>
      </c>
      <c r="F215" s="16">
        <f>IF(A215="","",SUMIFS(tbl_Finance[Ex GST],tbl_Finance[Job Number],A215&amp;""))</f>
        <v/>
      </c>
      <c r="G215" s="14">
        <f>IF(A215="","",IFERROR(INDEX(tbl_Finance[Cost Centre],MATCH(A215&amp;"",tbl_Finance[Job Number],0)),"not invoiced yet"))</f>
        <v/>
      </c>
      <c r="H215" s="13" t="n"/>
      <c r="I215" s="13" t="n"/>
      <c r="J215" s="45" t="n"/>
      <c r="K215" s="13" t="n"/>
      <c r="L215" s="13" t="n"/>
    </row>
    <row r="216" ht="15" customHeight="1">
      <c r="A216" s="13" t="n"/>
      <c r="B216" s="14">
        <f>IF(A216="","",IF(COUNTIF(lst_Jobs,A216&amp;"")&gt;0,"OK","CHECK"))</f>
        <v/>
      </c>
      <c r="C216" s="14">
        <f>IF(A216="","",IFERROR(INDEX(lst_JobName,MATCH(A216&amp;"",lst_Jobs,0)),""))</f>
        <v/>
      </c>
      <c r="D216" s="14">
        <f>IF(A216="","",IFERROR(INDEX(tbl_Finance[Client],MATCH(A216&amp;"",tbl_Finance[Job Number],0)),""))</f>
        <v/>
      </c>
      <c r="E216" s="44">
        <f>IF(A216="","",COUNTIFS(tbl_Finance[Job Number],A216&amp;"",tbl_Finance[Ex GST],"&lt;&gt;"))</f>
        <v/>
      </c>
      <c r="F216" s="16">
        <f>IF(A216="","",SUMIFS(tbl_Finance[Ex GST],tbl_Finance[Job Number],A216&amp;""))</f>
        <v/>
      </c>
      <c r="G216" s="14">
        <f>IF(A216="","",IFERROR(INDEX(tbl_Finance[Cost Centre],MATCH(A216&amp;"",tbl_Finance[Job Number],0)),"not invoiced yet"))</f>
        <v/>
      </c>
      <c r="H216" s="13" t="n"/>
      <c r="I216" s="13" t="n"/>
      <c r="J216" s="45" t="n"/>
      <c r="K216" s="13" t="n"/>
      <c r="L216" s="13" t="n"/>
    </row>
    <row r="217" ht="15" customHeight="1">
      <c r="A217" s="13" t="n"/>
      <c r="B217" s="14">
        <f>IF(A217="","",IF(COUNTIF(lst_Jobs,A217&amp;"")&gt;0,"OK","CHECK"))</f>
        <v/>
      </c>
      <c r="C217" s="14">
        <f>IF(A217="","",IFERROR(INDEX(lst_JobName,MATCH(A217&amp;"",lst_Jobs,0)),""))</f>
        <v/>
      </c>
      <c r="D217" s="14">
        <f>IF(A217="","",IFERROR(INDEX(tbl_Finance[Client],MATCH(A217&amp;"",tbl_Finance[Job Number],0)),""))</f>
        <v/>
      </c>
      <c r="E217" s="44">
        <f>IF(A217="","",COUNTIFS(tbl_Finance[Job Number],A217&amp;"",tbl_Finance[Ex GST],"&lt;&gt;"))</f>
        <v/>
      </c>
      <c r="F217" s="16">
        <f>IF(A217="","",SUMIFS(tbl_Finance[Ex GST],tbl_Finance[Job Number],A217&amp;""))</f>
        <v/>
      </c>
      <c r="G217" s="14">
        <f>IF(A217="","",IFERROR(INDEX(tbl_Finance[Cost Centre],MATCH(A217&amp;"",tbl_Finance[Job Number],0)),"not invoiced yet"))</f>
        <v/>
      </c>
      <c r="H217" s="13" t="n"/>
      <c r="I217" s="13" t="n"/>
      <c r="J217" s="45" t="n"/>
      <c r="K217" s="13" t="n"/>
      <c r="L217" s="13" t="n"/>
    </row>
    <row r="218" ht="15" customHeight="1">
      <c r="A218" s="13" t="n"/>
      <c r="B218" s="14">
        <f>IF(A218="","",IF(COUNTIF(lst_Jobs,A218&amp;"")&gt;0,"OK","CHECK"))</f>
        <v/>
      </c>
      <c r="C218" s="14">
        <f>IF(A218="","",IFERROR(INDEX(lst_JobName,MATCH(A218&amp;"",lst_Jobs,0)),""))</f>
        <v/>
      </c>
      <c r="D218" s="14">
        <f>IF(A218="","",IFERROR(INDEX(tbl_Finance[Client],MATCH(A218&amp;"",tbl_Finance[Job Number],0)),""))</f>
        <v/>
      </c>
      <c r="E218" s="44">
        <f>IF(A218="","",COUNTIFS(tbl_Finance[Job Number],A218&amp;"",tbl_Finance[Ex GST],"&lt;&gt;"))</f>
        <v/>
      </c>
      <c r="F218" s="16">
        <f>IF(A218="","",SUMIFS(tbl_Finance[Ex GST],tbl_Finance[Job Number],A218&amp;""))</f>
        <v/>
      </c>
      <c r="G218" s="14">
        <f>IF(A218="","",IFERROR(INDEX(tbl_Finance[Cost Centre],MATCH(A218&amp;"",tbl_Finance[Job Number],0)),"not invoiced yet"))</f>
        <v/>
      </c>
      <c r="H218" s="13" t="n"/>
      <c r="I218" s="13" t="n"/>
      <c r="J218" s="45" t="n"/>
      <c r="K218" s="13" t="n"/>
      <c r="L218" s="13" t="n"/>
    </row>
    <row r="219" ht="15" customHeight="1">
      <c r="A219" s="13" t="n"/>
      <c r="B219" s="14">
        <f>IF(A219="","",IF(COUNTIF(lst_Jobs,A219&amp;"")&gt;0,"OK","CHECK"))</f>
        <v/>
      </c>
      <c r="C219" s="14">
        <f>IF(A219="","",IFERROR(INDEX(lst_JobName,MATCH(A219&amp;"",lst_Jobs,0)),""))</f>
        <v/>
      </c>
      <c r="D219" s="14">
        <f>IF(A219="","",IFERROR(INDEX(tbl_Finance[Client],MATCH(A219&amp;"",tbl_Finance[Job Number],0)),""))</f>
        <v/>
      </c>
      <c r="E219" s="44">
        <f>IF(A219="","",COUNTIFS(tbl_Finance[Job Number],A219&amp;"",tbl_Finance[Ex GST],"&lt;&gt;"))</f>
        <v/>
      </c>
      <c r="F219" s="16">
        <f>IF(A219="","",SUMIFS(tbl_Finance[Ex GST],tbl_Finance[Job Number],A219&amp;""))</f>
        <v/>
      </c>
      <c r="G219" s="14">
        <f>IF(A219="","",IFERROR(INDEX(tbl_Finance[Cost Centre],MATCH(A219&amp;"",tbl_Finance[Job Number],0)),"not invoiced yet"))</f>
        <v/>
      </c>
      <c r="H219" s="13" t="n"/>
      <c r="I219" s="13" t="n"/>
      <c r="J219" s="45" t="n"/>
      <c r="K219" s="13" t="n"/>
      <c r="L219" s="13" t="n"/>
    </row>
    <row r="220" ht="15" customHeight="1">
      <c r="A220" s="13" t="n"/>
      <c r="B220" s="14">
        <f>IF(A220="","",IF(COUNTIF(lst_Jobs,A220&amp;"")&gt;0,"OK","CHECK"))</f>
        <v/>
      </c>
      <c r="C220" s="14">
        <f>IF(A220="","",IFERROR(INDEX(lst_JobName,MATCH(A220&amp;"",lst_Jobs,0)),""))</f>
        <v/>
      </c>
      <c r="D220" s="14">
        <f>IF(A220="","",IFERROR(INDEX(tbl_Finance[Client],MATCH(A220&amp;"",tbl_Finance[Job Number],0)),""))</f>
        <v/>
      </c>
      <c r="E220" s="44">
        <f>IF(A220="","",COUNTIFS(tbl_Finance[Job Number],A220&amp;"",tbl_Finance[Ex GST],"&lt;&gt;"))</f>
        <v/>
      </c>
      <c r="F220" s="16">
        <f>IF(A220="","",SUMIFS(tbl_Finance[Ex GST],tbl_Finance[Job Number],A220&amp;""))</f>
        <v/>
      </c>
      <c r="G220" s="14">
        <f>IF(A220="","",IFERROR(INDEX(tbl_Finance[Cost Centre],MATCH(A220&amp;"",tbl_Finance[Job Number],0)),"not invoiced yet"))</f>
        <v/>
      </c>
      <c r="H220" s="13" t="n"/>
      <c r="I220" s="13" t="n"/>
      <c r="J220" s="45" t="n"/>
      <c r="K220" s="13" t="n"/>
      <c r="L220" s="13" t="n"/>
    </row>
    <row r="221" ht="15" customHeight="1">
      <c r="A221" s="13" t="n"/>
      <c r="B221" s="14">
        <f>IF(A221="","",IF(COUNTIF(lst_Jobs,A221&amp;"")&gt;0,"OK","CHECK"))</f>
        <v/>
      </c>
      <c r="C221" s="14">
        <f>IF(A221="","",IFERROR(INDEX(lst_JobName,MATCH(A221&amp;"",lst_Jobs,0)),""))</f>
        <v/>
      </c>
      <c r="D221" s="14">
        <f>IF(A221="","",IFERROR(INDEX(tbl_Finance[Client],MATCH(A221&amp;"",tbl_Finance[Job Number],0)),""))</f>
        <v/>
      </c>
      <c r="E221" s="44">
        <f>IF(A221="","",COUNTIFS(tbl_Finance[Job Number],A221&amp;"",tbl_Finance[Ex GST],"&lt;&gt;"))</f>
        <v/>
      </c>
      <c r="F221" s="16">
        <f>IF(A221="","",SUMIFS(tbl_Finance[Ex GST],tbl_Finance[Job Number],A221&amp;""))</f>
        <v/>
      </c>
      <c r="G221" s="14">
        <f>IF(A221="","",IFERROR(INDEX(tbl_Finance[Cost Centre],MATCH(A221&amp;"",tbl_Finance[Job Number],0)),"not invoiced yet"))</f>
        <v/>
      </c>
      <c r="H221" s="13" t="n"/>
      <c r="I221" s="13" t="n"/>
      <c r="J221" s="45" t="n"/>
      <c r="K221" s="13" t="n"/>
      <c r="L221" s="13" t="n"/>
    </row>
    <row r="222" ht="15" customHeight="1">
      <c r="A222" s="13" t="n"/>
      <c r="B222" s="14">
        <f>IF(A222="","",IF(COUNTIF(lst_Jobs,A222&amp;"")&gt;0,"OK","CHECK"))</f>
        <v/>
      </c>
      <c r="C222" s="14">
        <f>IF(A222="","",IFERROR(INDEX(lst_JobName,MATCH(A222&amp;"",lst_Jobs,0)),""))</f>
        <v/>
      </c>
      <c r="D222" s="14">
        <f>IF(A222="","",IFERROR(INDEX(tbl_Finance[Client],MATCH(A222&amp;"",tbl_Finance[Job Number],0)),""))</f>
        <v/>
      </c>
      <c r="E222" s="44">
        <f>IF(A222="","",COUNTIFS(tbl_Finance[Job Number],A222&amp;"",tbl_Finance[Ex GST],"&lt;&gt;"))</f>
        <v/>
      </c>
      <c r="F222" s="16">
        <f>IF(A222="","",SUMIFS(tbl_Finance[Ex GST],tbl_Finance[Job Number],A222&amp;""))</f>
        <v/>
      </c>
      <c r="G222" s="14">
        <f>IF(A222="","",IFERROR(INDEX(tbl_Finance[Cost Centre],MATCH(A222&amp;"",tbl_Finance[Job Number],0)),"not invoiced yet"))</f>
        <v/>
      </c>
      <c r="H222" s="13" t="n"/>
      <c r="I222" s="13" t="n"/>
      <c r="J222" s="45" t="n"/>
      <c r="K222" s="13" t="n"/>
      <c r="L222" s="13" t="n"/>
    </row>
    <row r="223" ht="15" customHeight="1">
      <c r="A223" s="13" t="n"/>
      <c r="B223" s="14">
        <f>IF(A223="","",IF(COUNTIF(lst_Jobs,A223&amp;"")&gt;0,"OK","CHECK"))</f>
        <v/>
      </c>
      <c r="C223" s="14">
        <f>IF(A223="","",IFERROR(INDEX(lst_JobName,MATCH(A223&amp;"",lst_Jobs,0)),""))</f>
        <v/>
      </c>
      <c r="D223" s="14">
        <f>IF(A223="","",IFERROR(INDEX(tbl_Finance[Client],MATCH(A223&amp;"",tbl_Finance[Job Number],0)),""))</f>
        <v/>
      </c>
      <c r="E223" s="44">
        <f>IF(A223="","",COUNTIFS(tbl_Finance[Job Number],A223&amp;"",tbl_Finance[Ex GST],"&lt;&gt;"))</f>
        <v/>
      </c>
      <c r="F223" s="16">
        <f>IF(A223="","",SUMIFS(tbl_Finance[Ex GST],tbl_Finance[Job Number],A223&amp;""))</f>
        <v/>
      </c>
      <c r="G223" s="14">
        <f>IF(A223="","",IFERROR(INDEX(tbl_Finance[Cost Centre],MATCH(A223&amp;"",tbl_Finance[Job Number],0)),"not invoiced yet"))</f>
        <v/>
      </c>
      <c r="H223" s="13" t="n"/>
      <c r="I223" s="13" t="n"/>
      <c r="J223" s="45" t="n"/>
      <c r="K223" s="13" t="n"/>
      <c r="L223" s="13" t="n"/>
    </row>
    <row r="224" ht="15" customHeight="1">
      <c r="A224" s="13" t="n"/>
      <c r="B224" s="14">
        <f>IF(A224="","",IF(COUNTIF(lst_Jobs,A224&amp;"")&gt;0,"OK","CHECK"))</f>
        <v/>
      </c>
      <c r="C224" s="14">
        <f>IF(A224="","",IFERROR(INDEX(lst_JobName,MATCH(A224&amp;"",lst_Jobs,0)),""))</f>
        <v/>
      </c>
      <c r="D224" s="14">
        <f>IF(A224="","",IFERROR(INDEX(tbl_Finance[Client],MATCH(A224&amp;"",tbl_Finance[Job Number],0)),""))</f>
        <v/>
      </c>
      <c r="E224" s="44">
        <f>IF(A224="","",COUNTIFS(tbl_Finance[Job Number],A224&amp;"",tbl_Finance[Ex GST],"&lt;&gt;"))</f>
        <v/>
      </c>
      <c r="F224" s="16">
        <f>IF(A224="","",SUMIFS(tbl_Finance[Ex GST],tbl_Finance[Job Number],A224&amp;""))</f>
        <v/>
      </c>
      <c r="G224" s="14">
        <f>IF(A224="","",IFERROR(INDEX(tbl_Finance[Cost Centre],MATCH(A224&amp;"",tbl_Finance[Job Number],0)),"not invoiced yet"))</f>
        <v/>
      </c>
      <c r="H224" s="13" t="n"/>
      <c r="I224" s="13" t="n"/>
      <c r="J224" s="45" t="n"/>
      <c r="K224" s="13" t="n"/>
      <c r="L224" s="13" t="n"/>
    </row>
    <row r="225" ht="15" customHeight="1">
      <c r="A225" s="13" t="n"/>
      <c r="B225" s="14">
        <f>IF(A225="","",IF(COUNTIF(lst_Jobs,A225&amp;"")&gt;0,"OK","CHECK"))</f>
        <v/>
      </c>
      <c r="C225" s="14">
        <f>IF(A225="","",IFERROR(INDEX(lst_JobName,MATCH(A225&amp;"",lst_Jobs,0)),""))</f>
        <v/>
      </c>
      <c r="D225" s="14">
        <f>IF(A225="","",IFERROR(INDEX(tbl_Finance[Client],MATCH(A225&amp;"",tbl_Finance[Job Number],0)),""))</f>
        <v/>
      </c>
      <c r="E225" s="44">
        <f>IF(A225="","",COUNTIFS(tbl_Finance[Job Number],A225&amp;"",tbl_Finance[Ex GST],"&lt;&gt;"))</f>
        <v/>
      </c>
      <c r="F225" s="16">
        <f>IF(A225="","",SUMIFS(tbl_Finance[Ex GST],tbl_Finance[Job Number],A225&amp;""))</f>
        <v/>
      </c>
      <c r="G225" s="14">
        <f>IF(A225="","",IFERROR(INDEX(tbl_Finance[Cost Centre],MATCH(A225&amp;"",tbl_Finance[Job Number],0)),"not invoiced yet"))</f>
        <v/>
      </c>
      <c r="H225" s="13" t="n"/>
      <c r="I225" s="13" t="n"/>
      <c r="J225" s="45" t="n"/>
      <c r="K225" s="13" t="n"/>
      <c r="L225" s="13" t="n"/>
    </row>
    <row r="226" ht="15" customHeight="1">
      <c r="A226" s="13" t="n"/>
      <c r="B226" s="14">
        <f>IF(A226="","",IF(COUNTIF(lst_Jobs,A226&amp;"")&gt;0,"OK","CHECK"))</f>
        <v/>
      </c>
      <c r="C226" s="14">
        <f>IF(A226="","",IFERROR(INDEX(lst_JobName,MATCH(A226&amp;"",lst_Jobs,0)),""))</f>
        <v/>
      </c>
      <c r="D226" s="14">
        <f>IF(A226="","",IFERROR(INDEX(tbl_Finance[Client],MATCH(A226&amp;"",tbl_Finance[Job Number],0)),""))</f>
        <v/>
      </c>
      <c r="E226" s="44">
        <f>IF(A226="","",COUNTIFS(tbl_Finance[Job Number],A226&amp;"",tbl_Finance[Ex GST],"&lt;&gt;"))</f>
        <v/>
      </c>
      <c r="F226" s="16">
        <f>IF(A226="","",SUMIFS(tbl_Finance[Ex GST],tbl_Finance[Job Number],A226&amp;""))</f>
        <v/>
      </c>
      <c r="G226" s="14">
        <f>IF(A226="","",IFERROR(INDEX(tbl_Finance[Cost Centre],MATCH(A226&amp;"",tbl_Finance[Job Number],0)),"not invoiced yet"))</f>
        <v/>
      </c>
      <c r="H226" s="13" t="n"/>
      <c r="I226" s="13" t="n"/>
      <c r="J226" s="45" t="n"/>
      <c r="K226" s="13" t="n"/>
      <c r="L226" s="13" t="n"/>
    </row>
    <row r="227" ht="15" customHeight="1">
      <c r="A227" s="13" t="n"/>
      <c r="B227" s="14">
        <f>IF(A227="","",IF(COUNTIF(lst_Jobs,A227&amp;"")&gt;0,"OK","CHECK"))</f>
        <v/>
      </c>
      <c r="C227" s="14">
        <f>IF(A227="","",IFERROR(INDEX(lst_JobName,MATCH(A227&amp;"",lst_Jobs,0)),""))</f>
        <v/>
      </c>
      <c r="D227" s="14">
        <f>IF(A227="","",IFERROR(INDEX(tbl_Finance[Client],MATCH(A227&amp;"",tbl_Finance[Job Number],0)),""))</f>
        <v/>
      </c>
      <c r="E227" s="44">
        <f>IF(A227="","",COUNTIFS(tbl_Finance[Job Number],A227&amp;"",tbl_Finance[Ex GST],"&lt;&gt;"))</f>
        <v/>
      </c>
      <c r="F227" s="16">
        <f>IF(A227="","",SUMIFS(tbl_Finance[Ex GST],tbl_Finance[Job Number],A227&amp;""))</f>
        <v/>
      </c>
      <c r="G227" s="14">
        <f>IF(A227="","",IFERROR(INDEX(tbl_Finance[Cost Centre],MATCH(A227&amp;"",tbl_Finance[Job Number],0)),"not invoiced yet"))</f>
        <v/>
      </c>
      <c r="H227" s="13" t="n"/>
      <c r="I227" s="13" t="n"/>
      <c r="J227" s="45" t="n"/>
      <c r="K227" s="13" t="n"/>
      <c r="L227" s="13" t="n"/>
    </row>
    <row r="228" ht="15" customHeight="1">
      <c r="A228" s="13" t="n"/>
      <c r="B228" s="14">
        <f>IF(A228="","",IF(COUNTIF(lst_Jobs,A228&amp;"")&gt;0,"OK","CHECK"))</f>
        <v/>
      </c>
      <c r="C228" s="14">
        <f>IF(A228="","",IFERROR(INDEX(lst_JobName,MATCH(A228&amp;"",lst_Jobs,0)),""))</f>
        <v/>
      </c>
      <c r="D228" s="14">
        <f>IF(A228="","",IFERROR(INDEX(tbl_Finance[Client],MATCH(A228&amp;"",tbl_Finance[Job Number],0)),""))</f>
        <v/>
      </c>
      <c r="E228" s="44">
        <f>IF(A228="","",COUNTIFS(tbl_Finance[Job Number],A228&amp;"",tbl_Finance[Ex GST],"&lt;&gt;"))</f>
        <v/>
      </c>
      <c r="F228" s="16">
        <f>IF(A228="","",SUMIFS(tbl_Finance[Ex GST],tbl_Finance[Job Number],A228&amp;""))</f>
        <v/>
      </c>
      <c r="G228" s="14">
        <f>IF(A228="","",IFERROR(INDEX(tbl_Finance[Cost Centre],MATCH(A228&amp;"",tbl_Finance[Job Number],0)),"not invoiced yet"))</f>
        <v/>
      </c>
      <c r="H228" s="13" t="n"/>
      <c r="I228" s="13" t="n"/>
      <c r="J228" s="45" t="n"/>
      <c r="K228" s="13" t="n"/>
      <c r="L228" s="13" t="n"/>
    </row>
    <row r="229" ht="15" customHeight="1">
      <c r="A229" s="13" t="n"/>
      <c r="B229" s="14">
        <f>IF(A229="","",IF(COUNTIF(lst_Jobs,A229&amp;"")&gt;0,"OK","CHECK"))</f>
        <v/>
      </c>
      <c r="C229" s="14">
        <f>IF(A229="","",IFERROR(INDEX(lst_JobName,MATCH(A229&amp;"",lst_Jobs,0)),""))</f>
        <v/>
      </c>
      <c r="D229" s="14">
        <f>IF(A229="","",IFERROR(INDEX(tbl_Finance[Client],MATCH(A229&amp;"",tbl_Finance[Job Number],0)),""))</f>
        <v/>
      </c>
      <c r="E229" s="44">
        <f>IF(A229="","",COUNTIFS(tbl_Finance[Job Number],A229&amp;"",tbl_Finance[Ex GST],"&lt;&gt;"))</f>
        <v/>
      </c>
      <c r="F229" s="16">
        <f>IF(A229="","",SUMIFS(tbl_Finance[Ex GST],tbl_Finance[Job Number],A229&amp;""))</f>
        <v/>
      </c>
      <c r="G229" s="14">
        <f>IF(A229="","",IFERROR(INDEX(tbl_Finance[Cost Centre],MATCH(A229&amp;"",tbl_Finance[Job Number],0)),"not invoiced yet"))</f>
        <v/>
      </c>
      <c r="H229" s="13" t="n"/>
      <c r="I229" s="13" t="n"/>
      <c r="J229" s="45" t="n"/>
      <c r="K229" s="13" t="n"/>
      <c r="L229" s="13" t="n"/>
    </row>
    <row r="230" ht="15" customHeight="1">
      <c r="A230" s="13" t="n"/>
      <c r="B230" s="14">
        <f>IF(A230="","",IF(COUNTIF(lst_Jobs,A230&amp;"")&gt;0,"OK","CHECK"))</f>
        <v/>
      </c>
      <c r="C230" s="14">
        <f>IF(A230="","",IFERROR(INDEX(lst_JobName,MATCH(A230&amp;"",lst_Jobs,0)),""))</f>
        <v/>
      </c>
      <c r="D230" s="14">
        <f>IF(A230="","",IFERROR(INDEX(tbl_Finance[Client],MATCH(A230&amp;"",tbl_Finance[Job Number],0)),""))</f>
        <v/>
      </c>
      <c r="E230" s="44">
        <f>IF(A230="","",COUNTIFS(tbl_Finance[Job Number],A230&amp;"",tbl_Finance[Ex GST],"&lt;&gt;"))</f>
        <v/>
      </c>
      <c r="F230" s="16">
        <f>IF(A230="","",SUMIFS(tbl_Finance[Ex GST],tbl_Finance[Job Number],A230&amp;""))</f>
        <v/>
      </c>
      <c r="G230" s="14">
        <f>IF(A230="","",IFERROR(INDEX(tbl_Finance[Cost Centre],MATCH(A230&amp;"",tbl_Finance[Job Number],0)),"not invoiced yet"))</f>
        <v/>
      </c>
      <c r="H230" s="13" t="n"/>
      <c r="I230" s="13" t="n"/>
      <c r="J230" s="45" t="n"/>
      <c r="K230" s="13" t="n"/>
      <c r="L230" s="13" t="n"/>
    </row>
    <row r="231" ht="15" customHeight="1">
      <c r="A231" s="13" t="n"/>
      <c r="B231" s="14">
        <f>IF(A231="","",IF(COUNTIF(lst_Jobs,A231&amp;"")&gt;0,"OK","CHECK"))</f>
        <v/>
      </c>
      <c r="C231" s="14">
        <f>IF(A231="","",IFERROR(INDEX(lst_JobName,MATCH(A231&amp;"",lst_Jobs,0)),""))</f>
        <v/>
      </c>
      <c r="D231" s="14">
        <f>IF(A231="","",IFERROR(INDEX(tbl_Finance[Client],MATCH(A231&amp;"",tbl_Finance[Job Number],0)),""))</f>
        <v/>
      </c>
      <c r="E231" s="44">
        <f>IF(A231="","",COUNTIFS(tbl_Finance[Job Number],A231&amp;"",tbl_Finance[Ex GST],"&lt;&gt;"))</f>
        <v/>
      </c>
      <c r="F231" s="16">
        <f>IF(A231="","",SUMIFS(tbl_Finance[Ex GST],tbl_Finance[Job Number],A231&amp;""))</f>
        <v/>
      </c>
      <c r="G231" s="14">
        <f>IF(A231="","",IFERROR(INDEX(tbl_Finance[Cost Centre],MATCH(A231&amp;"",tbl_Finance[Job Number],0)),"not invoiced yet"))</f>
        <v/>
      </c>
      <c r="H231" s="13" t="n"/>
      <c r="I231" s="13" t="n"/>
      <c r="J231" s="45" t="n"/>
      <c r="K231" s="13" t="n"/>
      <c r="L231" s="13" t="n"/>
    </row>
    <row r="232" ht="15" customHeight="1">
      <c r="A232" s="13" t="n"/>
      <c r="B232" s="14">
        <f>IF(A232="","",IF(COUNTIF(lst_Jobs,A232&amp;"")&gt;0,"OK","CHECK"))</f>
        <v/>
      </c>
      <c r="C232" s="14">
        <f>IF(A232="","",IFERROR(INDEX(lst_JobName,MATCH(A232&amp;"",lst_Jobs,0)),""))</f>
        <v/>
      </c>
      <c r="D232" s="14">
        <f>IF(A232="","",IFERROR(INDEX(tbl_Finance[Client],MATCH(A232&amp;"",tbl_Finance[Job Number],0)),""))</f>
        <v/>
      </c>
      <c r="E232" s="44">
        <f>IF(A232="","",COUNTIFS(tbl_Finance[Job Number],A232&amp;"",tbl_Finance[Ex GST],"&lt;&gt;"))</f>
        <v/>
      </c>
      <c r="F232" s="16">
        <f>IF(A232="","",SUMIFS(tbl_Finance[Ex GST],tbl_Finance[Job Number],A232&amp;""))</f>
        <v/>
      </c>
      <c r="G232" s="14">
        <f>IF(A232="","",IFERROR(INDEX(tbl_Finance[Cost Centre],MATCH(A232&amp;"",tbl_Finance[Job Number],0)),"not invoiced yet"))</f>
        <v/>
      </c>
      <c r="H232" s="13" t="n"/>
      <c r="I232" s="13" t="n"/>
      <c r="J232" s="45" t="n"/>
      <c r="K232" s="13" t="n"/>
      <c r="L232" s="13" t="n"/>
    </row>
    <row r="233" ht="15" customHeight="1">
      <c r="A233" s="13" t="n"/>
      <c r="B233" s="14">
        <f>IF(A233="","",IF(COUNTIF(lst_Jobs,A233&amp;"")&gt;0,"OK","CHECK"))</f>
        <v/>
      </c>
      <c r="C233" s="14">
        <f>IF(A233="","",IFERROR(INDEX(lst_JobName,MATCH(A233&amp;"",lst_Jobs,0)),""))</f>
        <v/>
      </c>
      <c r="D233" s="14">
        <f>IF(A233="","",IFERROR(INDEX(tbl_Finance[Client],MATCH(A233&amp;"",tbl_Finance[Job Number],0)),""))</f>
        <v/>
      </c>
      <c r="E233" s="44">
        <f>IF(A233="","",COUNTIFS(tbl_Finance[Job Number],A233&amp;"",tbl_Finance[Ex GST],"&lt;&gt;"))</f>
        <v/>
      </c>
      <c r="F233" s="16">
        <f>IF(A233="","",SUMIFS(tbl_Finance[Ex GST],tbl_Finance[Job Number],A233&amp;""))</f>
        <v/>
      </c>
      <c r="G233" s="14">
        <f>IF(A233="","",IFERROR(INDEX(tbl_Finance[Cost Centre],MATCH(A233&amp;"",tbl_Finance[Job Number],0)),"not invoiced yet"))</f>
        <v/>
      </c>
      <c r="H233" s="13" t="n"/>
      <c r="I233" s="13" t="n"/>
      <c r="J233" s="45" t="n"/>
      <c r="K233" s="13" t="n"/>
      <c r="L233" s="13" t="n"/>
    </row>
    <row r="234" ht="15" customHeight="1">
      <c r="A234" s="13" t="n"/>
      <c r="B234" s="14">
        <f>IF(A234="","",IF(COUNTIF(lst_Jobs,A234&amp;"")&gt;0,"OK","CHECK"))</f>
        <v/>
      </c>
      <c r="C234" s="14">
        <f>IF(A234="","",IFERROR(INDEX(lst_JobName,MATCH(A234&amp;"",lst_Jobs,0)),""))</f>
        <v/>
      </c>
      <c r="D234" s="14">
        <f>IF(A234="","",IFERROR(INDEX(tbl_Finance[Client],MATCH(A234&amp;"",tbl_Finance[Job Number],0)),""))</f>
        <v/>
      </c>
      <c r="E234" s="44">
        <f>IF(A234="","",COUNTIFS(tbl_Finance[Job Number],A234&amp;"",tbl_Finance[Ex GST],"&lt;&gt;"))</f>
        <v/>
      </c>
      <c r="F234" s="16">
        <f>IF(A234="","",SUMIFS(tbl_Finance[Ex GST],tbl_Finance[Job Number],A234&amp;""))</f>
        <v/>
      </c>
      <c r="G234" s="14">
        <f>IF(A234="","",IFERROR(INDEX(tbl_Finance[Cost Centre],MATCH(A234&amp;"",tbl_Finance[Job Number],0)),"not invoiced yet"))</f>
        <v/>
      </c>
      <c r="H234" s="13" t="n"/>
      <c r="I234" s="13" t="n"/>
      <c r="J234" s="45" t="n"/>
      <c r="K234" s="13" t="n"/>
      <c r="L234" s="13" t="n"/>
    </row>
    <row r="235" ht="15" customHeight="1">
      <c r="A235" s="13" t="n"/>
      <c r="B235" s="14">
        <f>IF(A235="","",IF(COUNTIF(lst_Jobs,A235&amp;"")&gt;0,"OK","CHECK"))</f>
        <v/>
      </c>
      <c r="C235" s="14">
        <f>IF(A235="","",IFERROR(INDEX(lst_JobName,MATCH(A235&amp;"",lst_Jobs,0)),""))</f>
        <v/>
      </c>
      <c r="D235" s="14">
        <f>IF(A235="","",IFERROR(INDEX(tbl_Finance[Client],MATCH(A235&amp;"",tbl_Finance[Job Number],0)),""))</f>
        <v/>
      </c>
      <c r="E235" s="44">
        <f>IF(A235="","",COUNTIFS(tbl_Finance[Job Number],A235&amp;"",tbl_Finance[Ex GST],"&lt;&gt;"))</f>
        <v/>
      </c>
      <c r="F235" s="16">
        <f>IF(A235="","",SUMIFS(tbl_Finance[Ex GST],tbl_Finance[Job Number],A235&amp;""))</f>
        <v/>
      </c>
      <c r="G235" s="14">
        <f>IF(A235="","",IFERROR(INDEX(tbl_Finance[Cost Centre],MATCH(A235&amp;"",tbl_Finance[Job Number],0)),"not invoiced yet"))</f>
        <v/>
      </c>
      <c r="H235" s="13" t="n"/>
      <c r="I235" s="13" t="n"/>
      <c r="J235" s="45" t="n"/>
      <c r="K235" s="13" t="n"/>
      <c r="L235" s="13" t="n"/>
    </row>
    <row r="236" ht="15" customHeight="1">
      <c r="A236" s="13" t="n"/>
      <c r="B236" s="14">
        <f>IF(A236="","",IF(COUNTIF(lst_Jobs,A236&amp;"")&gt;0,"OK","CHECK"))</f>
        <v/>
      </c>
      <c r="C236" s="14">
        <f>IF(A236="","",IFERROR(INDEX(lst_JobName,MATCH(A236&amp;"",lst_Jobs,0)),""))</f>
        <v/>
      </c>
      <c r="D236" s="14">
        <f>IF(A236="","",IFERROR(INDEX(tbl_Finance[Client],MATCH(A236&amp;"",tbl_Finance[Job Number],0)),""))</f>
        <v/>
      </c>
      <c r="E236" s="44">
        <f>IF(A236="","",COUNTIFS(tbl_Finance[Job Number],A236&amp;"",tbl_Finance[Ex GST],"&lt;&gt;"))</f>
        <v/>
      </c>
      <c r="F236" s="16">
        <f>IF(A236="","",SUMIFS(tbl_Finance[Ex GST],tbl_Finance[Job Number],A236&amp;""))</f>
        <v/>
      </c>
      <c r="G236" s="14">
        <f>IF(A236="","",IFERROR(INDEX(tbl_Finance[Cost Centre],MATCH(A236&amp;"",tbl_Finance[Job Number],0)),"not invoiced yet"))</f>
        <v/>
      </c>
      <c r="H236" s="13" t="n"/>
      <c r="I236" s="13" t="n"/>
      <c r="J236" s="45" t="n"/>
      <c r="K236" s="13" t="n"/>
      <c r="L236" s="13" t="n"/>
    </row>
    <row r="237" ht="15" customHeight="1">
      <c r="A237" s="13" t="n"/>
      <c r="B237" s="14">
        <f>IF(A237="","",IF(COUNTIF(lst_Jobs,A237&amp;"")&gt;0,"OK","CHECK"))</f>
        <v/>
      </c>
      <c r="C237" s="14">
        <f>IF(A237="","",IFERROR(INDEX(lst_JobName,MATCH(A237&amp;"",lst_Jobs,0)),""))</f>
        <v/>
      </c>
      <c r="D237" s="14">
        <f>IF(A237="","",IFERROR(INDEX(tbl_Finance[Client],MATCH(A237&amp;"",tbl_Finance[Job Number],0)),""))</f>
        <v/>
      </c>
      <c r="E237" s="44">
        <f>IF(A237="","",COUNTIFS(tbl_Finance[Job Number],A237&amp;"",tbl_Finance[Ex GST],"&lt;&gt;"))</f>
        <v/>
      </c>
      <c r="F237" s="16">
        <f>IF(A237="","",SUMIFS(tbl_Finance[Ex GST],tbl_Finance[Job Number],A237&amp;""))</f>
        <v/>
      </c>
      <c r="G237" s="14">
        <f>IF(A237="","",IFERROR(INDEX(tbl_Finance[Cost Centre],MATCH(A237&amp;"",tbl_Finance[Job Number],0)),"not invoiced yet"))</f>
        <v/>
      </c>
      <c r="H237" s="13" t="n"/>
      <c r="I237" s="13" t="n"/>
      <c r="J237" s="45" t="n"/>
      <c r="K237" s="13" t="n"/>
      <c r="L237" s="13" t="n"/>
    </row>
    <row r="238" ht="15" customHeight="1">
      <c r="A238" s="13" t="n"/>
      <c r="B238" s="14">
        <f>IF(A238="","",IF(COUNTIF(lst_Jobs,A238&amp;"")&gt;0,"OK","CHECK"))</f>
        <v/>
      </c>
      <c r="C238" s="14">
        <f>IF(A238="","",IFERROR(INDEX(lst_JobName,MATCH(A238&amp;"",lst_Jobs,0)),""))</f>
        <v/>
      </c>
      <c r="D238" s="14">
        <f>IF(A238="","",IFERROR(INDEX(tbl_Finance[Client],MATCH(A238&amp;"",tbl_Finance[Job Number],0)),""))</f>
        <v/>
      </c>
      <c r="E238" s="44">
        <f>IF(A238="","",COUNTIFS(tbl_Finance[Job Number],A238&amp;"",tbl_Finance[Ex GST],"&lt;&gt;"))</f>
        <v/>
      </c>
      <c r="F238" s="16">
        <f>IF(A238="","",SUMIFS(tbl_Finance[Ex GST],tbl_Finance[Job Number],A238&amp;""))</f>
        <v/>
      </c>
      <c r="G238" s="14">
        <f>IF(A238="","",IFERROR(INDEX(tbl_Finance[Cost Centre],MATCH(A238&amp;"",tbl_Finance[Job Number],0)),"not invoiced yet"))</f>
        <v/>
      </c>
      <c r="H238" s="13" t="n"/>
      <c r="I238" s="13" t="n"/>
      <c r="J238" s="45" t="n"/>
      <c r="K238" s="13" t="n"/>
      <c r="L238" s="13" t="n"/>
    </row>
    <row r="239" ht="15" customHeight="1">
      <c r="A239" s="13" t="n"/>
      <c r="B239" s="14">
        <f>IF(A239="","",IF(COUNTIF(lst_Jobs,A239&amp;"")&gt;0,"OK","CHECK"))</f>
        <v/>
      </c>
      <c r="C239" s="14">
        <f>IF(A239="","",IFERROR(INDEX(lst_JobName,MATCH(A239&amp;"",lst_Jobs,0)),""))</f>
        <v/>
      </c>
      <c r="D239" s="14">
        <f>IF(A239="","",IFERROR(INDEX(tbl_Finance[Client],MATCH(A239&amp;"",tbl_Finance[Job Number],0)),""))</f>
        <v/>
      </c>
      <c r="E239" s="44">
        <f>IF(A239="","",COUNTIFS(tbl_Finance[Job Number],A239&amp;"",tbl_Finance[Ex GST],"&lt;&gt;"))</f>
        <v/>
      </c>
      <c r="F239" s="16">
        <f>IF(A239="","",SUMIFS(tbl_Finance[Ex GST],tbl_Finance[Job Number],A239&amp;""))</f>
        <v/>
      </c>
      <c r="G239" s="14">
        <f>IF(A239="","",IFERROR(INDEX(tbl_Finance[Cost Centre],MATCH(A239&amp;"",tbl_Finance[Job Number],0)),"not invoiced yet"))</f>
        <v/>
      </c>
      <c r="H239" s="13" t="n"/>
      <c r="I239" s="13" t="n"/>
      <c r="J239" s="45" t="n"/>
      <c r="K239" s="13" t="n"/>
      <c r="L239" s="13" t="n"/>
    </row>
    <row r="240" ht="15" customHeight="1">
      <c r="A240" s="13" t="n"/>
      <c r="B240" s="14">
        <f>IF(A240="","",IF(COUNTIF(lst_Jobs,A240&amp;"")&gt;0,"OK","CHECK"))</f>
        <v/>
      </c>
      <c r="C240" s="14">
        <f>IF(A240="","",IFERROR(INDEX(lst_JobName,MATCH(A240&amp;"",lst_Jobs,0)),""))</f>
        <v/>
      </c>
      <c r="D240" s="14">
        <f>IF(A240="","",IFERROR(INDEX(tbl_Finance[Client],MATCH(A240&amp;"",tbl_Finance[Job Number],0)),""))</f>
        <v/>
      </c>
      <c r="E240" s="44">
        <f>IF(A240="","",COUNTIFS(tbl_Finance[Job Number],A240&amp;"",tbl_Finance[Ex GST],"&lt;&gt;"))</f>
        <v/>
      </c>
      <c r="F240" s="16">
        <f>IF(A240="","",SUMIFS(tbl_Finance[Ex GST],tbl_Finance[Job Number],A240&amp;""))</f>
        <v/>
      </c>
      <c r="G240" s="14">
        <f>IF(A240="","",IFERROR(INDEX(tbl_Finance[Cost Centre],MATCH(A240&amp;"",tbl_Finance[Job Number],0)),"not invoiced yet"))</f>
        <v/>
      </c>
      <c r="H240" s="13" t="n"/>
      <c r="I240" s="13" t="n"/>
      <c r="J240" s="45" t="n"/>
      <c r="K240" s="13" t="n"/>
      <c r="L240" s="13" t="n"/>
    </row>
    <row r="241" ht="15" customHeight="1">
      <c r="A241" s="13" t="n"/>
      <c r="B241" s="14">
        <f>IF(A241="","",IF(COUNTIF(lst_Jobs,A241&amp;"")&gt;0,"OK","CHECK"))</f>
        <v/>
      </c>
      <c r="C241" s="14">
        <f>IF(A241="","",IFERROR(INDEX(lst_JobName,MATCH(A241&amp;"",lst_Jobs,0)),""))</f>
        <v/>
      </c>
      <c r="D241" s="14">
        <f>IF(A241="","",IFERROR(INDEX(tbl_Finance[Client],MATCH(A241&amp;"",tbl_Finance[Job Number],0)),""))</f>
        <v/>
      </c>
      <c r="E241" s="44">
        <f>IF(A241="","",COUNTIFS(tbl_Finance[Job Number],A241&amp;"",tbl_Finance[Ex GST],"&lt;&gt;"))</f>
        <v/>
      </c>
      <c r="F241" s="16">
        <f>IF(A241="","",SUMIFS(tbl_Finance[Ex GST],tbl_Finance[Job Number],A241&amp;""))</f>
        <v/>
      </c>
      <c r="G241" s="14">
        <f>IF(A241="","",IFERROR(INDEX(tbl_Finance[Cost Centre],MATCH(A241&amp;"",tbl_Finance[Job Number],0)),"not invoiced yet"))</f>
        <v/>
      </c>
      <c r="H241" s="13" t="n"/>
      <c r="I241" s="13" t="n"/>
      <c r="J241" s="45" t="n"/>
      <c r="K241" s="13" t="n"/>
      <c r="L241" s="13" t="n"/>
    </row>
    <row r="242" ht="15" customHeight="1">
      <c r="A242" s="13" t="n"/>
      <c r="B242" s="14">
        <f>IF(A242="","",IF(COUNTIF(lst_Jobs,A242&amp;"")&gt;0,"OK","CHECK"))</f>
        <v/>
      </c>
      <c r="C242" s="14">
        <f>IF(A242="","",IFERROR(INDEX(lst_JobName,MATCH(A242&amp;"",lst_Jobs,0)),""))</f>
        <v/>
      </c>
      <c r="D242" s="14">
        <f>IF(A242="","",IFERROR(INDEX(tbl_Finance[Client],MATCH(A242&amp;"",tbl_Finance[Job Number],0)),""))</f>
        <v/>
      </c>
      <c r="E242" s="44">
        <f>IF(A242="","",COUNTIFS(tbl_Finance[Job Number],A242&amp;"",tbl_Finance[Ex GST],"&lt;&gt;"))</f>
        <v/>
      </c>
      <c r="F242" s="16">
        <f>IF(A242="","",SUMIFS(tbl_Finance[Ex GST],tbl_Finance[Job Number],A242&amp;""))</f>
        <v/>
      </c>
      <c r="G242" s="14">
        <f>IF(A242="","",IFERROR(INDEX(tbl_Finance[Cost Centre],MATCH(A242&amp;"",tbl_Finance[Job Number],0)),"not invoiced yet"))</f>
        <v/>
      </c>
      <c r="H242" s="13" t="n"/>
      <c r="I242" s="13" t="n"/>
      <c r="J242" s="45" t="n"/>
      <c r="K242" s="13" t="n"/>
      <c r="L242" s="13" t="n"/>
    </row>
    <row r="243" ht="15" customHeight="1">
      <c r="A243" s="13" t="n"/>
      <c r="B243" s="14">
        <f>IF(A243="","",IF(COUNTIF(lst_Jobs,A243&amp;"")&gt;0,"OK","CHECK"))</f>
        <v/>
      </c>
      <c r="C243" s="14">
        <f>IF(A243="","",IFERROR(INDEX(lst_JobName,MATCH(A243&amp;"",lst_Jobs,0)),""))</f>
        <v/>
      </c>
      <c r="D243" s="14">
        <f>IF(A243="","",IFERROR(INDEX(tbl_Finance[Client],MATCH(A243&amp;"",tbl_Finance[Job Number],0)),""))</f>
        <v/>
      </c>
      <c r="E243" s="44">
        <f>IF(A243="","",COUNTIFS(tbl_Finance[Job Number],A243&amp;"",tbl_Finance[Ex GST],"&lt;&gt;"))</f>
        <v/>
      </c>
      <c r="F243" s="16">
        <f>IF(A243="","",SUMIFS(tbl_Finance[Ex GST],tbl_Finance[Job Number],A243&amp;""))</f>
        <v/>
      </c>
      <c r="G243" s="14">
        <f>IF(A243="","",IFERROR(INDEX(tbl_Finance[Cost Centre],MATCH(A243&amp;"",tbl_Finance[Job Number],0)),"not invoiced yet"))</f>
        <v/>
      </c>
      <c r="H243" s="13" t="n"/>
      <c r="I243" s="13" t="n"/>
      <c r="J243" s="45" t="n"/>
      <c r="K243" s="13" t="n"/>
      <c r="L243" s="13" t="n"/>
    </row>
    <row r="244" ht="15" customHeight="1">
      <c r="A244" s="13" t="n"/>
      <c r="B244" s="14">
        <f>IF(A244="","",IF(COUNTIF(lst_Jobs,A244&amp;"")&gt;0,"OK","CHECK"))</f>
        <v/>
      </c>
      <c r="C244" s="14">
        <f>IF(A244="","",IFERROR(INDEX(lst_JobName,MATCH(A244&amp;"",lst_Jobs,0)),""))</f>
        <v/>
      </c>
      <c r="D244" s="14">
        <f>IF(A244="","",IFERROR(INDEX(tbl_Finance[Client],MATCH(A244&amp;"",tbl_Finance[Job Number],0)),""))</f>
        <v/>
      </c>
      <c r="E244" s="44">
        <f>IF(A244="","",COUNTIFS(tbl_Finance[Job Number],A244&amp;"",tbl_Finance[Ex GST],"&lt;&gt;"))</f>
        <v/>
      </c>
      <c r="F244" s="16">
        <f>IF(A244="","",SUMIFS(tbl_Finance[Ex GST],tbl_Finance[Job Number],A244&amp;""))</f>
        <v/>
      </c>
      <c r="G244" s="14">
        <f>IF(A244="","",IFERROR(INDEX(tbl_Finance[Cost Centre],MATCH(A244&amp;"",tbl_Finance[Job Number],0)),"not invoiced yet"))</f>
        <v/>
      </c>
      <c r="H244" s="13" t="n"/>
      <c r="I244" s="13" t="n"/>
      <c r="J244" s="45" t="n"/>
      <c r="K244" s="13" t="n"/>
      <c r="L244" s="13" t="n"/>
    </row>
    <row r="245" ht="15" customHeight="1">
      <c r="A245" s="13" t="n"/>
      <c r="B245" s="14">
        <f>IF(A245="","",IF(COUNTIF(lst_Jobs,A245&amp;"")&gt;0,"OK","CHECK"))</f>
        <v/>
      </c>
      <c r="C245" s="14">
        <f>IF(A245="","",IFERROR(INDEX(lst_JobName,MATCH(A245&amp;"",lst_Jobs,0)),""))</f>
        <v/>
      </c>
      <c r="D245" s="14">
        <f>IF(A245="","",IFERROR(INDEX(tbl_Finance[Client],MATCH(A245&amp;"",tbl_Finance[Job Number],0)),""))</f>
        <v/>
      </c>
      <c r="E245" s="44">
        <f>IF(A245="","",COUNTIFS(tbl_Finance[Job Number],A245&amp;"",tbl_Finance[Ex GST],"&lt;&gt;"))</f>
        <v/>
      </c>
      <c r="F245" s="16">
        <f>IF(A245="","",SUMIFS(tbl_Finance[Ex GST],tbl_Finance[Job Number],A245&amp;""))</f>
        <v/>
      </c>
      <c r="G245" s="14">
        <f>IF(A245="","",IFERROR(INDEX(tbl_Finance[Cost Centre],MATCH(A245&amp;"",tbl_Finance[Job Number],0)),"not invoiced yet"))</f>
        <v/>
      </c>
      <c r="H245" s="13" t="n"/>
      <c r="I245" s="13" t="n"/>
      <c r="J245" s="45" t="n"/>
      <c r="K245" s="13" t="n"/>
      <c r="L245" s="13" t="n"/>
    </row>
    <row r="246" ht="15" customHeight="1">
      <c r="A246" s="13" t="n"/>
      <c r="B246" s="14">
        <f>IF(A246="","",IF(COUNTIF(lst_Jobs,A246&amp;"")&gt;0,"OK","CHECK"))</f>
        <v/>
      </c>
      <c r="C246" s="14">
        <f>IF(A246="","",IFERROR(INDEX(lst_JobName,MATCH(A246&amp;"",lst_Jobs,0)),""))</f>
        <v/>
      </c>
      <c r="D246" s="14">
        <f>IF(A246="","",IFERROR(INDEX(tbl_Finance[Client],MATCH(A246&amp;"",tbl_Finance[Job Number],0)),""))</f>
        <v/>
      </c>
      <c r="E246" s="44">
        <f>IF(A246="","",COUNTIFS(tbl_Finance[Job Number],A246&amp;"",tbl_Finance[Ex GST],"&lt;&gt;"))</f>
        <v/>
      </c>
      <c r="F246" s="16">
        <f>IF(A246="","",SUMIFS(tbl_Finance[Ex GST],tbl_Finance[Job Number],A246&amp;""))</f>
        <v/>
      </c>
      <c r="G246" s="14">
        <f>IF(A246="","",IFERROR(INDEX(tbl_Finance[Cost Centre],MATCH(A246&amp;"",tbl_Finance[Job Number],0)),"not invoiced yet"))</f>
        <v/>
      </c>
      <c r="H246" s="13" t="n"/>
      <c r="I246" s="13" t="n"/>
      <c r="J246" s="45" t="n"/>
      <c r="K246" s="13" t="n"/>
      <c r="L246" s="13" t="n"/>
    </row>
    <row r="247" ht="15" customHeight="1">
      <c r="A247" s="13" t="n"/>
      <c r="B247" s="14">
        <f>IF(A247="","",IF(COUNTIF(lst_Jobs,A247&amp;"")&gt;0,"OK","CHECK"))</f>
        <v/>
      </c>
      <c r="C247" s="14">
        <f>IF(A247="","",IFERROR(INDEX(lst_JobName,MATCH(A247&amp;"",lst_Jobs,0)),""))</f>
        <v/>
      </c>
      <c r="D247" s="14">
        <f>IF(A247="","",IFERROR(INDEX(tbl_Finance[Client],MATCH(A247&amp;"",tbl_Finance[Job Number],0)),""))</f>
        <v/>
      </c>
      <c r="E247" s="44">
        <f>IF(A247="","",COUNTIFS(tbl_Finance[Job Number],A247&amp;"",tbl_Finance[Ex GST],"&lt;&gt;"))</f>
        <v/>
      </c>
      <c r="F247" s="16">
        <f>IF(A247="","",SUMIFS(tbl_Finance[Ex GST],tbl_Finance[Job Number],A247&amp;""))</f>
        <v/>
      </c>
      <c r="G247" s="14">
        <f>IF(A247="","",IFERROR(INDEX(tbl_Finance[Cost Centre],MATCH(A247&amp;"",tbl_Finance[Job Number],0)),"not invoiced yet"))</f>
        <v/>
      </c>
      <c r="H247" s="13" t="n"/>
      <c r="I247" s="13" t="n"/>
      <c r="J247" s="45" t="n"/>
      <c r="K247" s="13" t="n"/>
      <c r="L247" s="13" t="n"/>
    </row>
    <row r="248" ht="15" customHeight="1">
      <c r="A248" s="13" t="n"/>
      <c r="B248" s="14">
        <f>IF(A248="","",IF(COUNTIF(lst_Jobs,A248&amp;"")&gt;0,"OK","CHECK"))</f>
        <v/>
      </c>
      <c r="C248" s="14">
        <f>IF(A248="","",IFERROR(INDEX(lst_JobName,MATCH(A248&amp;"",lst_Jobs,0)),""))</f>
        <v/>
      </c>
      <c r="D248" s="14">
        <f>IF(A248="","",IFERROR(INDEX(tbl_Finance[Client],MATCH(A248&amp;"",tbl_Finance[Job Number],0)),""))</f>
        <v/>
      </c>
      <c r="E248" s="44">
        <f>IF(A248="","",COUNTIFS(tbl_Finance[Job Number],A248&amp;"",tbl_Finance[Ex GST],"&lt;&gt;"))</f>
        <v/>
      </c>
      <c r="F248" s="16">
        <f>IF(A248="","",SUMIFS(tbl_Finance[Ex GST],tbl_Finance[Job Number],A248&amp;""))</f>
        <v/>
      </c>
      <c r="G248" s="14">
        <f>IF(A248="","",IFERROR(INDEX(tbl_Finance[Cost Centre],MATCH(A248&amp;"",tbl_Finance[Job Number],0)),"not invoiced yet"))</f>
        <v/>
      </c>
      <c r="H248" s="13" t="n"/>
      <c r="I248" s="13" t="n"/>
      <c r="J248" s="45" t="n"/>
      <c r="K248" s="13" t="n"/>
      <c r="L248" s="13" t="n"/>
    </row>
    <row r="249" ht="15" customHeight="1">
      <c r="A249" s="13" t="n"/>
      <c r="B249" s="14">
        <f>IF(A249="","",IF(COUNTIF(lst_Jobs,A249&amp;"")&gt;0,"OK","CHECK"))</f>
        <v/>
      </c>
      <c r="C249" s="14">
        <f>IF(A249="","",IFERROR(INDEX(lst_JobName,MATCH(A249&amp;"",lst_Jobs,0)),""))</f>
        <v/>
      </c>
      <c r="D249" s="14">
        <f>IF(A249="","",IFERROR(INDEX(tbl_Finance[Client],MATCH(A249&amp;"",tbl_Finance[Job Number],0)),""))</f>
        <v/>
      </c>
      <c r="E249" s="44">
        <f>IF(A249="","",COUNTIFS(tbl_Finance[Job Number],A249&amp;"",tbl_Finance[Ex GST],"&lt;&gt;"))</f>
        <v/>
      </c>
      <c r="F249" s="16">
        <f>IF(A249="","",SUMIFS(tbl_Finance[Ex GST],tbl_Finance[Job Number],A249&amp;""))</f>
        <v/>
      </c>
      <c r="G249" s="14">
        <f>IF(A249="","",IFERROR(INDEX(tbl_Finance[Cost Centre],MATCH(A249&amp;"",tbl_Finance[Job Number],0)),"not invoiced yet"))</f>
        <v/>
      </c>
      <c r="H249" s="13" t="n"/>
      <c r="I249" s="13" t="n"/>
      <c r="J249" s="45" t="n"/>
      <c r="K249" s="13" t="n"/>
      <c r="L249" s="13" t="n"/>
    </row>
    <row r="250" ht="15" customHeight="1">
      <c r="A250" s="13" t="n"/>
      <c r="B250" s="14">
        <f>IF(A250="","",IF(COUNTIF(lst_Jobs,A250&amp;"")&gt;0,"OK","CHECK"))</f>
        <v/>
      </c>
      <c r="C250" s="14">
        <f>IF(A250="","",IFERROR(INDEX(lst_JobName,MATCH(A250&amp;"",lst_Jobs,0)),""))</f>
        <v/>
      </c>
      <c r="D250" s="14">
        <f>IF(A250="","",IFERROR(INDEX(tbl_Finance[Client],MATCH(A250&amp;"",tbl_Finance[Job Number],0)),""))</f>
        <v/>
      </c>
      <c r="E250" s="44">
        <f>IF(A250="","",COUNTIFS(tbl_Finance[Job Number],A250&amp;"",tbl_Finance[Ex GST],"&lt;&gt;"))</f>
        <v/>
      </c>
      <c r="F250" s="16">
        <f>IF(A250="","",SUMIFS(tbl_Finance[Ex GST],tbl_Finance[Job Number],A250&amp;""))</f>
        <v/>
      </c>
      <c r="G250" s="14">
        <f>IF(A250="","",IFERROR(INDEX(tbl_Finance[Cost Centre],MATCH(A250&amp;"",tbl_Finance[Job Number],0)),"not invoiced yet"))</f>
        <v/>
      </c>
      <c r="H250" s="13" t="n"/>
      <c r="I250" s="13" t="n"/>
      <c r="J250" s="45" t="n"/>
      <c r="K250" s="13" t="n"/>
      <c r="L250" s="13" t="n"/>
    </row>
    <row r="251" ht="15" customHeight="1">
      <c r="A251" s="13" t="n"/>
      <c r="B251" s="14">
        <f>IF(A251="","",IF(COUNTIF(lst_Jobs,A251&amp;"")&gt;0,"OK","CHECK"))</f>
        <v/>
      </c>
      <c r="C251" s="14">
        <f>IF(A251="","",IFERROR(INDEX(lst_JobName,MATCH(A251&amp;"",lst_Jobs,0)),""))</f>
        <v/>
      </c>
      <c r="D251" s="14">
        <f>IF(A251="","",IFERROR(INDEX(tbl_Finance[Client],MATCH(A251&amp;"",tbl_Finance[Job Number],0)),""))</f>
        <v/>
      </c>
      <c r="E251" s="44">
        <f>IF(A251="","",COUNTIFS(tbl_Finance[Job Number],A251&amp;"",tbl_Finance[Ex GST],"&lt;&gt;"))</f>
        <v/>
      </c>
      <c r="F251" s="16">
        <f>IF(A251="","",SUMIFS(tbl_Finance[Ex GST],tbl_Finance[Job Number],A251&amp;""))</f>
        <v/>
      </c>
      <c r="G251" s="14">
        <f>IF(A251="","",IFERROR(INDEX(tbl_Finance[Cost Centre],MATCH(A251&amp;"",tbl_Finance[Job Number],0)),"not invoiced yet"))</f>
        <v/>
      </c>
      <c r="H251" s="13" t="n"/>
      <c r="I251" s="13" t="n"/>
      <c r="J251" s="45" t="n"/>
      <c r="K251" s="13" t="n"/>
      <c r="L251" s="13" t="n"/>
    </row>
    <row r="252" ht="15" customHeight="1">
      <c r="A252" s="13" t="n"/>
      <c r="B252" s="14">
        <f>IF(A252="","",IF(COUNTIF(lst_Jobs,A252&amp;"")&gt;0,"OK","CHECK"))</f>
        <v/>
      </c>
      <c r="C252" s="14">
        <f>IF(A252="","",IFERROR(INDEX(lst_JobName,MATCH(A252&amp;"",lst_Jobs,0)),""))</f>
        <v/>
      </c>
      <c r="D252" s="14">
        <f>IF(A252="","",IFERROR(INDEX(tbl_Finance[Client],MATCH(A252&amp;"",tbl_Finance[Job Number],0)),""))</f>
        <v/>
      </c>
      <c r="E252" s="44">
        <f>IF(A252="","",COUNTIFS(tbl_Finance[Job Number],A252&amp;"",tbl_Finance[Ex GST],"&lt;&gt;"))</f>
        <v/>
      </c>
      <c r="F252" s="16">
        <f>IF(A252="","",SUMIFS(tbl_Finance[Ex GST],tbl_Finance[Job Number],A252&amp;""))</f>
        <v/>
      </c>
      <c r="G252" s="14">
        <f>IF(A252="","",IFERROR(INDEX(tbl_Finance[Cost Centre],MATCH(A252&amp;"",tbl_Finance[Job Number],0)),"not invoiced yet"))</f>
        <v/>
      </c>
      <c r="H252" s="13" t="n"/>
      <c r="I252" s="13" t="n"/>
      <c r="J252" s="45" t="n"/>
      <c r="K252" s="13" t="n"/>
      <c r="L252" s="13" t="n"/>
    </row>
    <row r="253" ht="15" customHeight="1">
      <c r="A253" s="13" t="n"/>
      <c r="B253" s="14">
        <f>IF(A253="","",IF(COUNTIF(lst_Jobs,A253&amp;"")&gt;0,"OK","CHECK"))</f>
        <v/>
      </c>
      <c r="C253" s="14">
        <f>IF(A253="","",IFERROR(INDEX(lst_JobName,MATCH(A253&amp;"",lst_Jobs,0)),""))</f>
        <v/>
      </c>
      <c r="D253" s="14">
        <f>IF(A253="","",IFERROR(INDEX(tbl_Finance[Client],MATCH(A253&amp;"",tbl_Finance[Job Number],0)),""))</f>
        <v/>
      </c>
      <c r="E253" s="44">
        <f>IF(A253="","",COUNTIFS(tbl_Finance[Job Number],A253&amp;"",tbl_Finance[Ex GST],"&lt;&gt;"))</f>
        <v/>
      </c>
      <c r="F253" s="16">
        <f>IF(A253="","",SUMIFS(tbl_Finance[Ex GST],tbl_Finance[Job Number],A253&amp;""))</f>
        <v/>
      </c>
      <c r="G253" s="14">
        <f>IF(A253="","",IFERROR(INDEX(tbl_Finance[Cost Centre],MATCH(A253&amp;"",tbl_Finance[Job Number],0)),"not invoiced yet"))</f>
        <v/>
      </c>
      <c r="H253" s="13" t="n"/>
      <c r="I253" s="13" t="n"/>
      <c r="J253" s="45" t="n"/>
      <c r="K253" s="13" t="n"/>
      <c r="L253" s="13" t="n"/>
    </row>
    <row r="254" ht="15" customHeight="1">
      <c r="A254" s="13" t="n"/>
      <c r="B254" s="14">
        <f>IF(A254="","",IF(COUNTIF(lst_Jobs,A254&amp;"")&gt;0,"OK","CHECK"))</f>
        <v/>
      </c>
      <c r="C254" s="14">
        <f>IF(A254="","",IFERROR(INDEX(lst_JobName,MATCH(A254&amp;"",lst_Jobs,0)),""))</f>
        <v/>
      </c>
      <c r="D254" s="14">
        <f>IF(A254="","",IFERROR(INDEX(tbl_Finance[Client],MATCH(A254&amp;"",tbl_Finance[Job Number],0)),""))</f>
        <v/>
      </c>
      <c r="E254" s="44">
        <f>IF(A254="","",COUNTIFS(tbl_Finance[Job Number],A254&amp;"",tbl_Finance[Ex GST],"&lt;&gt;"))</f>
        <v/>
      </c>
      <c r="F254" s="16">
        <f>IF(A254="","",SUMIFS(tbl_Finance[Ex GST],tbl_Finance[Job Number],A254&amp;""))</f>
        <v/>
      </c>
      <c r="G254" s="14">
        <f>IF(A254="","",IFERROR(INDEX(tbl_Finance[Cost Centre],MATCH(A254&amp;"",tbl_Finance[Job Number],0)),"not invoiced yet"))</f>
        <v/>
      </c>
      <c r="H254" s="13" t="n"/>
      <c r="I254" s="13" t="n"/>
      <c r="J254" s="45" t="n"/>
      <c r="K254" s="13" t="n"/>
      <c r="L254" s="13" t="n"/>
    </row>
    <row r="255" ht="15" customHeight="1">
      <c r="A255" s="13" t="n"/>
      <c r="B255" s="14">
        <f>IF(A255="","",IF(COUNTIF(lst_Jobs,A255&amp;"")&gt;0,"OK","CHECK"))</f>
        <v/>
      </c>
      <c r="C255" s="14">
        <f>IF(A255="","",IFERROR(INDEX(lst_JobName,MATCH(A255&amp;"",lst_Jobs,0)),""))</f>
        <v/>
      </c>
      <c r="D255" s="14">
        <f>IF(A255="","",IFERROR(INDEX(tbl_Finance[Client],MATCH(A255&amp;"",tbl_Finance[Job Number],0)),""))</f>
        <v/>
      </c>
      <c r="E255" s="44">
        <f>IF(A255="","",COUNTIFS(tbl_Finance[Job Number],A255&amp;"",tbl_Finance[Ex GST],"&lt;&gt;"))</f>
        <v/>
      </c>
      <c r="F255" s="16">
        <f>IF(A255="","",SUMIFS(tbl_Finance[Ex GST],tbl_Finance[Job Number],A255&amp;""))</f>
        <v/>
      </c>
      <c r="G255" s="14">
        <f>IF(A255="","",IFERROR(INDEX(tbl_Finance[Cost Centre],MATCH(A255&amp;"",tbl_Finance[Job Number],0)),"not invoiced yet"))</f>
        <v/>
      </c>
      <c r="H255" s="13" t="n"/>
      <c r="I255" s="13" t="n"/>
      <c r="J255" s="45" t="n"/>
      <c r="K255" s="13" t="n"/>
      <c r="L255" s="13" t="n"/>
    </row>
    <row r="256" ht="15" customHeight="1">
      <c r="A256" s="13" t="n"/>
      <c r="B256" s="14">
        <f>IF(A256="","",IF(COUNTIF(lst_Jobs,A256&amp;"")&gt;0,"OK","CHECK"))</f>
        <v/>
      </c>
      <c r="C256" s="14">
        <f>IF(A256="","",IFERROR(INDEX(lst_JobName,MATCH(A256&amp;"",lst_Jobs,0)),""))</f>
        <v/>
      </c>
      <c r="D256" s="14">
        <f>IF(A256="","",IFERROR(INDEX(tbl_Finance[Client],MATCH(A256&amp;"",tbl_Finance[Job Number],0)),""))</f>
        <v/>
      </c>
      <c r="E256" s="44">
        <f>IF(A256="","",COUNTIFS(tbl_Finance[Job Number],A256&amp;"",tbl_Finance[Ex GST],"&lt;&gt;"))</f>
        <v/>
      </c>
      <c r="F256" s="16">
        <f>IF(A256="","",SUMIFS(tbl_Finance[Ex GST],tbl_Finance[Job Number],A256&amp;""))</f>
        <v/>
      </c>
      <c r="G256" s="14">
        <f>IF(A256="","",IFERROR(INDEX(tbl_Finance[Cost Centre],MATCH(A256&amp;"",tbl_Finance[Job Number],0)),"not invoiced yet"))</f>
        <v/>
      </c>
      <c r="H256" s="13" t="n"/>
      <c r="I256" s="13" t="n"/>
      <c r="J256" s="45" t="n"/>
      <c r="K256" s="13" t="n"/>
      <c r="L256" s="13" t="n"/>
    </row>
    <row r="257" ht="15" customHeight="1">
      <c r="A257" s="13" t="n"/>
      <c r="B257" s="14">
        <f>IF(A257="","",IF(COUNTIF(lst_Jobs,A257&amp;"")&gt;0,"OK","CHECK"))</f>
        <v/>
      </c>
      <c r="C257" s="14">
        <f>IF(A257="","",IFERROR(INDEX(lst_JobName,MATCH(A257&amp;"",lst_Jobs,0)),""))</f>
        <v/>
      </c>
      <c r="D257" s="14">
        <f>IF(A257="","",IFERROR(INDEX(tbl_Finance[Client],MATCH(A257&amp;"",tbl_Finance[Job Number],0)),""))</f>
        <v/>
      </c>
      <c r="E257" s="44">
        <f>IF(A257="","",COUNTIFS(tbl_Finance[Job Number],A257&amp;"",tbl_Finance[Ex GST],"&lt;&gt;"))</f>
        <v/>
      </c>
      <c r="F257" s="16">
        <f>IF(A257="","",SUMIFS(tbl_Finance[Ex GST],tbl_Finance[Job Number],A257&amp;""))</f>
        <v/>
      </c>
      <c r="G257" s="14">
        <f>IF(A257="","",IFERROR(INDEX(tbl_Finance[Cost Centre],MATCH(A257&amp;"",tbl_Finance[Job Number],0)),"not invoiced yet"))</f>
        <v/>
      </c>
      <c r="H257" s="13" t="n"/>
      <c r="I257" s="13" t="n"/>
      <c r="J257" s="45" t="n"/>
      <c r="K257" s="13" t="n"/>
      <c r="L257" s="13" t="n"/>
    </row>
    <row r="258" ht="15" customHeight="1">
      <c r="A258" s="13" t="n"/>
      <c r="B258" s="14">
        <f>IF(A258="","",IF(COUNTIF(lst_Jobs,A258&amp;"")&gt;0,"OK","CHECK"))</f>
        <v/>
      </c>
      <c r="C258" s="14">
        <f>IF(A258="","",IFERROR(INDEX(lst_JobName,MATCH(A258&amp;"",lst_Jobs,0)),""))</f>
        <v/>
      </c>
      <c r="D258" s="14">
        <f>IF(A258="","",IFERROR(INDEX(tbl_Finance[Client],MATCH(A258&amp;"",tbl_Finance[Job Number],0)),""))</f>
        <v/>
      </c>
      <c r="E258" s="44">
        <f>IF(A258="","",COUNTIFS(tbl_Finance[Job Number],A258&amp;"",tbl_Finance[Ex GST],"&lt;&gt;"))</f>
        <v/>
      </c>
      <c r="F258" s="16">
        <f>IF(A258="","",SUMIFS(tbl_Finance[Ex GST],tbl_Finance[Job Number],A258&amp;""))</f>
        <v/>
      </c>
      <c r="G258" s="14">
        <f>IF(A258="","",IFERROR(INDEX(tbl_Finance[Cost Centre],MATCH(A258&amp;"",tbl_Finance[Job Number],0)),"not invoiced yet"))</f>
        <v/>
      </c>
      <c r="H258" s="13" t="n"/>
      <c r="I258" s="13" t="n"/>
      <c r="J258" s="45" t="n"/>
      <c r="K258" s="13" t="n"/>
      <c r="L258" s="13" t="n"/>
    </row>
    <row r="259" ht="15" customHeight="1">
      <c r="A259" s="13" t="n"/>
      <c r="B259" s="14">
        <f>IF(A259="","",IF(COUNTIF(lst_Jobs,A259&amp;"")&gt;0,"OK","CHECK"))</f>
        <v/>
      </c>
      <c r="C259" s="14">
        <f>IF(A259="","",IFERROR(INDEX(lst_JobName,MATCH(A259&amp;"",lst_Jobs,0)),""))</f>
        <v/>
      </c>
      <c r="D259" s="14">
        <f>IF(A259="","",IFERROR(INDEX(tbl_Finance[Client],MATCH(A259&amp;"",tbl_Finance[Job Number],0)),""))</f>
        <v/>
      </c>
      <c r="E259" s="44">
        <f>IF(A259="","",COUNTIFS(tbl_Finance[Job Number],A259&amp;"",tbl_Finance[Ex GST],"&lt;&gt;"))</f>
        <v/>
      </c>
      <c r="F259" s="16">
        <f>IF(A259="","",SUMIFS(tbl_Finance[Ex GST],tbl_Finance[Job Number],A259&amp;""))</f>
        <v/>
      </c>
      <c r="G259" s="14">
        <f>IF(A259="","",IFERROR(INDEX(tbl_Finance[Cost Centre],MATCH(A259&amp;"",tbl_Finance[Job Number],0)),"not invoiced yet"))</f>
        <v/>
      </c>
      <c r="H259" s="13" t="n"/>
      <c r="I259" s="13" t="n"/>
      <c r="J259" s="45" t="n"/>
      <c r="K259" s="13" t="n"/>
      <c r="L259" s="13" t="n"/>
    </row>
    <row r="260" ht="15" customHeight="1">
      <c r="A260" s="13" t="n"/>
      <c r="B260" s="14">
        <f>IF(A260="","",IF(COUNTIF(lst_Jobs,A260&amp;"")&gt;0,"OK","CHECK"))</f>
        <v/>
      </c>
      <c r="C260" s="14">
        <f>IF(A260="","",IFERROR(INDEX(lst_JobName,MATCH(A260&amp;"",lst_Jobs,0)),""))</f>
        <v/>
      </c>
      <c r="D260" s="14">
        <f>IF(A260="","",IFERROR(INDEX(tbl_Finance[Client],MATCH(A260&amp;"",tbl_Finance[Job Number],0)),""))</f>
        <v/>
      </c>
      <c r="E260" s="44">
        <f>IF(A260="","",COUNTIFS(tbl_Finance[Job Number],A260&amp;"",tbl_Finance[Ex GST],"&lt;&gt;"))</f>
        <v/>
      </c>
      <c r="F260" s="16">
        <f>IF(A260="","",SUMIFS(tbl_Finance[Ex GST],tbl_Finance[Job Number],A260&amp;""))</f>
        <v/>
      </c>
      <c r="G260" s="14">
        <f>IF(A260="","",IFERROR(INDEX(tbl_Finance[Cost Centre],MATCH(A260&amp;"",tbl_Finance[Job Number],0)),"not invoiced yet"))</f>
        <v/>
      </c>
      <c r="H260" s="13" t="n"/>
      <c r="I260" s="13" t="n"/>
      <c r="J260" s="45" t="n"/>
      <c r="K260" s="13" t="n"/>
      <c r="L260" s="13" t="n"/>
    </row>
    <row r="261" ht="15" customHeight="1">
      <c r="A261" s="13" t="n"/>
      <c r="B261" s="14">
        <f>IF(A261="","",IF(COUNTIF(lst_Jobs,A261&amp;"")&gt;0,"OK","CHECK"))</f>
        <v/>
      </c>
      <c r="C261" s="14">
        <f>IF(A261="","",IFERROR(INDEX(lst_JobName,MATCH(A261&amp;"",lst_Jobs,0)),""))</f>
        <v/>
      </c>
      <c r="D261" s="14">
        <f>IF(A261="","",IFERROR(INDEX(tbl_Finance[Client],MATCH(A261&amp;"",tbl_Finance[Job Number],0)),""))</f>
        <v/>
      </c>
      <c r="E261" s="44">
        <f>IF(A261="","",COUNTIFS(tbl_Finance[Job Number],A261&amp;"",tbl_Finance[Ex GST],"&lt;&gt;"))</f>
        <v/>
      </c>
      <c r="F261" s="16">
        <f>IF(A261="","",SUMIFS(tbl_Finance[Ex GST],tbl_Finance[Job Number],A261&amp;""))</f>
        <v/>
      </c>
      <c r="G261" s="14">
        <f>IF(A261="","",IFERROR(INDEX(tbl_Finance[Cost Centre],MATCH(A261&amp;"",tbl_Finance[Job Number],0)),"not invoiced yet"))</f>
        <v/>
      </c>
      <c r="H261" s="13" t="n"/>
      <c r="I261" s="13" t="n"/>
      <c r="J261" s="45" t="n"/>
      <c r="K261" s="13" t="n"/>
      <c r="L261" s="13" t="n"/>
    </row>
    <row r="262" ht="15" customHeight="1">
      <c r="A262" s="13" t="n"/>
      <c r="B262" s="14">
        <f>IF(A262="","",IF(COUNTIF(lst_Jobs,A262&amp;"")&gt;0,"OK","CHECK"))</f>
        <v/>
      </c>
      <c r="C262" s="14">
        <f>IF(A262="","",IFERROR(INDEX(lst_JobName,MATCH(A262&amp;"",lst_Jobs,0)),""))</f>
        <v/>
      </c>
      <c r="D262" s="14">
        <f>IF(A262="","",IFERROR(INDEX(tbl_Finance[Client],MATCH(A262&amp;"",tbl_Finance[Job Number],0)),""))</f>
        <v/>
      </c>
      <c r="E262" s="44">
        <f>IF(A262="","",COUNTIFS(tbl_Finance[Job Number],A262&amp;"",tbl_Finance[Ex GST],"&lt;&gt;"))</f>
        <v/>
      </c>
      <c r="F262" s="16">
        <f>IF(A262="","",SUMIFS(tbl_Finance[Ex GST],tbl_Finance[Job Number],A262&amp;""))</f>
        <v/>
      </c>
      <c r="G262" s="14">
        <f>IF(A262="","",IFERROR(INDEX(tbl_Finance[Cost Centre],MATCH(A262&amp;"",tbl_Finance[Job Number],0)),"not invoiced yet"))</f>
        <v/>
      </c>
      <c r="H262" s="13" t="n"/>
      <c r="I262" s="13" t="n"/>
      <c r="J262" s="45" t="n"/>
      <c r="K262" s="13" t="n"/>
      <c r="L262" s="13" t="n"/>
    </row>
    <row r="263" ht="15" customHeight="1">
      <c r="A263" s="13" t="n"/>
      <c r="B263" s="14">
        <f>IF(A263="","",IF(COUNTIF(lst_Jobs,A263&amp;"")&gt;0,"OK","CHECK"))</f>
        <v/>
      </c>
      <c r="C263" s="14">
        <f>IF(A263="","",IFERROR(INDEX(lst_JobName,MATCH(A263&amp;"",lst_Jobs,0)),""))</f>
        <v/>
      </c>
      <c r="D263" s="14">
        <f>IF(A263="","",IFERROR(INDEX(tbl_Finance[Client],MATCH(A263&amp;"",tbl_Finance[Job Number],0)),""))</f>
        <v/>
      </c>
      <c r="E263" s="44">
        <f>IF(A263="","",COUNTIFS(tbl_Finance[Job Number],A263&amp;"",tbl_Finance[Ex GST],"&lt;&gt;"))</f>
        <v/>
      </c>
      <c r="F263" s="16">
        <f>IF(A263="","",SUMIFS(tbl_Finance[Ex GST],tbl_Finance[Job Number],A263&amp;""))</f>
        <v/>
      </c>
      <c r="G263" s="14">
        <f>IF(A263="","",IFERROR(INDEX(tbl_Finance[Cost Centre],MATCH(A263&amp;"",tbl_Finance[Job Number],0)),"not invoiced yet"))</f>
        <v/>
      </c>
      <c r="H263" s="13" t="n"/>
      <c r="I263" s="13" t="n"/>
      <c r="J263" s="45" t="n"/>
      <c r="K263" s="13" t="n"/>
      <c r="L263" s="13" t="n"/>
    </row>
    <row r="264" ht="15" customHeight="1">
      <c r="A264" s="13" t="n"/>
      <c r="B264" s="14">
        <f>IF(A264="","",IF(COUNTIF(lst_Jobs,A264&amp;"")&gt;0,"OK","CHECK"))</f>
        <v/>
      </c>
      <c r="C264" s="14">
        <f>IF(A264="","",IFERROR(INDEX(lst_JobName,MATCH(A264&amp;"",lst_Jobs,0)),""))</f>
        <v/>
      </c>
      <c r="D264" s="14">
        <f>IF(A264="","",IFERROR(INDEX(tbl_Finance[Client],MATCH(A264&amp;"",tbl_Finance[Job Number],0)),""))</f>
        <v/>
      </c>
      <c r="E264" s="44">
        <f>IF(A264="","",COUNTIFS(tbl_Finance[Job Number],A264&amp;"",tbl_Finance[Ex GST],"&lt;&gt;"))</f>
        <v/>
      </c>
      <c r="F264" s="16">
        <f>IF(A264="","",SUMIFS(tbl_Finance[Ex GST],tbl_Finance[Job Number],A264&amp;""))</f>
        <v/>
      </c>
      <c r="G264" s="14">
        <f>IF(A264="","",IFERROR(INDEX(tbl_Finance[Cost Centre],MATCH(A264&amp;"",tbl_Finance[Job Number],0)),"not invoiced yet"))</f>
        <v/>
      </c>
      <c r="H264" s="13" t="n"/>
      <c r="I264" s="13" t="n"/>
      <c r="J264" s="45" t="n"/>
      <c r="K264" s="13" t="n"/>
      <c r="L264" s="13" t="n"/>
    </row>
    <row r="265" ht="15" customHeight="1">
      <c r="A265" s="13" t="n"/>
      <c r="B265" s="14">
        <f>IF(A265="","",IF(COUNTIF(lst_Jobs,A265&amp;"")&gt;0,"OK","CHECK"))</f>
        <v/>
      </c>
      <c r="C265" s="14">
        <f>IF(A265="","",IFERROR(INDEX(lst_JobName,MATCH(A265&amp;"",lst_Jobs,0)),""))</f>
        <v/>
      </c>
      <c r="D265" s="14">
        <f>IF(A265="","",IFERROR(INDEX(tbl_Finance[Client],MATCH(A265&amp;"",tbl_Finance[Job Number],0)),""))</f>
        <v/>
      </c>
      <c r="E265" s="44">
        <f>IF(A265="","",COUNTIFS(tbl_Finance[Job Number],A265&amp;"",tbl_Finance[Ex GST],"&lt;&gt;"))</f>
        <v/>
      </c>
      <c r="F265" s="16">
        <f>IF(A265="","",SUMIFS(tbl_Finance[Ex GST],tbl_Finance[Job Number],A265&amp;""))</f>
        <v/>
      </c>
      <c r="G265" s="14">
        <f>IF(A265="","",IFERROR(INDEX(tbl_Finance[Cost Centre],MATCH(A265&amp;"",tbl_Finance[Job Number],0)),"not invoiced yet"))</f>
        <v/>
      </c>
      <c r="H265" s="13" t="n"/>
      <c r="I265" s="13" t="n"/>
      <c r="J265" s="45" t="n"/>
      <c r="K265" s="13" t="n"/>
      <c r="L265" s="13" t="n"/>
    </row>
    <row r="266" ht="15" customHeight="1">
      <c r="A266" s="13" t="n"/>
      <c r="B266" s="14">
        <f>IF(A266="","",IF(COUNTIF(lst_Jobs,A266&amp;"")&gt;0,"OK","CHECK"))</f>
        <v/>
      </c>
      <c r="C266" s="14">
        <f>IF(A266="","",IFERROR(INDEX(lst_JobName,MATCH(A266&amp;"",lst_Jobs,0)),""))</f>
        <v/>
      </c>
      <c r="D266" s="14">
        <f>IF(A266="","",IFERROR(INDEX(tbl_Finance[Client],MATCH(A266&amp;"",tbl_Finance[Job Number],0)),""))</f>
        <v/>
      </c>
      <c r="E266" s="44">
        <f>IF(A266="","",COUNTIFS(tbl_Finance[Job Number],A266&amp;"",tbl_Finance[Ex GST],"&lt;&gt;"))</f>
        <v/>
      </c>
      <c r="F266" s="16">
        <f>IF(A266="","",SUMIFS(tbl_Finance[Ex GST],tbl_Finance[Job Number],A266&amp;""))</f>
        <v/>
      </c>
      <c r="G266" s="14">
        <f>IF(A266="","",IFERROR(INDEX(tbl_Finance[Cost Centre],MATCH(A266&amp;"",tbl_Finance[Job Number],0)),"not invoiced yet"))</f>
        <v/>
      </c>
      <c r="H266" s="13" t="n"/>
      <c r="I266" s="13" t="n"/>
      <c r="J266" s="45" t="n"/>
      <c r="K266" s="13" t="n"/>
      <c r="L266" s="13" t="n"/>
    </row>
    <row r="267" ht="15" customHeight="1">
      <c r="A267" s="13" t="n"/>
      <c r="B267" s="14">
        <f>IF(A267="","",IF(COUNTIF(lst_Jobs,A267&amp;"")&gt;0,"OK","CHECK"))</f>
        <v/>
      </c>
      <c r="C267" s="14">
        <f>IF(A267="","",IFERROR(INDEX(lst_JobName,MATCH(A267&amp;"",lst_Jobs,0)),""))</f>
        <v/>
      </c>
      <c r="D267" s="14">
        <f>IF(A267="","",IFERROR(INDEX(tbl_Finance[Client],MATCH(A267&amp;"",tbl_Finance[Job Number],0)),""))</f>
        <v/>
      </c>
      <c r="E267" s="44">
        <f>IF(A267="","",COUNTIFS(tbl_Finance[Job Number],A267&amp;"",tbl_Finance[Ex GST],"&lt;&gt;"))</f>
        <v/>
      </c>
      <c r="F267" s="16">
        <f>IF(A267="","",SUMIFS(tbl_Finance[Ex GST],tbl_Finance[Job Number],A267&amp;""))</f>
        <v/>
      </c>
      <c r="G267" s="14">
        <f>IF(A267="","",IFERROR(INDEX(tbl_Finance[Cost Centre],MATCH(A267&amp;"",tbl_Finance[Job Number],0)),"not invoiced yet"))</f>
        <v/>
      </c>
      <c r="H267" s="13" t="n"/>
      <c r="I267" s="13" t="n"/>
      <c r="J267" s="45" t="n"/>
      <c r="K267" s="13" t="n"/>
      <c r="L267" s="13" t="n"/>
    </row>
    <row r="268" ht="15" customHeight="1">
      <c r="A268" s="13" t="n"/>
      <c r="B268" s="14">
        <f>IF(A268="","",IF(COUNTIF(lst_Jobs,A268&amp;"")&gt;0,"OK","CHECK"))</f>
        <v/>
      </c>
      <c r="C268" s="14">
        <f>IF(A268="","",IFERROR(INDEX(lst_JobName,MATCH(A268&amp;"",lst_Jobs,0)),""))</f>
        <v/>
      </c>
      <c r="D268" s="14">
        <f>IF(A268="","",IFERROR(INDEX(tbl_Finance[Client],MATCH(A268&amp;"",tbl_Finance[Job Number],0)),""))</f>
        <v/>
      </c>
      <c r="E268" s="44">
        <f>IF(A268="","",COUNTIFS(tbl_Finance[Job Number],A268&amp;"",tbl_Finance[Ex GST],"&lt;&gt;"))</f>
        <v/>
      </c>
      <c r="F268" s="16">
        <f>IF(A268="","",SUMIFS(tbl_Finance[Ex GST],tbl_Finance[Job Number],A268&amp;""))</f>
        <v/>
      </c>
      <c r="G268" s="14">
        <f>IF(A268="","",IFERROR(INDEX(tbl_Finance[Cost Centre],MATCH(A268&amp;"",tbl_Finance[Job Number],0)),"not invoiced yet"))</f>
        <v/>
      </c>
      <c r="H268" s="13" t="n"/>
      <c r="I268" s="13" t="n"/>
      <c r="J268" s="45" t="n"/>
      <c r="K268" s="13" t="n"/>
      <c r="L268" s="13" t="n"/>
    </row>
    <row r="269" ht="15" customHeight="1">
      <c r="A269" s="13" t="n"/>
      <c r="B269" s="14">
        <f>IF(A269="","",IF(COUNTIF(lst_Jobs,A269&amp;"")&gt;0,"OK","CHECK"))</f>
        <v/>
      </c>
      <c r="C269" s="14">
        <f>IF(A269="","",IFERROR(INDEX(lst_JobName,MATCH(A269&amp;"",lst_Jobs,0)),""))</f>
        <v/>
      </c>
      <c r="D269" s="14">
        <f>IF(A269="","",IFERROR(INDEX(tbl_Finance[Client],MATCH(A269&amp;"",tbl_Finance[Job Number],0)),""))</f>
        <v/>
      </c>
      <c r="E269" s="44">
        <f>IF(A269="","",COUNTIFS(tbl_Finance[Job Number],A269&amp;"",tbl_Finance[Ex GST],"&lt;&gt;"))</f>
        <v/>
      </c>
      <c r="F269" s="16">
        <f>IF(A269="","",SUMIFS(tbl_Finance[Ex GST],tbl_Finance[Job Number],A269&amp;""))</f>
        <v/>
      </c>
      <c r="G269" s="14">
        <f>IF(A269="","",IFERROR(INDEX(tbl_Finance[Cost Centre],MATCH(A269&amp;"",tbl_Finance[Job Number],0)),"not invoiced yet"))</f>
        <v/>
      </c>
      <c r="H269" s="13" t="n"/>
      <c r="I269" s="13" t="n"/>
      <c r="J269" s="45" t="n"/>
      <c r="K269" s="13" t="n"/>
      <c r="L269" s="13" t="n"/>
    </row>
    <row r="270" ht="15" customHeight="1">
      <c r="A270" s="13" t="n"/>
      <c r="B270" s="14">
        <f>IF(A270="","",IF(COUNTIF(lst_Jobs,A270&amp;"")&gt;0,"OK","CHECK"))</f>
        <v/>
      </c>
      <c r="C270" s="14">
        <f>IF(A270="","",IFERROR(INDEX(lst_JobName,MATCH(A270&amp;"",lst_Jobs,0)),""))</f>
        <v/>
      </c>
      <c r="D270" s="14">
        <f>IF(A270="","",IFERROR(INDEX(tbl_Finance[Client],MATCH(A270&amp;"",tbl_Finance[Job Number],0)),""))</f>
        <v/>
      </c>
      <c r="E270" s="44">
        <f>IF(A270="","",COUNTIFS(tbl_Finance[Job Number],A270&amp;"",tbl_Finance[Ex GST],"&lt;&gt;"))</f>
        <v/>
      </c>
      <c r="F270" s="16">
        <f>IF(A270="","",SUMIFS(tbl_Finance[Ex GST],tbl_Finance[Job Number],A270&amp;""))</f>
        <v/>
      </c>
      <c r="G270" s="14">
        <f>IF(A270="","",IFERROR(INDEX(tbl_Finance[Cost Centre],MATCH(A270&amp;"",tbl_Finance[Job Number],0)),"not invoiced yet"))</f>
        <v/>
      </c>
      <c r="H270" s="13" t="n"/>
      <c r="I270" s="13" t="n"/>
      <c r="J270" s="45" t="n"/>
      <c r="K270" s="13" t="n"/>
      <c r="L270" s="13" t="n"/>
    </row>
    <row r="271" ht="15" customHeight="1">
      <c r="A271" s="13" t="n"/>
      <c r="B271" s="14">
        <f>IF(A271="","",IF(COUNTIF(lst_Jobs,A271&amp;"")&gt;0,"OK","CHECK"))</f>
        <v/>
      </c>
      <c r="C271" s="14">
        <f>IF(A271="","",IFERROR(INDEX(lst_JobName,MATCH(A271&amp;"",lst_Jobs,0)),""))</f>
        <v/>
      </c>
      <c r="D271" s="14">
        <f>IF(A271="","",IFERROR(INDEX(tbl_Finance[Client],MATCH(A271&amp;"",tbl_Finance[Job Number],0)),""))</f>
        <v/>
      </c>
      <c r="E271" s="44">
        <f>IF(A271="","",COUNTIFS(tbl_Finance[Job Number],A271&amp;"",tbl_Finance[Ex GST],"&lt;&gt;"))</f>
        <v/>
      </c>
      <c r="F271" s="16">
        <f>IF(A271="","",SUMIFS(tbl_Finance[Ex GST],tbl_Finance[Job Number],A271&amp;""))</f>
        <v/>
      </c>
      <c r="G271" s="14">
        <f>IF(A271="","",IFERROR(INDEX(tbl_Finance[Cost Centre],MATCH(A271&amp;"",tbl_Finance[Job Number],0)),"not invoiced yet"))</f>
        <v/>
      </c>
      <c r="H271" s="13" t="n"/>
      <c r="I271" s="13" t="n"/>
      <c r="J271" s="45" t="n"/>
      <c r="K271" s="13" t="n"/>
      <c r="L271" s="13" t="n"/>
    </row>
    <row r="272" ht="15" customHeight="1">
      <c r="A272" s="13" t="n"/>
      <c r="B272" s="14">
        <f>IF(A272="","",IF(COUNTIF(lst_Jobs,A272&amp;"")&gt;0,"OK","CHECK"))</f>
        <v/>
      </c>
      <c r="C272" s="14">
        <f>IF(A272="","",IFERROR(INDEX(lst_JobName,MATCH(A272&amp;"",lst_Jobs,0)),""))</f>
        <v/>
      </c>
      <c r="D272" s="14">
        <f>IF(A272="","",IFERROR(INDEX(tbl_Finance[Client],MATCH(A272&amp;"",tbl_Finance[Job Number],0)),""))</f>
        <v/>
      </c>
      <c r="E272" s="44">
        <f>IF(A272="","",COUNTIFS(tbl_Finance[Job Number],A272&amp;"",tbl_Finance[Ex GST],"&lt;&gt;"))</f>
        <v/>
      </c>
      <c r="F272" s="16">
        <f>IF(A272="","",SUMIFS(tbl_Finance[Ex GST],tbl_Finance[Job Number],A272&amp;""))</f>
        <v/>
      </c>
      <c r="G272" s="14">
        <f>IF(A272="","",IFERROR(INDEX(tbl_Finance[Cost Centre],MATCH(A272&amp;"",tbl_Finance[Job Number],0)),"not invoiced yet"))</f>
        <v/>
      </c>
      <c r="H272" s="13" t="n"/>
      <c r="I272" s="13" t="n"/>
      <c r="J272" s="45" t="n"/>
      <c r="K272" s="13" t="n"/>
      <c r="L272" s="13" t="n"/>
    </row>
    <row r="273" ht="15" customHeight="1">
      <c r="A273" s="13" t="n"/>
      <c r="B273" s="14">
        <f>IF(A273="","",IF(COUNTIF(lst_Jobs,A273&amp;"")&gt;0,"OK","CHECK"))</f>
        <v/>
      </c>
      <c r="C273" s="14">
        <f>IF(A273="","",IFERROR(INDEX(lst_JobName,MATCH(A273&amp;"",lst_Jobs,0)),""))</f>
        <v/>
      </c>
      <c r="D273" s="14">
        <f>IF(A273="","",IFERROR(INDEX(tbl_Finance[Client],MATCH(A273&amp;"",tbl_Finance[Job Number],0)),""))</f>
        <v/>
      </c>
      <c r="E273" s="44">
        <f>IF(A273="","",COUNTIFS(tbl_Finance[Job Number],A273&amp;"",tbl_Finance[Ex GST],"&lt;&gt;"))</f>
        <v/>
      </c>
      <c r="F273" s="16">
        <f>IF(A273="","",SUMIFS(tbl_Finance[Ex GST],tbl_Finance[Job Number],A273&amp;""))</f>
        <v/>
      </c>
      <c r="G273" s="14">
        <f>IF(A273="","",IFERROR(INDEX(tbl_Finance[Cost Centre],MATCH(A273&amp;"",tbl_Finance[Job Number],0)),"not invoiced yet"))</f>
        <v/>
      </c>
      <c r="H273" s="13" t="n"/>
      <c r="I273" s="13" t="n"/>
      <c r="J273" s="45" t="n"/>
      <c r="K273" s="13" t="n"/>
      <c r="L273" s="13" t="n"/>
    </row>
    <row r="274" ht="15" customHeight="1">
      <c r="A274" s="13" t="n"/>
      <c r="B274" s="14">
        <f>IF(A274="","",IF(COUNTIF(lst_Jobs,A274&amp;"")&gt;0,"OK","CHECK"))</f>
        <v/>
      </c>
      <c r="C274" s="14">
        <f>IF(A274="","",IFERROR(INDEX(lst_JobName,MATCH(A274&amp;"",lst_Jobs,0)),""))</f>
        <v/>
      </c>
      <c r="D274" s="14">
        <f>IF(A274="","",IFERROR(INDEX(tbl_Finance[Client],MATCH(A274&amp;"",tbl_Finance[Job Number],0)),""))</f>
        <v/>
      </c>
      <c r="E274" s="44">
        <f>IF(A274="","",COUNTIFS(tbl_Finance[Job Number],A274&amp;"",tbl_Finance[Ex GST],"&lt;&gt;"))</f>
        <v/>
      </c>
      <c r="F274" s="16">
        <f>IF(A274="","",SUMIFS(tbl_Finance[Ex GST],tbl_Finance[Job Number],A274&amp;""))</f>
        <v/>
      </c>
      <c r="G274" s="14">
        <f>IF(A274="","",IFERROR(INDEX(tbl_Finance[Cost Centre],MATCH(A274&amp;"",tbl_Finance[Job Number],0)),"not invoiced yet"))</f>
        <v/>
      </c>
      <c r="H274" s="13" t="n"/>
      <c r="I274" s="13" t="n"/>
      <c r="J274" s="45" t="n"/>
      <c r="K274" s="13" t="n"/>
      <c r="L274" s="13" t="n"/>
    </row>
    <row r="275" ht="15" customHeight="1">
      <c r="A275" s="13" t="n"/>
      <c r="B275" s="14">
        <f>IF(A275="","",IF(COUNTIF(lst_Jobs,A275&amp;"")&gt;0,"OK","CHECK"))</f>
        <v/>
      </c>
      <c r="C275" s="14">
        <f>IF(A275="","",IFERROR(INDEX(lst_JobName,MATCH(A275&amp;"",lst_Jobs,0)),""))</f>
        <v/>
      </c>
      <c r="D275" s="14">
        <f>IF(A275="","",IFERROR(INDEX(tbl_Finance[Client],MATCH(A275&amp;"",tbl_Finance[Job Number],0)),""))</f>
        <v/>
      </c>
      <c r="E275" s="44">
        <f>IF(A275="","",COUNTIFS(tbl_Finance[Job Number],A275&amp;"",tbl_Finance[Ex GST],"&lt;&gt;"))</f>
        <v/>
      </c>
      <c r="F275" s="16">
        <f>IF(A275="","",SUMIFS(tbl_Finance[Ex GST],tbl_Finance[Job Number],A275&amp;""))</f>
        <v/>
      </c>
      <c r="G275" s="14">
        <f>IF(A275="","",IFERROR(INDEX(tbl_Finance[Cost Centre],MATCH(A275&amp;"",tbl_Finance[Job Number],0)),"not invoiced yet"))</f>
        <v/>
      </c>
      <c r="H275" s="13" t="n"/>
      <c r="I275" s="13" t="n"/>
      <c r="J275" s="45" t="n"/>
      <c r="K275" s="13" t="n"/>
      <c r="L275" s="13" t="n"/>
    </row>
    <row r="276" ht="15" customHeight="1">
      <c r="A276" s="13" t="n"/>
      <c r="B276" s="14">
        <f>IF(A276="","",IF(COUNTIF(lst_Jobs,A276&amp;"")&gt;0,"OK","CHECK"))</f>
        <v/>
      </c>
      <c r="C276" s="14">
        <f>IF(A276="","",IFERROR(INDEX(lst_JobName,MATCH(A276&amp;"",lst_Jobs,0)),""))</f>
        <v/>
      </c>
      <c r="D276" s="14">
        <f>IF(A276="","",IFERROR(INDEX(tbl_Finance[Client],MATCH(A276&amp;"",tbl_Finance[Job Number],0)),""))</f>
        <v/>
      </c>
      <c r="E276" s="44">
        <f>IF(A276="","",COUNTIFS(tbl_Finance[Job Number],A276&amp;"",tbl_Finance[Ex GST],"&lt;&gt;"))</f>
        <v/>
      </c>
      <c r="F276" s="16">
        <f>IF(A276="","",SUMIFS(tbl_Finance[Ex GST],tbl_Finance[Job Number],A276&amp;""))</f>
        <v/>
      </c>
      <c r="G276" s="14">
        <f>IF(A276="","",IFERROR(INDEX(tbl_Finance[Cost Centre],MATCH(A276&amp;"",tbl_Finance[Job Number],0)),"not invoiced yet"))</f>
        <v/>
      </c>
      <c r="H276" s="13" t="n"/>
      <c r="I276" s="13" t="n"/>
      <c r="J276" s="45" t="n"/>
      <c r="K276" s="13" t="n"/>
      <c r="L276" s="13" t="n"/>
    </row>
    <row r="277" ht="15" customHeight="1">
      <c r="A277" s="13" t="n"/>
      <c r="B277" s="14">
        <f>IF(A277="","",IF(COUNTIF(lst_Jobs,A277&amp;"")&gt;0,"OK","CHECK"))</f>
        <v/>
      </c>
      <c r="C277" s="14">
        <f>IF(A277="","",IFERROR(INDEX(lst_JobName,MATCH(A277&amp;"",lst_Jobs,0)),""))</f>
        <v/>
      </c>
      <c r="D277" s="14">
        <f>IF(A277="","",IFERROR(INDEX(tbl_Finance[Client],MATCH(A277&amp;"",tbl_Finance[Job Number],0)),""))</f>
        <v/>
      </c>
      <c r="E277" s="44">
        <f>IF(A277="","",COUNTIFS(tbl_Finance[Job Number],A277&amp;"",tbl_Finance[Ex GST],"&lt;&gt;"))</f>
        <v/>
      </c>
      <c r="F277" s="16">
        <f>IF(A277="","",SUMIFS(tbl_Finance[Ex GST],tbl_Finance[Job Number],A277&amp;""))</f>
        <v/>
      </c>
      <c r="G277" s="14">
        <f>IF(A277="","",IFERROR(INDEX(tbl_Finance[Cost Centre],MATCH(A277&amp;"",tbl_Finance[Job Number],0)),"not invoiced yet"))</f>
        <v/>
      </c>
      <c r="H277" s="13" t="n"/>
      <c r="I277" s="13" t="n"/>
      <c r="J277" s="45" t="n"/>
      <c r="K277" s="13" t="n"/>
      <c r="L277" s="13" t="n"/>
    </row>
    <row r="278" ht="15" customHeight="1">
      <c r="A278" s="13" t="n"/>
      <c r="B278" s="14">
        <f>IF(A278="","",IF(COUNTIF(lst_Jobs,A278&amp;"")&gt;0,"OK","CHECK"))</f>
        <v/>
      </c>
      <c r="C278" s="14">
        <f>IF(A278="","",IFERROR(INDEX(lst_JobName,MATCH(A278&amp;"",lst_Jobs,0)),""))</f>
        <v/>
      </c>
      <c r="D278" s="14">
        <f>IF(A278="","",IFERROR(INDEX(tbl_Finance[Client],MATCH(A278&amp;"",tbl_Finance[Job Number],0)),""))</f>
        <v/>
      </c>
      <c r="E278" s="44">
        <f>IF(A278="","",COUNTIFS(tbl_Finance[Job Number],A278&amp;"",tbl_Finance[Ex GST],"&lt;&gt;"))</f>
        <v/>
      </c>
      <c r="F278" s="16">
        <f>IF(A278="","",SUMIFS(tbl_Finance[Ex GST],tbl_Finance[Job Number],A278&amp;""))</f>
        <v/>
      </c>
      <c r="G278" s="14">
        <f>IF(A278="","",IFERROR(INDEX(tbl_Finance[Cost Centre],MATCH(A278&amp;"",tbl_Finance[Job Number],0)),"not invoiced yet"))</f>
        <v/>
      </c>
      <c r="H278" s="13" t="n"/>
      <c r="I278" s="13" t="n"/>
      <c r="J278" s="45" t="n"/>
      <c r="K278" s="13" t="n"/>
      <c r="L278" s="13" t="n"/>
    </row>
    <row r="279" ht="15" customHeight="1">
      <c r="A279" s="13" t="n"/>
      <c r="B279" s="14">
        <f>IF(A279="","",IF(COUNTIF(lst_Jobs,A279&amp;"")&gt;0,"OK","CHECK"))</f>
        <v/>
      </c>
      <c r="C279" s="14">
        <f>IF(A279="","",IFERROR(INDEX(lst_JobName,MATCH(A279&amp;"",lst_Jobs,0)),""))</f>
        <v/>
      </c>
      <c r="D279" s="14">
        <f>IF(A279="","",IFERROR(INDEX(tbl_Finance[Client],MATCH(A279&amp;"",tbl_Finance[Job Number],0)),""))</f>
        <v/>
      </c>
      <c r="E279" s="44">
        <f>IF(A279="","",COUNTIFS(tbl_Finance[Job Number],A279&amp;"",tbl_Finance[Ex GST],"&lt;&gt;"))</f>
        <v/>
      </c>
      <c r="F279" s="16">
        <f>IF(A279="","",SUMIFS(tbl_Finance[Ex GST],tbl_Finance[Job Number],A279&amp;""))</f>
        <v/>
      </c>
      <c r="G279" s="14">
        <f>IF(A279="","",IFERROR(INDEX(tbl_Finance[Cost Centre],MATCH(A279&amp;"",tbl_Finance[Job Number],0)),"not invoiced yet"))</f>
        <v/>
      </c>
      <c r="H279" s="13" t="n"/>
      <c r="I279" s="13" t="n"/>
      <c r="J279" s="45" t="n"/>
      <c r="K279" s="13" t="n"/>
      <c r="L279" s="13" t="n"/>
    </row>
    <row r="280" ht="15" customHeight="1">
      <c r="A280" s="13" t="n"/>
      <c r="B280" s="14">
        <f>IF(A280="","",IF(COUNTIF(lst_Jobs,A280&amp;"")&gt;0,"OK","CHECK"))</f>
        <v/>
      </c>
      <c r="C280" s="14">
        <f>IF(A280="","",IFERROR(INDEX(lst_JobName,MATCH(A280&amp;"",lst_Jobs,0)),""))</f>
        <v/>
      </c>
      <c r="D280" s="14">
        <f>IF(A280="","",IFERROR(INDEX(tbl_Finance[Client],MATCH(A280&amp;"",tbl_Finance[Job Number],0)),""))</f>
        <v/>
      </c>
      <c r="E280" s="44">
        <f>IF(A280="","",COUNTIFS(tbl_Finance[Job Number],A280&amp;"",tbl_Finance[Ex GST],"&lt;&gt;"))</f>
        <v/>
      </c>
      <c r="F280" s="16">
        <f>IF(A280="","",SUMIFS(tbl_Finance[Ex GST],tbl_Finance[Job Number],A280&amp;""))</f>
        <v/>
      </c>
      <c r="G280" s="14">
        <f>IF(A280="","",IFERROR(INDEX(tbl_Finance[Cost Centre],MATCH(A280&amp;"",tbl_Finance[Job Number],0)),"not invoiced yet"))</f>
        <v/>
      </c>
      <c r="H280" s="13" t="n"/>
      <c r="I280" s="13" t="n"/>
      <c r="J280" s="45" t="n"/>
      <c r="K280" s="13" t="n"/>
      <c r="L280" s="13" t="n"/>
    </row>
    <row r="281" ht="15" customHeight="1">
      <c r="A281" s="13" t="n"/>
      <c r="B281" s="14">
        <f>IF(A281="","",IF(COUNTIF(lst_Jobs,A281&amp;"")&gt;0,"OK","CHECK"))</f>
        <v/>
      </c>
      <c r="C281" s="14">
        <f>IF(A281="","",IFERROR(INDEX(lst_JobName,MATCH(A281&amp;"",lst_Jobs,0)),""))</f>
        <v/>
      </c>
      <c r="D281" s="14">
        <f>IF(A281="","",IFERROR(INDEX(tbl_Finance[Client],MATCH(A281&amp;"",tbl_Finance[Job Number],0)),""))</f>
        <v/>
      </c>
      <c r="E281" s="44">
        <f>IF(A281="","",COUNTIFS(tbl_Finance[Job Number],A281&amp;"",tbl_Finance[Ex GST],"&lt;&gt;"))</f>
        <v/>
      </c>
      <c r="F281" s="16">
        <f>IF(A281="","",SUMIFS(tbl_Finance[Ex GST],tbl_Finance[Job Number],A281&amp;""))</f>
        <v/>
      </c>
      <c r="G281" s="14">
        <f>IF(A281="","",IFERROR(INDEX(tbl_Finance[Cost Centre],MATCH(A281&amp;"",tbl_Finance[Job Number],0)),"not invoiced yet"))</f>
        <v/>
      </c>
      <c r="H281" s="13" t="n"/>
      <c r="I281" s="13" t="n"/>
      <c r="J281" s="45" t="n"/>
      <c r="K281" s="13" t="n"/>
      <c r="L281" s="13" t="n"/>
    </row>
    <row r="282" ht="15" customHeight="1">
      <c r="A282" s="13" t="n"/>
      <c r="B282" s="14">
        <f>IF(A282="","",IF(COUNTIF(lst_Jobs,A282&amp;"")&gt;0,"OK","CHECK"))</f>
        <v/>
      </c>
      <c r="C282" s="14">
        <f>IF(A282="","",IFERROR(INDEX(lst_JobName,MATCH(A282&amp;"",lst_Jobs,0)),""))</f>
        <v/>
      </c>
      <c r="D282" s="14">
        <f>IF(A282="","",IFERROR(INDEX(tbl_Finance[Client],MATCH(A282&amp;"",tbl_Finance[Job Number],0)),""))</f>
        <v/>
      </c>
      <c r="E282" s="44">
        <f>IF(A282="","",COUNTIFS(tbl_Finance[Job Number],A282&amp;"",tbl_Finance[Ex GST],"&lt;&gt;"))</f>
        <v/>
      </c>
      <c r="F282" s="16">
        <f>IF(A282="","",SUMIFS(tbl_Finance[Ex GST],tbl_Finance[Job Number],A282&amp;""))</f>
        <v/>
      </c>
      <c r="G282" s="14">
        <f>IF(A282="","",IFERROR(INDEX(tbl_Finance[Cost Centre],MATCH(A282&amp;"",tbl_Finance[Job Number],0)),"not invoiced yet"))</f>
        <v/>
      </c>
      <c r="H282" s="13" t="n"/>
      <c r="I282" s="13" t="n"/>
      <c r="J282" s="45" t="n"/>
      <c r="K282" s="13" t="n"/>
      <c r="L282" s="13" t="n"/>
    </row>
    <row r="283" ht="15" customHeight="1">
      <c r="A283" s="13" t="n"/>
      <c r="B283" s="14">
        <f>IF(A283="","",IF(COUNTIF(lst_Jobs,A283&amp;"")&gt;0,"OK","CHECK"))</f>
        <v/>
      </c>
      <c r="C283" s="14">
        <f>IF(A283="","",IFERROR(INDEX(lst_JobName,MATCH(A283&amp;"",lst_Jobs,0)),""))</f>
        <v/>
      </c>
      <c r="D283" s="14">
        <f>IF(A283="","",IFERROR(INDEX(tbl_Finance[Client],MATCH(A283&amp;"",tbl_Finance[Job Number],0)),""))</f>
        <v/>
      </c>
      <c r="E283" s="44">
        <f>IF(A283="","",COUNTIFS(tbl_Finance[Job Number],A283&amp;"",tbl_Finance[Ex GST],"&lt;&gt;"))</f>
        <v/>
      </c>
      <c r="F283" s="16">
        <f>IF(A283="","",SUMIFS(tbl_Finance[Ex GST],tbl_Finance[Job Number],A283&amp;""))</f>
        <v/>
      </c>
      <c r="G283" s="14">
        <f>IF(A283="","",IFERROR(INDEX(tbl_Finance[Cost Centre],MATCH(A283&amp;"",tbl_Finance[Job Number],0)),"not invoiced yet"))</f>
        <v/>
      </c>
      <c r="H283" s="13" t="n"/>
      <c r="I283" s="13" t="n"/>
      <c r="J283" s="45" t="n"/>
      <c r="K283" s="13" t="n"/>
      <c r="L283" s="13" t="n"/>
    </row>
    <row r="284" ht="15" customHeight="1">
      <c r="A284" s="13" t="n"/>
      <c r="B284" s="14">
        <f>IF(A284="","",IF(COUNTIF(lst_Jobs,A284&amp;"")&gt;0,"OK","CHECK"))</f>
        <v/>
      </c>
      <c r="C284" s="14">
        <f>IF(A284="","",IFERROR(INDEX(lst_JobName,MATCH(A284&amp;"",lst_Jobs,0)),""))</f>
        <v/>
      </c>
      <c r="D284" s="14">
        <f>IF(A284="","",IFERROR(INDEX(tbl_Finance[Client],MATCH(A284&amp;"",tbl_Finance[Job Number],0)),""))</f>
        <v/>
      </c>
      <c r="E284" s="44">
        <f>IF(A284="","",COUNTIFS(tbl_Finance[Job Number],A284&amp;"",tbl_Finance[Ex GST],"&lt;&gt;"))</f>
        <v/>
      </c>
      <c r="F284" s="16">
        <f>IF(A284="","",SUMIFS(tbl_Finance[Ex GST],tbl_Finance[Job Number],A284&amp;""))</f>
        <v/>
      </c>
      <c r="G284" s="14">
        <f>IF(A284="","",IFERROR(INDEX(tbl_Finance[Cost Centre],MATCH(A284&amp;"",tbl_Finance[Job Number],0)),"not invoiced yet"))</f>
        <v/>
      </c>
      <c r="H284" s="13" t="n"/>
      <c r="I284" s="13" t="n"/>
      <c r="J284" s="45" t="n"/>
      <c r="K284" s="13" t="n"/>
      <c r="L284" s="13" t="n"/>
    </row>
    <row r="285" ht="15" customHeight="1">
      <c r="A285" s="13" t="n"/>
      <c r="B285" s="14">
        <f>IF(A285="","",IF(COUNTIF(lst_Jobs,A285&amp;"")&gt;0,"OK","CHECK"))</f>
        <v/>
      </c>
      <c r="C285" s="14">
        <f>IF(A285="","",IFERROR(INDEX(lst_JobName,MATCH(A285&amp;"",lst_Jobs,0)),""))</f>
        <v/>
      </c>
      <c r="D285" s="14">
        <f>IF(A285="","",IFERROR(INDEX(tbl_Finance[Client],MATCH(A285&amp;"",tbl_Finance[Job Number],0)),""))</f>
        <v/>
      </c>
      <c r="E285" s="44">
        <f>IF(A285="","",COUNTIFS(tbl_Finance[Job Number],A285&amp;"",tbl_Finance[Ex GST],"&lt;&gt;"))</f>
        <v/>
      </c>
      <c r="F285" s="16">
        <f>IF(A285="","",SUMIFS(tbl_Finance[Ex GST],tbl_Finance[Job Number],A285&amp;""))</f>
        <v/>
      </c>
      <c r="G285" s="14">
        <f>IF(A285="","",IFERROR(INDEX(tbl_Finance[Cost Centre],MATCH(A285&amp;"",tbl_Finance[Job Number],0)),"not invoiced yet"))</f>
        <v/>
      </c>
      <c r="H285" s="13" t="n"/>
      <c r="I285" s="13" t="n"/>
      <c r="J285" s="45" t="n"/>
      <c r="K285" s="13" t="n"/>
      <c r="L285" s="13" t="n"/>
    </row>
    <row r="286" ht="15" customHeight="1">
      <c r="A286" s="13" t="n"/>
      <c r="B286" s="14">
        <f>IF(A286="","",IF(COUNTIF(lst_Jobs,A286&amp;"")&gt;0,"OK","CHECK"))</f>
        <v/>
      </c>
      <c r="C286" s="14">
        <f>IF(A286="","",IFERROR(INDEX(lst_JobName,MATCH(A286&amp;"",lst_Jobs,0)),""))</f>
        <v/>
      </c>
      <c r="D286" s="14">
        <f>IF(A286="","",IFERROR(INDEX(tbl_Finance[Client],MATCH(A286&amp;"",tbl_Finance[Job Number],0)),""))</f>
        <v/>
      </c>
      <c r="E286" s="44">
        <f>IF(A286="","",COUNTIFS(tbl_Finance[Job Number],A286&amp;"",tbl_Finance[Ex GST],"&lt;&gt;"))</f>
        <v/>
      </c>
      <c r="F286" s="16">
        <f>IF(A286="","",SUMIFS(tbl_Finance[Ex GST],tbl_Finance[Job Number],A286&amp;""))</f>
        <v/>
      </c>
      <c r="G286" s="14">
        <f>IF(A286="","",IFERROR(INDEX(tbl_Finance[Cost Centre],MATCH(A286&amp;"",tbl_Finance[Job Number],0)),"not invoiced yet"))</f>
        <v/>
      </c>
      <c r="H286" s="13" t="n"/>
      <c r="I286" s="13" t="n"/>
      <c r="J286" s="45" t="n"/>
      <c r="K286" s="13" t="n"/>
      <c r="L286" s="13" t="n"/>
    </row>
    <row r="287" ht="15" customHeight="1">
      <c r="A287" s="13" t="n"/>
      <c r="B287" s="14">
        <f>IF(A287="","",IF(COUNTIF(lst_Jobs,A287&amp;"")&gt;0,"OK","CHECK"))</f>
        <v/>
      </c>
      <c r="C287" s="14">
        <f>IF(A287="","",IFERROR(INDEX(lst_JobName,MATCH(A287&amp;"",lst_Jobs,0)),""))</f>
        <v/>
      </c>
      <c r="D287" s="14">
        <f>IF(A287="","",IFERROR(INDEX(tbl_Finance[Client],MATCH(A287&amp;"",tbl_Finance[Job Number],0)),""))</f>
        <v/>
      </c>
      <c r="E287" s="44">
        <f>IF(A287="","",COUNTIFS(tbl_Finance[Job Number],A287&amp;"",tbl_Finance[Ex GST],"&lt;&gt;"))</f>
        <v/>
      </c>
      <c r="F287" s="16">
        <f>IF(A287="","",SUMIFS(tbl_Finance[Ex GST],tbl_Finance[Job Number],A287&amp;""))</f>
        <v/>
      </c>
      <c r="G287" s="14">
        <f>IF(A287="","",IFERROR(INDEX(tbl_Finance[Cost Centre],MATCH(A287&amp;"",tbl_Finance[Job Number],0)),"not invoiced yet"))</f>
        <v/>
      </c>
      <c r="H287" s="13" t="n"/>
      <c r="I287" s="13" t="n"/>
      <c r="J287" s="45" t="n"/>
      <c r="K287" s="13" t="n"/>
      <c r="L287" s="13" t="n"/>
    </row>
    <row r="288" ht="15" customHeight="1">
      <c r="A288" s="13" t="n"/>
      <c r="B288" s="14">
        <f>IF(A288="","",IF(COUNTIF(lst_Jobs,A288&amp;"")&gt;0,"OK","CHECK"))</f>
        <v/>
      </c>
      <c r="C288" s="14">
        <f>IF(A288="","",IFERROR(INDEX(lst_JobName,MATCH(A288&amp;"",lst_Jobs,0)),""))</f>
        <v/>
      </c>
      <c r="D288" s="14">
        <f>IF(A288="","",IFERROR(INDEX(tbl_Finance[Client],MATCH(A288&amp;"",tbl_Finance[Job Number],0)),""))</f>
        <v/>
      </c>
      <c r="E288" s="44">
        <f>IF(A288="","",COUNTIFS(tbl_Finance[Job Number],A288&amp;"",tbl_Finance[Ex GST],"&lt;&gt;"))</f>
        <v/>
      </c>
      <c r="F288" s="16">
        <f>IF(A288="","",SUMIFS(tbl_Finance[Ex GST],tbl_Finance[Job Number],A288&amp;""))</f>
        <v/>
      </c>
      <c r="G288" s="14">
        <f>IF(A288="","",IFERROR(INDEX(tbl_Finance[Cost Centre],MATCH(A288&amp;"",tbl_Finance[Job Number],0)),"not invoiced yet"))</f>
        <v/>
      </c>
      <c r="H288" s="13" t="n"/>
      <c r="I288" s="13" t="n"/>
      <c r="J288" s="45" t="n"/>
      <c r="K288" s="13" t="n"/>
      <c r="L288" s="13" t="n"/>
    </row>
    <row r="289" ht="15" customHeight="1">
      <c r="A289" s="13" t="n"/>
      <c r="B289" s="14">
        <f>IF(A289="","",IF(COUNTIF(lst_Jobs,A289&amp;"")&gt;0,"OK","CHECK"))</f>
        <v/>
      </c>
      <c r="C289" s="14">
        <f>IF(A289="","",IFERROR(INDEX(lst_JobName,MATCH(A289&amp;"",lst_Jobs,0)),""))</f>
        <v/>
      </c>
      <c r="D289" s="14">
        <f>IF(A289="","",IFERROR(INDEX(tbl_Finance[Client],MATCH(A289&amp;"",tbl_Finance[Job Number],0)),""))</f>
        <v/>
      </c>
      <c r="E289" s="44">
        <f>IF(A289="","",COUNTIFS(tbl_Finance[Job Number],A289&amp;"",tbl_Finance[Ex GST],"&lt;&gt;"))</f>
        <v/>
      </c>
      <c r="F289" s="16">
        <f>IF(A289="","",SUMIFS(tbl_Finance[Ex GST],tbl_Finance[Job Number],A289&amp;""))</f>
        <v/>
      </c>
      <c r="G289" s="14">
        <f>IF(A289="","",IFERROR(INDEX(tbl_Finance[Cost Centre],MATCH(A289&amp;"",tbl_Finance[Job Number],0)),"not invoiced yet"))</f>
        <v/>
      </c>
      <c r="H289" s="13" t="n"/>
      <c r="I289" s="13" t="n"/>
      <c r="J289" s="45" t="n"/>
      <c r="K289" s="13" t="n"/>
      <c r="L289" s="13" t="n"/>
    </row>
    <row r="290" ht="15" customHeight="1">
      <c r="A290" s="13" t="n"/>
      <c r="B290" s="14">
        <f>IF(A290="","",IF(COUNTIF(lst_Jobs,A290&amp;"")&gt;0,"OK","CHECK"))</f>
        <v/>
      </c>
      <c r="C290" s="14">
        <f>IF(A290="","",IFERROR(INDEX(lst_JobName,MATCH(A290&amp;"",lst_Jobs,0)),""))</f>
        <v/>
      </c>
      <c r="D290" s="14">
        <f>IF(A290="","",IFERROR(INDEX(tbl_Finance[Client],MATCH(A290&amp;"",tbl_Finance[Job Number],0)),""))</f>
        <v/>
      </c>
      <c r="E290" s="44">
        <f>IF(A290="","",COUNTIFS(tbl_Finance[Job Number],A290&amp;"",tbl_Finance[Ex GST],"&lt;&gt;"))</f>
        <v/>
      </c>
      <c r="F290" s="16">
        <f>IF(A290="","",SUMIFS(tbl_Finance[Ex GST],tbl_Finance[Job Number],A290&amp;""))</f>
        <v/>
      </c>
      <c r="G290" s="14">
        <f>IF(A290="","",IFERROR(INDEX(tbl_Finance[Cost Centre],MATCH(A290&amp;"",tbl_Finance[Job Number],0)),"not invoiced yet"))</f>
        <v/>
      </c>
      <c r="H290" s="13" t="n"/>
      <c r="I290" s="13" t="n"/>
      <c r="J290" s="45" t="n"/>
      <c r="K290" s="13" t="n"/>
      <c r="L290" s="13" t="n"/>
    </row>
    <row r="291" ht="15" customHeight="1">
      <c r="A291" s="13" t="n"/>
      <c r="B291" s="14">
        <f>IF(A291="","",IF(COUNTIF(lst_Jobs,A291&amp;"")&gt;0,"OK","CHECK"))</f>
        <v/>
      </c>
      <c r="C291" s="14">
        <f>IF(A291="","",IFERROR(INDEX(lst_JobName,MATCH(A291&amp;"",lst_Jobs,0)),""))</f>
        <v/>
      </c>
      <c r="D291" s="14">
        <f>IF(A291="","",IFERROR(INDEX(tbl_Finance[Client],MATCH(A291&amp;"",tbl_Finance[Job Number],0)),""))</f>
        <v/>
      </c>
      <c r="E291" s="44">
        <f>IF(A291="","",COUNTIFS(tbl_Finance[Job Number],A291&amp;"",tbl_Finance[Ex GST],"&lt;&gt;"))</f>
        <v/>
      </c>
      <c r="F291" s="16">
        <f>IF(A291="","",SUMIFS(tbl_Finance[Ex GST],tbl_Finance[Job Number],A291&amp;""))</f>
        <v/>
      </c>
      <c r="G291" s="14">
        <f>IF(A291="","",IFERROR(INDEX(tbl_Finance[Cost Centre],MATCH(A291&amp;"",tbl_Finance[Job Number],0)),"not invoiced yet"))</f>
        <v/>
      </c>
      <c r="H291" s="13" t="n"/>
      <c r="I291" s="13" t="n"/>
      <c r="J291" s="45" t="n"/>
      <c r="K291" s="13" t="n"/>
      <c r="L291" s="13" t="n"/>
    </row>
    <row r="292" ht="15" customHeight="1">
      <c r="A292" s="13" t="n"/>
      <c r="B292" s="14">
        <f>IF(A292="","",IF(COUNTIF(lst_Jobs,A292&amp;"")&gt;0,"OK","CHECK"))</f>
        <v/>
      </c>
      <c r="C292" s="14">
        <f>IF(A292="","",IFERROR(INDEX(lst_JobName,MATCH(A292&amp;"",lst_Jobs,0)),""))</f>
        <v/>
      </c>
      <c r="D292" s="14">
        <f>IF(A292="","",IFERROR(INDEX(tbl_Finance[Client],MATCH(A292&amp;"",tbl_Finance[Job Number],0)),""))</f>
        <v/>
      </c>
      <c r="E292" s="44">
        <f>IF(A292="","",COUNTIFS(tbl_Finance[Job Number],A292&amp;"",tbl_Finance[Ex GST],"&lt;&gt;"))</f>
        <v/>
      </c>
      <c r="F292" s="16">
        <f>IF(A292="","",SUMIFS(tbl_Finance[Ex GST],tbl_Finance[Job Number],A292&amp;""))</f>
        <v/>
      </c>
      <c r="G292" s="14">
        <f>IF(A292="","",IFERROR(INDEX(tbl_Finance[Cost Centre],MATCH(A292&amp;"",tbl_Finance[Job Number],0)),"not invoiced yet"))</f>
        <v/>
      </c>
      <c r="H292" s="13" t="n"/>
      <c r="I292" s="13" t="n"/>
      <c r="J292" s="45" t="n"/>
      <c r="K292" s="13" t="n"/>
      <c r="L292" s="13" t="n"/>
    </row>
    <row r="293" ht="15" customHeight="1">
      <c r="A293" s="13" t="n"/>
      <c r="B293" s="14">
        <f>IF(A293="","",IF(COUNTIF(lst_Jobs,A293&amp;"")&gt;0,"OK","CHECK"))</f>
        <v/>
      </c>
      <c r="C293" s="14">
        <f>IF(A293="","",IFERROR(INDEX(lst_JobName,MATCH(A293&amp;"",lst_Jobs,0)),""))</f>
        <v/>
      </c>
      <c r="D293" s="14">
        <f>IF(A293="","",IFERROR(INDEX(tbl_Finance[Client],MATCH(A293&amp;"",tbl_Finance[Job Number],0)),""))</f>
        <v/>
      </c>
      <c r="E293" s="44">
        <f>IF(A293="","",COUNTIFS(tbl_Finance[Job Number],A293&amp;"",tbl_Finance[Ex GST],"&lt;&gt;"))</f>
        <v/>
      </c>
      <c r="F293" s="16">
        <f>IF(A293="","",SUMIFS(tbl_Finance[Ex GST],tbl_Finance[Job Number],A293&amp;""))</f>
        <v/>
      </c>
      <c r="G293" s="14">
        <f>IF(A293="","",IFERROR(INDEX(tbl_Finance[Cost Centre],MATCH(A293&amp;"",tbl_Finance[Job Number],0)),"not invoiced yet"))</f>
        <v/>
      </c>
      <c r="H293" s="13" t="n"/>
      <c r="I293" s="13" t="n"/>
      <c r="J293" s="45" t="n"/>
      <c r="K293" s="13" t="n"/>
      <c r="L293" s="13" t="n"/>
    </row>
    <row r="294" ht="15" customHeight="1">
      <c r="A294" s="13" t="n"/>
      <c r="B294" s="14">
        <f>IF(A294="","",IF(COUNTIF(lst_Jobs,A294&amp;"")&gt;0,"OK","CHECK"))</f>
        <v/>
      </c>
      <c r="C294" s="14">
        <f>IF(A294="","",IFERROR(INDEX(lst_JobName,MATCH(A294&amp;"",lst_Jobs,0)),""))</f>
        <v/>
      </c>
      <c r="D294" s="14">
        <f>IF(A294="","",IFERROR(INDEX(tbl_Finance[Client],MATCH(A294&amp;"",tbl_Finance[Job Number],0)),""))</f>
        <v/>
      </c>
      <c r="E294" s="44">
        <f>IF(A294="","",COUNTIFS(tbl_Finance[Job Number],A294&amp;"",tbl_Finance[Ex GST],"&lt;&gt;"))</f>
        <v/>
      </c>
      <c r="F294" s="16">
        <f>IF(A294="","",SUMIFS(tbl_Finance[Ex GST],tbl_Finance[Job Number],A294&amp;""))</f>
        <v/>
      </c>
      <c r="G294" s="14">
        <f>IF(A294="","",IFERROR(INDEX(tbl_Finance[Cost Centre],MATCH(A294&amp;"",tbl_Finance[Job Number],0)),"not invoiced yet"))</f>
        <v/>
      </c>
      <c r="H294" s="13" t="n"/>
      <c r="I294" s="13" t="n"/>
      <c r="J294" s="45" t="n"/>
      <c r="K294" s="13" t="n"/>
      <c r="L294" s="13" t="n"/>
    </row>
    <row r="295" ht="15" customHeight="1">
      <c r="A295" s="13" t="n"/>
      <c r="B295" s="14">
        <f>IF(A295="","",IF(COUNTIF(lst_Jobs,A295&amp;"")&gt;0,"OK","CHECK"))</f>
        <v/>
      </c>
      <c r="C295" s="14">
        <f>IF(A295="","",IFERROR(INDEX(lst_JobName,MATCH(A295&amp;"",lst_Jobs,0)),""))</f>
        <v/>
      </c>
      <c r="D295" s="14">
        <f>IF(A295="","",IFERROR(INDEX(tbl_Finance[Client],MATCH(A295&amp;"",tbl_Finance[Job Number],0)),""))</f>
        <v/>
      </c>
      <c r="E295" s="44">
        <f>IF(A295="","",COUNTIFS(tbl_Finance[Job Number],A295&amp;"",tbl_Finance[Ex GST],"&lt;&gt;"))</f>
        <v/>
      </c>
      <c r="F295" s="16">
        <f>IF(A295="","",SUMIFS(tbl_Finance[Ex GST],tbl_Finance[Job Number],A295&amp;""))</f>
        <v/>
      </c>
      <c r="G295" s="14">
        <f>IF(A295="","",IFERROR(INDEX(tbl_Finance[Cost Centre],MATCH(A295&amp;"",tbl_Finance[Job Number],0)),"not invoiced yet"))</f>
        <v/>
      </c>
      <c r="H295" s="13" t="n"/>
      <c r="I295" s="13" t="n"/>
      <c r="J295" s="45" t="n"/>
      <c r="K295" s="13" t="n"/>
      <c r="L295" s="13" t="n"/>
    </row>
    <row r="296" ht="15" customHeight="1">
      <c r="A296" s="13" t="n"/>
      <c r="B296" s="14">
        <f>IF(A296="","",IF(COUNTIF(lst_Jobs,A296&amp;"")&gt;0,"OK","CHECK"))</f>
        <v/>
      </c>
      <c r="C296" s="14">
        <f>IF(A296="","",IFERROR(INDEX(lst_JobName,MATCH(A296&amp;"",lst_Jobs,0)),""))</f>
        <v/>
      </c>
      <c r="D296" s="14">
        <f>IF(A296="","",IFERROR(INDEX(tbl_Finance[Client],MATCH(A296&amp;"",tbl_Finance[Job Number],0)),""))</f>
        <v/>
      </c>
      <c r="E296" s="44">
        <f>IF(A296="","",COUNTIFS(tbl_Finance[Job Number],A296&amp;"",tbl_Finance[Ex GST],"&lt;&gt;"))</f>
        <v/>
      </c>
      <c r="F296" s="16">
        <f>IF(A296="","",SUMIFS(tbl_Finance[Ex GST],tbl_Finance[Job Number],A296&amp;""))</f>
        <v/>
      </c>
      <c r="G296" s="14">
        <f>IF(A296="","",IFERROR(INDEX(tbl_Finance[Cost Centre],MATCH(A296&amp;"",tbl_Finance[Job Number],0)),"not invoiced yet"))</f>
        <v/>
      </c>
      <c r="H296" s="13" t="n"/>
      <c r="I296" s="13" t="n"/>
      <c r="J296" s="45" t="n"/>
      <c r="K296" s="13" t="n"/>
      <c r="L296" s="13" t="n"/>
    </row>
    <row r="297" ht="15" customHeight="1">
      <c r="A297" s="13" t="n"/>
      <c r="B297" s="14">
        <f>IF(A297="","",IF(COUNTIF(lst_Jobs,A297&amp;"")&gt;0,"OK","CHECK"))</f>
        <v/>
      </c>
      <c r="C297" s="14">
        <f>IF(A297="","",IFERROR(INDEX(lst_JobName,MATCH(A297&amp;"",lst_Jobs,0)),""))</f>
        <v/>
      </c>
      <c r="D297" s="14">
        <f>IF(A297="","",IFERROR(INDEX(tbl_Finance[Client],MATCH(A297&amp;"",tbl_Finance[Job Number],0)),""))</f>
        <v/>
      </c>
      <c r="E297" s="44">
        <f>IF(A297="","",COUNTIFS(tbl_Finance[Job Number],A297&amp;"",tbl_Finance[Ex GST],"&lt;&gt;"))</f>
        <v/>
      </c>
      <c r="F297" s="16">
        <f>IF(A297="","",SUMIFS(tbl_Finance[Ex GST],tbl_Finance[Job Number],A297&amp;""))</f>
        <v/>
      </c>
      <c r="G297" s="14">
        <f>IF(A297="","",IFERROR(INDEX(tbl_Finance[Cost Centre],MATCH(A297&amp;"",tbl_Finance[Job Number],0)),"not invoiced yet"))</f>
        <v/>
      </c>
      <c r="H297" s="13" t="n"/>
      <c r="I297" s="13" t="n"/>
      <c r="J297" s="45" t="n"/>
      <c r="K297" s="13" t="n"/>
      <c r="L297" s="13" t="n"/>
    </row>
    <row r="298" ht="15" customHeight="1">
      <c r="A298" s="13" t="n"/>
      <c r="B298" s="14">
        <f>IF(A298="","",IF(COUNTIF(lst_Jobs,A298&amp;"")&gt;0,"OK","CHECK"))</f>
        <v/>
      </c>
      <c r="C298" s="14">
        <f>IF(A298="","",IFERROR(INDEX(lst_JobName,MATCH(A298&amp;"",lst_Jobs,0)),""))</f>
        <v/>
      </c>
      <c r="D298" s="14">
        <f>IF(A298="","",IFERROR(INDEX(tbl_Finance[Client],MATCH(A298&amp;"",tbl_Finance[Job Number],0)),""))</f>
        <v/>
      </c>
      <c r="E298" s="44">
        <f>IF(A298="","",COUNTIFS(tbl_Finance[Job Number],A298&amp;"",tbl_Finance[Ex GST],"&lt;&gt;"))</f>
        <v/>
      </c>
      <c r="F298" s="16">
        <f>IF(A298="","",SUMIFS(tbl_Finance[Ex GST],tbl_Finance[Job Number],A298&amp;""))</f>
        <v/>
      </c>
      <c r="G298" s="14">
        <f>IF(A298="","",IFERROR(INDEX(tbl_Finance[Cost Centre],MATCH(A298&amp;"",tbl_Finance[Job Number],0)),"not invoiced yet"))</f>
        <v/>
      </c>
      <c r="H298" s="13" t="n"/>
      <c r="I298" s="13" t="n"/>
      <c r="J298" s="45" t="n"/>
      <c r="K298" s="13" t="n"/>
      <c r="L298" s="13" t="n"/>
    </row>
    <row r="299" ht="15" customHeight="1">
      <c r="A299" s="13" t="n"/>
      <c r="B299" s="14">
        <f>IF(A299="","",IF(COUNTIF(lst_Jobs,A299&amp;"")&gt;0,"OK","CHECK"))</f>
        <v/>
      </c>
      <c r="C299" s="14">
        <f>IF(A299="","",IFERROR(INDEX(lst_JobName,MATCH(A299&amp;"",lst_Jobs,0)),""))</f>
        <v/>
      </c>
      <c r="D299" s="14">
        <f>IF(A299="","",IFERROR(INDEX(tbl_Finance[Client],MATCH(A299&amp;"",tbl_Finance[Job Number],0)),""))</f>
        <v/>
      </c>
      <c r="E299" s="44">
        <f>IF(A299="","",COUNTIFS(tbl_Finance[Job Number],A299&amp;"",tbl_Finance[Ex GST],"&lt;&gt;"))</f>
        <v/>
      </c>
      <c r="F299" s="16">
        <f>IF(A299="","",SUMIFS(tbl_Finance[Ex GST],tbl_Finance[Job Number],A299&amp;""))</f>
        <v/>
      </c>
      <c r="G299" s="14">
        <f>IF(A299="","",IFERROR(INDEX(tbl_Finance[Cost Centre],MATCH(A299&amp;"",tbl_Finance[Job Number],0)),"not invoiced yet"))</f>
        <v/>
      </c>
      <c r="H299" s="13" t="n"/>
      <c r="I299" s="13" t="n"/>
      <c r="J299" s="45" t="n"/>
      <c r="K299" s="13" t="n"/>
      <c r="L299" s="13" t="n"/>
    </row>
    <row r="300" ht="15" customHeight="1">
      <c r="A300" s="13" t="n"/>
      <c r="B300" s="14">
        <f>IF(A300="","",IF(COUNTIF(lst_Jobs,A300&amp;"")&gt;0,"OK","CHECK"))</f>
        <v/>
      </c>
      <c r="C300" s="14">
        <f>IF(A300="","",IFERROR(INDEX(lst_JobName,MATCH(A300&amp;"",lst_Jobs,0)),""))</f>
        <v/>
      </c>
      <c r="D300" s="14">
        <f>IF(A300="","",IFERROR(INDEX(tbl_Finance[Client],MATCH(A300&amp;"",tbl_Finance[Job Number],0)),""))</f>
        <v/>
      </c>
      <c r="E300" s="44">
        <f>IF(A300="","",COUNTIFS(tbl_Finance[Job Number],A300&amp;"",tbl_Finance[Ex GST],"&lt;&gt;"))</f>
        <v/>
      </c>
      <c r="F300" s="16">
        <f>IF(A300="","",SUMIFS(tbl_Finance[Ex GST],tbl_Finance[Job Number],A300&amp;""))</f>
        <v/>
      </c>
      <c r="G300" s="14">
        <f>IF(A300="","",IFERROR(INDEX(tbl_Finance[Cost Centre],MATCH(A300&amp;"",tbl_Finance[Job Number],0)),"not invoiced yet"))</f>
        <v/>
      </c>
      <c r="H300" s="13" t="n"/>
      <c r="I300" s="13" t="n"/>
      <c r="J300" s="45" t="n"/>
      <c r="K300" s="13" t="n"/>
      <c r="L300" s="13" t="n"/>
    </row>
    <row r="301" ht="15" customHeight="1">
      <c r="A301" s="13" t="n"/>
      <c r="B301" s="14">
        <f>IF(A301="","",IF(COUNTIF(lst_Jobs,A301&amp;"")&gt;0,"OK","CHECK"))</f>
        <v/>
      </c>
      <c r="C301" s="14">
        <f>IF(A301="","",IFERROR(INDEX(lst_JobName,MATCH(A301&amp;"",lst_Jobs,0)),""))</f>
        <v/>
      </c>
      <c r="D301" s="14">
        <f>IF(A301="","",IFERROR(INDEX(tbl_Finance[Client],MATCH(A301&amp;"",tbl_Finance[Job Number],0)),""))</f>
        <v/>
      </c>
      <c r="E301" s="44">
        <f>IF(A301="","",COUNTIFS(tbl_Finance[Job Number],A301&amp;"",tbl_Finance[Ex GST],"&lt;&gt;"))</f>
        <v/>
      </c>
      <c r="F301" s="16">
        <f>IF(A301="","",SUMIFS(tbl_Finance[Ex GST],tbl_Finance[Job Number],A301&amp;""))</f>
        <v/>
      </c>
      <c r="G301" s="14">
        <f>IF(A301="","",IFERROR(INDEX(tbl_Finance[Cost Centre],MATCH(A301&amp;"",tbl_Finance[Job Number],0)),"not invoiced yet"))</f>
        <v/>
      </c>
      <c r="H301" s="13" t="n"/>
      <c r="I301" s="13" t="n"/>
      <c r="J301" s="45" t="n"/>
      <c r="K301" s="13" t="n"/>
      <c r="L301" s="13" t="n"/>
    </row>
    <row r="302" ht="15" customHeight="1">
      <c r="A302" s="13" t="n"/>
      <c r="B302" s="14">
        <f>IF(A302="","",IF(COUNTIF(lst_Jobs,A302&amp;"")&gt;0,"OK","CHECK"))</f>
        <v/>
      </c>
      <c r="C302" s="14">
        <f>IF(A302="","",IFERROR(INDEX(lst_JobName,MATCH(A302&amp;"",lst_Jobs,0)),""))</f>
        <v/>
      </c>
      <c r="D302" s="14">
        <f>IF(A302="","",IFERROR(INDEX(tbl_Finance[Client],MATCH(A302&amp;"",tbl_Finance[Job Number],0)),""))</f>
        <v/>
      </c>
      <c r="E302" s="44">
        <f>IF(A302="","",COUNTIFS(tbl_Finance[Job Number],A302&amp;"",tbl_Finance[Ex GST],"&lt;&gt;"))</f>
        <v/>
      </c>
      <c r="F302" s="16">
        <f>IF(A302="","",SUMIFS(tbl_Finance[Ex GST],tbl_Finance[Job Number],A302&amp;""))</f>
        <v/>
      </c>
      <c r="G302" s="14">
        <f>IF(A302="","",IFERROR(INDEX(tbl_Finance[Cost Centre],MATCH(A302&amp;"",tbl_Finance[Job Number],0)),"not invoiced yet"))</f>
        <v/>
      </c>
      <c r="H302" s="13" t="n"/>
      <c r="I302" s="13" t="n"/>
      <c r="J302" s="45" t="n"/>
      <c r="K302" s="13" t="n"/>
      <c r="L302" s="13" t="n"/>
    </row>
    <row r="303" ht="15" customHeight="1">
      <c r="A303" s="13" t="n"/>
      <c r="B303" s="14">
        <f>IF(A303="","",IF(COUNTIF(lst_Jobs,A303&amp;"")&gt;0,"OK","CHECK"))</f>
        <v/>
      </c>
      <c r="C303" s="14">
        <f>IF(A303="","",IFERROR(INDEX(lst_JobName,MATCH(A303&amp;"",lst_Jobs,0)),""))</f>
        <v/>
      </c>
      <c r="D303" s="14">
        <f>IF(A303="","",IFERROR(INDEX(tbl_Finance[Client],MATCH(A303&amp;"",tbl_Finance[Job Number],0)),""))</f>
        <v/>
      </c>
      <c r="E303" s="44">
        <f>IF(A303="","",COUNTIFS(tbl_Finance[Job Number],A303&amp;"",tbl_Finance[Ex GST],"&lt;&gt;"))</f>
        <v/>
      </c>
      <c r="F303" s="16">
        <f>IF(A303="","",SUMIFS(tbl_Finance[Ex GST],tbl_Finance[Job Number],A303&amp;""))</f>
        <v/>
      </c>
      <c r="G303" s="14">
        <f>IF(A303="","",IFERROR(INDEX(tbl_Finance[Cost Centre],MATCH(A303&amp;"",tbl_Finance[Job Number],0)),"not invoiced yet"))</f>
        <v/>
      </c>
      <c r="H303" s="13" t="n"/>
      <c r="I303" s="13" t="n"/>
      <c r="J303" s="45" t="n"/>
      <c r="K303" s="13" t="n"/>
      <c r="L303" s="13" t="n"/>
    </row>
    <row r="304" ht="15" customHeight="1">
      <c r="A304" s="13" t="n"/>
      <c r="B304" s="14">
        <f>IF(A304="","",IF(COUNTIF(lst_Jobs,A304&amp;"")&gt;0,"OK","CHECK"))</f>
        <v/>
      </c>
      <c r="C304" s="14">
        <f>IF(A304="","",IFERROR(INDEX(lst_JobName,MATCH(A304&amp;"",lst_Jobs,0)),""))</f>
        <v/>
      </c>
      <c r="D304" s="14">
        <f>IF(A304="","",IFERROR(INDEX(tbl_Finance[Client],MATCH(A304&amp;"",tbl_Finance[Job Number],0)),""))</f>
        <v/>
      </c>
      <c r="E304" s="44">
        <f>IF(A304="","",COUNTIFS(tbl_Finance[Job Number],A304&amp;"",tbl_Finance[Ex GST],"&lt;&gt;"))</f>
        <v/>
      </c>
      <c r="F304" s="16">
        <f>IF(A304="","",SUMIFS(tbl_Finance[Ex GST],tbl_Finance[Job Number],A304&amp;""))</f>
        <v/>
      </c>
      <c r="G304" s="14">
        <f>IF(A304="","",IFERROR(INDEX(tbl_Finance[Cost Centre],MATCH(A304&amp;"",tbl_Finance[Job Number],0)),"not invoiced yet"))</f>
        <v/>
      </c>
      <c r="H304" s="13" t="n"/>
      <c r="I304" s="13" t="n"/>
      <c r="J304" s="45" t="n"/>
      <c r="K304" s="13" t="n"/>
      <c r="L304" s="13" t="n"/>
    </row>
    <row r="305" ht="15" customHeight="1">
      <c r="A305" s="13" t="n"/>
      <c r="B305" s="14">
        <f>IF(A305="","",IF(COUNTIF(lst_Jobs,A305&amp;"")&gt;0,"OK","CHECK"))</f>
        <v/>
      </c>
      <c r="C305" s="14">
        <f>IF(A305="","",IFERROR(INDEX(lst_JobName,MATCH(A305&amp;"",lst_Jobs,0)),""))</f>
        <v/>
      </c>
      <c r="D305" s="14">
        <f>IF(A305="","",IFERROR(INDEX(tbl_Finance[Client],MATCH(A305&amp;"",tbl_Finance[Job Number],0)),""))</f>
        <v/>
      </c>
      <c r="E305" s="44">
        <f>IF(A305="","",COUNTIFS(tbl_Finance[Job Number],A305&amp;"",tbl_Finance[Ex GST],"&lt;&gt;"))</f>
        <v/>
      </c>
      <c r="F305" s="16">
        <f>IF(A305="","",SUMIFS(tbl_Finance[Ex GST],tbl_Finance[Job Number],A305&amp;""))</f>
        <v/>
      </c>
      <c r="G305" s="14">
        <f>IF(A305="","",IFERROR(INDEX(tbl_Finance[Cost Centre],MATCH(A305&amp;"",tbl_Finance[Job Number],0)),"not invoiced yet"))</f>
        <v/>
      </c>
      <c r="H305" s="13" t="n"/>
      <c r="I305" s="13" t="n"/>
      <c r="J305" s="45" t="n"/>
      <c r="K305" s="13" t="n"/>
      <c r="L305" s="13" t="n"/>
    </row>
    <row r="306" ht="15" customHeight="1">
      <c r="A306" s="13" t="n"/>
      <c r="B306" s="14">
        <f>IF(A306="","",IF(COUNTIF(lst_Jobs,A306&amp;"")&gt;0,"OK","CHECK"))</f>
        <v/>
      </c>
      <c r="C306" s="14">
        <f>IF(A306="","",IFERROR(INDEX(lst_JobName,MATCH(A306&amp;"",lst_Jobs,0)),""))</f>
        <v/>
      </c>
      <c r="D306" s="14">
        <f>IF(A306="","",IFERROR(INDEX(tbl_Finance[Client],MATCH(A306&amp;"",tbl_Finance[Job Number],0)),""))</f>
        <v/>
      </c>
      <c r="E306" s="44">
        <f>IF(A306="","",COUNTIFS(tbl_Finance[Job Number],A306&amp;"",tbl_Finance[Ex GST],"&lt;&gt;"))</f>
        <v/>
      </c>
      <c r="F306" s="16">
        <f>IF(A306="","",SUMIFS(tbl_Finance[Ex GST],tbl_Finance[Job Number],A306&amp;""))</f>
        <v/>
      </c>
      <c r="G306" s="14">
        <f>IF(A306="","",IFERROR(INDEX(tbl_Finance[Cost Centre],MATCH(A306&amp;"",tbl_Finance[Job Number],0)),"not invoiced yet"))</f>
        <v/>
      </c>
      <c r="H306" s="13" t="n"/>
      <c r="I306" s="13" t="n"/>
      <c r="J306" s="45" t="n"/>
      <c r="K306" s="13" t="n"/>
      <c r="L306" s="13" t="n"/>
    </row>
    <row r="307" ht="15" customHeight="1">
      <c r="A307" s="13" t="n"/>
      <c r="B307" s="14">
        <f>IF(A307="","",IF(COUNTIF(lst_Jobs,A307&amp;"")&gt;0,"OK","CHECK"))</f>
        <v/>
      </c>
      <c r="C307" s="14">
        <f>IF(A307="","",IFERROR(INDEX(lst_JobName,MATCH(A307&amp;"",lst_Jobs,0)),""))</f>
        <v/>
      </c>
      <c r="D307" s="14">
        <f>IF(A307="","",IFERROR(INDEX(tbl_Finance[Client],MATCH(A307&amp;"",tbl_Finance[Job Number],0)),""))</f>
        <v/>
      </c>
      <c r="E307" s="44">
        <f>IF(A307="","",COUNTIFS(tbl_Finance[Job Number],A307&amp;"",tbl_Finance[Ex GST],"&lt;&gt;"))</f>
        <v/>
      </c>
      <c r="F307" s="16">
        <f>IF(A307="","",SUMIFS(tbl_Finance[Ex GST],tbl_Finance[Job Number],A307&amp;""))</f>
        <v/>
      </c>
      <c r="G307" s="14">
        <f>IF(A307="","",IFERROR(INDEX(tbl_Finance[Cost Centre],MATCH(A307&amp;"",tbl_Finance[Job Number],0)),"not invoiced yet"))</f>
        <v/>
      </c>
      <c r="H307" s="13" t="n"/>
      <c r="I307" s="13" t="n"/>
      <c r="J307" s="45" t="n"/>
      <c r="K307" s="13" t="n"/>
      <c r="L307" s="13" t="n"/>
    </row>
    <row r="308" ht="15" customHeight="1">
      <c r="A308" s="13" t="n"/>
      <c r="B308" s="14">
        <f>IF(A308="","",IF(COUNTIF(lst_Jobs,A308&amp;"")&gt;0,"OK","CHECK"))</f>
        <v/>
      </c>
      <c r="C308" s="14">
        <f>IF(A308="","",IFERROR(INDEX(lst_JobName,MATCH(A308&amp;"",lst_Jobs,0)),""))</f>
        <v/>
      </c>
      <c r="D308" s="14">
        <f>IF(A308="","",IFERROR(INDEX(tbl_Finance[Client],MATCH(A308&amp;"",tbl_Finance[Job Number],0)),""))</f>
        <v/>
      </c>
      <c r="E308" s="44">
        <f>IF(A308="","",COUNTIFS(tbl_Finance[Job Number],A308&amp;"",tbl_Finance[Ex GST],"&lt;&gt;"))</f>
        <v/>
      </c>
      <c r="F308" s="16">
        <f>IF(A308="","",SUMIFS(tbl_Finance[Ex GST],tbl_Finance[Job Number],A308&amp;""))</f>
        <v/>
      </c>
      <c r="G308" s="14">
        <f>IF(A308="","",IFERROR(INDEX(tbl_Finance[Cost Centre],MATCH(A308&amp;"",tbl_Finance[Job Number],0)),"not invoiced yet"))</f>
        <v/>
      </c>
      <c r="H308" s="13" t="n"/>
      <c r="I308" s="13" t="n"/>
      <c r="J308" s="45" t="n"/>
      <c r="K308" s="13" t="n"/>
      <c r="L308" s="13" t="n"/>
    </row>
    <row r="309" ht="15" customHeight="1">
      <c r="A309" s="13" t="n"/>
      <c r="B309" s="14">
        <f>IF(A309="","",IF(COUNTIF(lst_Jobs,A309&amp;"")&gt;0,"OK","CHECK"))</f>
        <v/>
      </c>
      <c r="C309" s="14">
        <f>IF(A309="","",IFERROR(INDEX(lst_JobName,MATCH(A309&amp;"",lst_Jobs,0)),""))</f>
        <v/>
      </c>
      <c r="D309" s="14">
        <f>IF(A309="","",IFERROR(INDEX(tbl_Finance[Client],MATCH(A309&amp;"",tbl_Finance[Job Number],0)),""))</f>
        <v/>
      </c>
      <c r="E309" s="44">
        <f>IF(A309="","",COUNTIFS(tbl_Finance[Job Number],A309&amp;"",tbl_Finance[Ex GST],"&lt;&gt;"))</f>
        <v/>
      </c>
      <c r="F309" s="16">
        <f>IF(A309="","",SUMIFS(tbl_Finance[Ex GST],tbl_Finance[Job Number],A309&amp;""))</f>
        <v/>
      </c>
      <c r="G309" s="14">
        <f>IF(A309="","",IFERROR(INDEX(tbl_Finance[Cost Centre],MATCH(A309&amp;"",tbl_Finance[Job Number],0)),"not invoiced yet"))</f>
        <v/>
      </c>
      <c r="H309" s="13" t="n"/>
      <c r="I309" s="13" t="n"/>
      <c r="J309" s="45" t="n"/>
      <c r="K309" s="13" t="n"/>
      <c r="L309" s="13" t="n"/>
    </row>
    <row r="310" ht="15" customHeight="1">
      <c r="A310" s="13" t="n"/>
      <c r="B310" s="14">
        <f>IF(A310="","",IF(COUNTIF(lst_Jobs,A310&amp;"")&gt;0,"OK","CHECK"))</f>
        <v/>
      </c>
      <c r="C310" s="14">
        <f>IF(A310="","",IFERROR(INDEX(lst_JobName,MATCH(A310&amp;"",lst_Jobs,0)),""))</f>
        <v/>
      </c>
      <c r="D310" s="14">
        <f>IF(A310="","",IFERROR(INDEX(tbl_Finance[Client],MATCH(A310&amp;"",tbl_Finance[Job Number],0)),""))</f>
        <v/>
      </c>
      <c r="E310" s="44">
        <f>IF(A310="","",COUNTIFS(tbl_Finance[Job Number],A310&amp;"",tbl_Finance[Ex GST],"&lt;&gt;"))</f>
        <v/>
      </c>
      <c r="F310" s="16">
        <f>IF(A310="","",SUMIFS(tbl_Finance[Ex GST],tbl_Finance[Job Number],A310&amp;""))</f>
        <v/>
      </c>
      <c r="G310" s="14">
        <f>IF(A310="","",IFERROR(INDEX(tbl_Finance[Cost Centre],MATCH(A310&amp;"",tbl_Finance[Job Number],0)),"not invoiced yet"))</f>
        <v/>
      </c>
      <c r="H310" s="13" t="n"/>
      <c r="I310" s="13" t="n"/>
      <c r="J310" s="45" t="n"/>
      <c r="K310" s="13" t="n"/>
      <c r="L310" s="13" t="n"/>
    </row>
    <row r="311" ht="15" customHeight="1">
      <c r="A311" s="13" t="n"/>
      <c r="B311" s="14">
        <f>IF(A311="","",IF(COUNTIF(lst_Jobs,A311&amp;"")&gt;0,"OK","CHECK"))</f>
        <v/>
      </c>
      <c r="C311" s="14">
        <f>IF(A311="","",IFERROR(INDEX(lst_JobName,MATCH(A311&amp;"",lst_Jobs,0)),""))</f>
        <v/>
      </c>
      <c r="D311" s="14">
        <f>IF(A311="","",IFERROR(INDEX(tbl_Finance[Client],MATCH(A311&amp;"",tbl_Finance[Job Number],0)),""))</f>
        <v/>
      </c>
      <c r="E311" s="44">
        <f>IF(A311="","",COUNTIFS(tbl_Finance[Job Number],A311&amp;"",tbl_Finance[Ex GST],"&lt;&gt;"))</f>
        <v/>
      </c>
      <c r="F311" s="16">
        <f>IF(A311="","",SUMIFS(tbl_Finance[Ex GST],tbl_Finance[Job Number],A311&amp;""))</f>
        <v/>
      </c>
      <c r="G311" s="14">
        <f>IF(A311="","",IFERROR(INDEX(tbl_Finance[Cost Centre],MATCH(A311&amp;"",tbl_Finance[Job Number],0)),"not invoiced yet"))</f>
        <v/>
      </c>
      <c r="H311" s="13" t="n"/>
      <c r="I311" s="13" t="n"/>
      <c r="J311" s="45" t="n"/>
      <c r="K311" s="13" t="n"/>
      <c r="L311" s="13" t="n"/>
    </row>
    <row r="312" ht="15" customHeight="1">
      <c r="A312" s="13" t="n"/>
      <c r="B312" s="14">
        <f>IF(A312="","",IF(COUNTIF(lst_Jobs,A312&amp;"")&gt;0,"OK","CHECK"))</f>
        <v/>
      </c>
      <c r="C312" s="14">
        <f>IF(A312="","",IFERROR(INDEX(lst_JobName,MATCH(A312&amp;"",lst_Jobs,0)),""))</f>
        <v/>
      </c>
      <c r="D312" s="14">
        <f>IF(A312="","",IFERROR(INDEX(tbl_Finance[Client],MATCH(A312&amp;"",tbl_Finance[Job Number],0)),""))</f>
        <v/>
      </c>
      <c r="E312" s="44">
        <f>IF(A312="","",COUNTIFS(tbl_Finance[Job Number],A312&amp;"",tbl_Finance[Ex GST],"&lt;&gt;"))</f>
        <v/>
      </c>
      <c r="F312" s="16">
        <f>IF(A312="","",SUMIFS(tbl_Finance[Ex GST],tbl_Finance[Job Number],A312&amp;""))</f>
        <v/>
      </c>
      <c r="G312" s="14">
        <f>IF(A312="","",IFERROR(INDEX(tbl_Finance[Cost Centre],MATCH(A312&amp;"",tbl_Finance[Job Number],0)),"not invoiced yet"))</f>
        <v/>
      </c>
      <c r="H312" s="13" t="n"/>
      <c r="I312" s="13" t="n"/>
      <c r="J312" s="45" t="n"/>
      <c r="K312" s="13" t="n"/>
      <c r="L312" s="13" t="n"/>
    </row>
    <row r="313" ht="15" customHeight="1">
      <c r="A313" s="13" t="n"/>
      <c r="B313" s="14">
        <f>IF(A313="","",IF(COUNTIF(lst_Jobs,A313&amp;"")&gt;0,"OK","CHECK"))</f>
        <v/>
      </c>
      <c r="C313" s="14">
        <f>IF(A313="","",IFERROR(INDEX(lst_JobName,MATCH(A313&amp;"",lst_Jobs,0)),""))</f>
        <v/>
      </c>
      <c r="D313" s="14">
        <f>IF(A313="","",IFERROR(INDEX(tbl_Finance[Client],MATCH(A313&amp;"",tbl_Finance[Job Number],0)),""))</f>
        <v/>
      </c>
      <c r="E313" s="44">
        <f>IF(A313="","",COUNTIFS(tbl_Finance[Job Number],A313&amp;"",tbl_Finance[Ex GST],"&lt;&gt;"))</f>
        <v/>
      </c>
      <c r="F313" s="16">
        <f>IF(A313="","",SUMIFS(tbl_Finance[Ex GST],tbl_Finance[Job Number],A313&amp;""))</f>
        <v/>
      </c>
      <c r="G313" s="14">
        <f>IF(A313="","",IFERROR(INDEX(tbl_Finance[Cost Centre],MATCH(A313&amp;"",tbl_Finance[Job Number],0)),"not invoiced yet"))</f>
        <v/>
      </c>
      <c r="H313" s="13" t="n"/>
      <c r="I313" s="13" t="n"/>
      <c r="J313" s="45" t="n"/>
      <c r="K313" s="13" t="n"/>
      <c r="L313" s="13" t="n"/>
    </row>
    <row r="314" ht="15" customHeight="1">
      <c r="A314" s="13" t="n"/>
      <c r="B314" s="14">
        <f>IF(A314="","",IF(COUNTIF(lst_Jobs,A314&amp;"")&gt;0,"OK","CHECK"))</f>
        <v/>
      </c>
      <c r="C314" s="14">
        <f>IF(A314="","",IFERROR(INDEX(lst_JobName,MATCH(A314&amp;"",lst_Jobs,0)),""))</f>
        <v/>
      </c>
      <c r="D314" s="14">
        <f>IF(A314="","",IFERROR(INDEX(tbl_Finance[Client],MATCH(A314&amp;"",tbl_Finance[Job Number],0)),""))</f>
        <v/>
      </c>
      <c r="E314" s="44">
        <f>IF(A314="","",COUNTIFS(tbl_Finance[Job Number],A314&amp;"",tbl_Finance[Ex GST],"&lt;&gt;"))</f>
        <v/>
      </c>
      <c r="F314" s="16">
        <f>IF(A314="","",SUMIFS(tbl_Finance[Ex GST],tbl_Finance[Job Number],A314&amp;""))</f>
        <v/>
      </c>
      <c r="G314" s="14">
        <f>IF(A314="","",IFERROR(INDEX(tbl_Finance[Cost Centre],MATCH(A314&amp;"",tbl_Finance[Job Number],0)),"not invoiced yet"))</f>
        <v/>
      </c>
      <c r="H314" s="13" t="n"/>
      <c r="I314" s="13" t="n"/>
      <c r="J314" s="45" t="n"/>
      <c r="K314" s="13" t="n"/>
      <c r="L314" s="13" t="n"/>
    </row>
    <row r="315" ht="15" customHeight="1">
      <c r="A315" s="13" t="n"/>
      <c r="B315" s="14">
        <f>IF(A315="","",IF(COUNTIF(lst_Jobs,A315&amp;"")&gt;0,"OK","CHECK"))</f>
        <v/>
      </c>
      <c r="C315" s="14">
        <f>IF(A315="","",IFERROR(INDEX(lst_JobName,MATCH(A315&amp;"",lst_Jobs,0)),""))</f>
        <v/>
      </c>
      <c r="D315" s="14">
        <f>IF(A315="","",IFERROR(INDEX(tbl_Finance[Client],MATCH(A315&amp;"",tbl_Finance[Job Number],0)),""))</f>
        <v/>
      </c>
      <c r="E315" s="44">
        <f>IF(A315="","",COUNTIFS(tbl_Finance[Job Number],A315&amp;"",tbl_Finance[Ex GST],"&lt;&gt;"))</f>
        <v/>
      </c>
      <c r="F315" s="16">
        <f>IF(A315="","",SUMIFS(tbl_Finance[Ex GST],tbl_Finance[Job Number],A315&amp;""))</f>
        <v/>
      </c>
      <c r="G315" s="14">
        <f>IF(A315="","",IFERROR(INDEX(tbl_Finance[Cost Centre],MATCH(A315&amp;"",tbl_Finance[Job Number],0)),"not invoiced yet"))</f>
        <v/>
      </c>
      <c r="H315" s="13" t="n"/>
      <c r="I315" s="13" t="n"/>
      <c r="J315" s="45" t="n"/>
      <c r="K315" s="13" t="n"/>
      <c r="L315" s="13" t="n"/>
    </row>
    <row r="316" ht="15" customHeight="1">
      <c r="A316" s="13" t="n"/>
      <c r="B316" s="14">
        <f>IF(A316="","",IF(COUNTIF(lst_Jobs,A316&amp;"")&gt;0,"OK","CHECK"))</f>
        <v/>
      </c>
      <c r="C316" s="14">
        <f>IF(A316="","",IFERROR(INDEX(lst_JobName,MATCH(A316&amp;"",lst_Jobs,0)),""))</f>
        <v/>
      </c>
      <c r="D316" s="14">
        <f>IF(A316="","",IFERROR(INDEX(tbl_Finance[Client],MATCH(A316&amp;"",tbl_Finance[Job Number],0)),""))</f>
        <v/>
      </c>
      <c r="E316" s="44">
        <f>IF(A316="","",COUNTIFS(tbl_Finance[Job Number],A316&amp;"",tbl_Finance[Ex GST],"&lt;&gt;"))</f>
        <v/>
      </c>
      <c r="F316" s="16">
        <f>IF(A316="","",SUMIFS(tbl_Finance[Ex GST],tbl_Finance[Job Number],A316&amp;""))</f>
        <v/>
      </c>
      <c r="G316" s="14">
        <f>IF(A316="","",IFERROR(INDEX(tbl_Finance[Cost Centre],MATCH(A316&amp;"",tbl_Finance[Job Number],0)),"not invoiced yet"))</f>
        <v/>
      </c>
      <c r="H316" s="13" t="n"/>
      <c r="I316" s="13" t="n"/>
      <c r="J316" s="45" t="n"/>
      <c r="K316" s="13" t="n"/>
      <c r="L316" s="13" t="n"/>
    </row>
    <row r="317" ht="15" customHeight="1">
      <c r="A317" s="13" t="n"/>
      <c r="B317" s="14">
        <f>IF(A317="","",IF(COUNTIF(lst_Jobs,A317&amp;"")&gt;0,"OK","CHECK"))</f>
        <v/>
      </c>
      <c r="C317" s="14">
        <f>IF(A317="","",IFERROR(INDEX(lst_JobName,MATCH(A317&amp;"",lst_Jobs,0)),""))</f>
        <v/>
      </c>
      <c r="D317" s="14">
        <f>IF(A317="","",IFERROR(INDEX(tbl_Finance[Client],MATCH(A317&amp;"",tbl_Finance[Job Number],0)),""))</f>
        <v/>
      </c>
      <c r="E317" s="44">
        <f>IF(A317="","",COUNTIFS(tbl_Finance[Job Number],A317&amp;"",tbl_Finance[Ex GST],"&lt;&gt;"))</f>
        <v/>
      </c>
      <c r="F317" s="16">
        <f>IF(A317="","",SUMIFS(tbl_Finance[Ex GST],tbl_Finance[Job Number],A317&amp;""))</f>
        <v/>
      </c>
      <c r="G317" s="14">
        <f>IF(A317="","",IFERROR(INDEX(tbl_Finance[Cost Centre],MATCH(A317&amp;"",tbl_Finance[Job Number],0)),"not invoiced yet"))</f>
        <v/>
      </c>
      <c r="H317" s="13" t="n"/>
      <c r="I317" s="13" t="n"/>
      <c r="J317" s="45" t="n"/>
      <c r="K317" s="13" t="n"/>
      <c r="L317" s="13" t="n"/>
    </row>
    <row r="318" ht="15" customHeight="1">
      <c r="A318" s="13" t="n"/>
      <c r="B318" s="14">
        <f>IF(A318="","",IF(COUNTIF(lst_Jobs,A318&amp;"")&gt;0,"OK","CHECK"))</f>
        <v/>
      </c>
      <c r="C318" s="14">
        <f>IF(A318="","",IFERROR(INDEX(lst_JobName,MATCH(A318&amp;"",lst_Jobs,0)),""))</f>
        <v/>
      </c>
      <c r="D318" s="14">
        <f>IF(A318="","",IFERROR(INDEX(tbl_Finance[Client],MATCH(A318&amp;"",tbl_Finance[Job Number],0)),""))</f>
        <v/>
      </c>
      <c r="E318" s="44">
        <f>IF(A318="","",COUNTIFS(tbl_Finance[Job Number],A318&amp;"",tbl_Finance[Ex GST],"&lt;&gt;"))</f>
        <v/>
      </c>
      <c r="F318" s="16">
        <f>IF(A318="","",SUMIFS(tbl_Finance[Ex GST],tbl_Finance[Job Number],A318&amp;""))</f>
        <v/>
      </c>
      <c r="G318" s="14">
        <f>IF(A318="","",IFERROR(INDEX(tbl_Finance[Cost Centre],MATCH(A318&amp;"",tbl_Finance[Job Number],0)),"not invoiced yet"))</f>
        <v/>
      </c>
      <c r="H318" s="13" t="n"/>
      <c r="I318" s="13" t="n"/>
      <c r="J318" s="45" t="n"/>
      <c r="K318" s="13" t="n"/>
      <c r="L318" s="13" t="n"/>
    </row>
    <row r="319" ht="15" customHeight="1">
      <c r="A319" s="13" t="n"/>
      <c r="B319" s="14">
        <f>IF(A319="","",IF(COUNTIF(lst_Jobs,A319&amp;"")&gt;0,"OK","CHECK"))</f>
        <v/>
      </c>
      <c r="C319" s="14">
        <f>IF(A319="","",IFERROR(INDEX(lst_JobName,MATCH(A319&amp;"",lst_Jobs,0)),""))</f>
        <v/>
      </c>
      <c r="D319" s="14">
        <f>IF(A319="","",IFERROR(INDEX(tbl_Finance[Client],MATCH(A319&amp;"",tbl_Finance[Job Number],0)),""))</f>
        <v/>
      </c>
      <c r="E319" s="44">
        <f>IF(A319="","",COUNTIFS(tbl_Finance[Job Number],A319&amp;"",tbl_Finance[Ex GST],"&lt;&gt;"))</f>
        <v/>
      </c>
      <c r="F319" s="16">
        <f>IF(A319="","",SUMIFS(tbl_Finance[Ex GST],tbl_Finance[Job Number],A319&amp;""))</f>
        <v/>
      </c>
      <c r="G319" s="14">
        <f>IF(A319="","",IFERROR(INDEX(tbl_Finance[Cost Centre],MATCH(A319&amp;"",tbl_Finance[Job Number],0)),"not invoiced yet"))</f>
        <v/>
      </c>
      <c r="H319" s="13" t="n"/>
      <c r="I319" s="13" t="n"/>
      <c r="J319" s="45" t="n"/>
      <c r="K319" s="13" t="n"/>
      <c r="L319" s="13" t="n"/>
    </row>
    <row r="320" ht="15" customHeight="1">
      <c r="A320" s="13" t="n"/>
      <c r="B320" s="14">
        <f>IF(A320="","",IF(COUNTIF(lst_Jobs,A320&amp;"")&gt;0,"OK","CHECK"))</f>
        <v/>
      </c>
      <c r="C320" s="14">
        <f>IF(A320="","",IFERROR(INDEX(lst_JobName,MATCH(A320&amp;"",lst_Jobs,0)),""))</f>
        <v/>
      </c>
      <c r="D320" s="14">
        <f>IF(A320="","",IFERROR(INDEX(tbl_Finance[Client],MATCH(A320&amp;"",tbl_Finance[Job Number],0)),""))</f>
        <v/>
      </c>
      <c r="E320" s="44">
        <f>IF(A320="","",COUNTIFS(tbl_Finance[Job Number],A320&amp;"",tbl_Finance[Ex GST],"&lt;&gt;"))</f>
        <v/>
      </c>
      <c r="F320" s="16">
        <f>IF(A320="","",SUMIFS(tbl_Finance[Ex GST],tbl_Finance[Job Number],A320&amp;""))</f>
        <v/>
      </c>
      <c r="G320" s="14">
        <f>IF(A320="","",IFERROR(INDEX(tbl_Finance[Cost Centre],MATCH(A320&amp;"",tbl_Finance[Job Number],0)),"not invoiced yet"))</f>
        <v/>
      </c>
      <c r="H320" s="13" t="n"/>
      <c r="I320" s="13" t="n"/>
      <c r="J320" s="45" t="n"/>
      <c r="K320" s="13" t="n"/>
      <c r="L320" s="13" t="n"/>
    </row>
    <row r="321" ht="15" customHeight="1">
      <c r="A321" s="13" t="n"/>
      <c r="B321" s="14">
        <f>IF(A321="","",IF(COUNTIF(lst_Jobs,A321&amp;"")&gt;0,"OK","CHECK"))</f>
        <v/>
      </c>
      <c r="C321" s="14">
        <f>IF(A321="","",IFERROR(INDEX(lst_JobName,MATCH(A321&amp;"",lst_Jobs,0)),""))</f>
        <v/>
      </c>
      <c r="D321" s="14">
        <f>IF(A321="","",IFERROR(INDEX(tbl_Finance[Client],MATCH(A321&amp;"",tbl_Finance[Job Number],0)),""))</f>
        <v/>
      </c>
      <c r="E321" s="44">
        <f>IF(A321="","",COUNTIFS(tbl_Finance[Job Number],A321&amp;"",tbl_Finance[Ex GST],"&lt;&gt;"))</f>
        <v/>
      </c>
      <c r="F321" s="16">
        <f>IF(A321="","",SUMIFS(tbl_Finance[Ex GST],tbl_Finance[Job Number],A321&amp;""))</f>
        <v/>
      </c>
      <c r="G321" s="14">
        <f>IF(A321="","",IFERROR(INDEX(tbl_Finance[Cost Centre],MATCH(A321&amp;"",tbl_Finance[Job Number],0)),"not invoiced yet"))</f>
        <v/>
      </c>
      <c r="H321" s="13" t="n"/>
      <c r="I321" s="13" t="n"/>
      <c r="J321" s="45" t="n"/>
      <c r="K321" s="13" t="n"/>
      <c r="L321" s="13" t="n"/>
    </row>
    <row r="322" ht="15" customHeight="1">
      <c r="A322" s="13" t="n"/>
      <c r="B322" s="14">
        <f>IF(A322="","",IF(COUNTIF(lst_Jobs,A322&amp;"")&gt;0,"OK","CHECK"))</f>
        <v/>
      </c>
      <c r="C322" s="14">
        <f>IF(A322="","",IFERROR(INDEX(lst_JobName,MATCH(A322&amp;"",lst_Jobs,0)),""))</f>
        <v/>
      </c>
      <c r="D322" s="14">
        <f>IF(A322="","",IFERROR(INDEX(tbl_Finance[Client],MATCH(A322&amp;"",tbl_Finance[Job Number],0)),""))</f>
        <v/>
      </c>
      <c r="E322" s="44">
        <f>IF(A322="","",COUNTIFS(tbl_Finance[Job Number],A322&amp;"",tbl_Finance[Ex GST],"&lt;&gt;"))</f>
        <v/>
      </c>
      <c r="F322" s="16">
        <f>IF(A322="","",SUMIFS(tbl_Finance[Ex GST],tbl_Finance[Job Number],A322&amp;""))</f>
        <v/>
      </c>
      <c r="G322" s="14">
        <f>IF(A322="","",IFERROR(INDEX(tbl_Finance[Cost Centre],MATCH(A322&amp;"",tbl_Finance[Job Number],0)),"not invoiced yet"))</f>
        <v/>
      </c>
      <c r="H322" s="13" t="n"/>
      <c r="I322" s="13" t="n"/>
      <c r="J322" s="45" t="n"/>
      <c r="K322" s="13" t="n"/>
      <c r="L322" s="13" t="n"/>
    </row>
    <row r="323" ht="15" customHeight="1">
      <c r="A323" s="13" t="n"/>
      <c r="B323" s="14">
        <f>IF(A323="","",IF(COUNTIF(lst_Jobs,A323&amp;"")&gt;0,"OK","CHECK"))</f>
        <v/>
      </c>
      <c r="C323" s="14">
        <f>IF(A323="","",IFERROR(INDEX(lst_JobName,MATCH(A323&amp;"",lst_Jobs,0)),""))</f>
        <v/>
      </c>
      <c r="D323" s="14">
        <f>IF(A323="","",IFERROR(INDEX(tbl_Finance[Client],MATCH(A323&amp;"",tbl_Finance[Job Number],0)),""))</f>
        <v/>
      </c>
      <c r="E323" s="44">
        <f>IF(A323="","",COUNTIFS(tbl_Finance[Job Number],A323&amp;"",tbl_Finance[Ex GST],"&lt;&gt;"))</f>
        <v/>
      </c>
      <c r="F323" s="16">
        <f>IF(A323="","",SUMIFS(tbl_Finance[Ex GST],tbl_Finance[Job Number],A323&amp;""))</f>
        <v/>
      </c>
      <c r="G323" s="14">
        <f>IF(A323="","",IFERROR(INDEX(tbl_Finance[Cost Centre],MATCH(A323&amp;"",tbl_Finance[Job Number],0)),"not invoiced yet"))</f>
        <v/>
      </c>
      <c r="H323" s="13" t="n"/>
      <c r="I323" s="13" t="n"/>
      <c r="J323" s="45" t="n"/>
      <c r="K323" s="13" t="n"/>
      <c r="L323" s="13" t="n"/>
    </row>
    <row r="324" ht="15" customHeight="1">
      <c r="A324" s="13" t="n"/>
      <c r="B324" s="14">
        <f>IF(A324="","",IF(COUNTIF(lst_Jobs,A324&amp;"")&gt;0,"OK","CHECK"))</f>
        <v/>
      </c>
      <c r="C324" s="14">
        <f>IF(A324="","",IFERROR(INDEX(lst_JobName,MATCH(A324&amp;"",lst_Jobs,0)),""))</f>
        <v/>
      </c>
      <c r="D324" s="14">
        <f>IF(A324="","",IFERROR(INDEX(tbl_Finance[Client],MATCH(A324&amp;"",tbl_Finance[Job Number],0)),""))</f>
        <v/>
      </c>
      <c r="E324" s="44">
        <f>IF(A324="","",COUNTIFS(tbl_Finance[Job Number],A324&amp;"",tbl_Finance[Ex GST],"&lt;&gt;"))</f>
        <v/>
      </c>
      <c r="F324" s="16">
        <f>IF(A324="","",SUMIFS(tbl_Finance[Ex GST],tbl_Finance[Job Number],A324&amp;""))</f>
        <v/>
      </c>
      <c r="G324" s="14">
        <f>IF(A324="","",IFERROR(INDEX(tbl_Finance[Cost Centre],MATCH(A324&amp;"",tbl_Finance[Job Number],0)),"not invoiced yet"))</f>
        <v/>
      </c>
      <c r="H324" s="13" t="n"/>
      <c r="I324" s="13" t="n"/>
      <c r="J324" s="45" t="n"/>
      <c r="K324" s="13" t="n"/>
      <c r="L324" s="13" t="n"/>
    </row>
    <row r="325" ht="15" customHeight="1">
      <c r="A325" s="13" t="n"/>
      <c r="B325" s="14">
        <f>IF(A325="","",IF(COUNTIF(lst_Jobs,A325&amp;"")&gt;0,"OK","CHECK"))</f>
        <v/>
      </c>
      <c r="C325" s="14">
        <f>IF(A325="","",IFERROR(INDEX(lst_JobName,MATCH(A325&amp;"",lst_Jobs,0)),""))</f>
        <v/>
      </c>
      <c r="D325" s="14">
        <f>IF(A325="","",IFERROR(INDEX(tbl_Finance[Client],MATCH(A325&amp;"",tbl_Finance[Job Number],0)),""))</f>
        <v/>
      </c>
      <c r="E325" s="44">
        <f>IF(A325="","",COUNTIFS(tbl_Finance[Job Number],A325&amp;"",tbl_Finance[Ex GST],"&lt;&gt;"))</f>
        <v/>
      </c>
      <c r="F325" s="16">
        <f>IF(A325="","",SUMIFS(tbl_Finance[Ex GST],tbl_Finance[Job Number],A325&amp;""))</f>
        <v/>
      </c>
      <c r="G325" s="14">
        <f>IF(A325="","",IFERROR(INDEX(tbl_Finance[Cost Centre],MATCH(A325&amp;"",tbl_Finance[Job Number],0)),"not invoiced yet"))</f>
        <v/>
      </c>
      <c r="H325" s="13" t="n"/>
      <c r="I325" s="13" t="n"/>
      <c r="J325" s="45" t="n"/>
      <c r="K325" s="13" t="n"/>
      <c r="L325" s="13" t="n"/>
    </row>
    <row r="326" ht="15" customHeight="1">
      <c r="A326" s="13" t="n"/>
      <c r="B326" s="14">
        <f>IF(A326="","",IF(COUNTIF(lst_Jobs,A326&amp;"")&gt;0,"OK","CHECK"))</f>
        <v/>
      </c>
      <c r="C326" s="14">
        <f>IF(A326="","",IFERROR(INDEX(lst_JobName,MATCH(A326&amp;"",lst_Jobs,0)),""))</f>
        <v/>
      </c>
      <c r="D326" s="14">
        <f>IF(A326="","",IFERROR(INDEX(tbl_Finance[Client],MATCH(A326&amp;"",tbl_Finance[Job Number],0)),""))</f>
        <v/>
      </c>
      <c r="E326" s="44">
        <f>IF(A326="","",COUNTIFS(tbl_Finance[Job Number],A326&amp;"",tbl_Finance[Ex GST],"&lt;&gt;"))</f>
        <v/>
      </c>
      <c r="F326" s="16">
        <f>IF(A326="","",SUMIFS(tbl_Finance[Ex GST],tbl_Finance[Job Number],A326&amp;""))</f>
        <v/>
      </c>
      <c r="G326" s="14">
        <f>IF(A326="","",IFERROR(INDEX(tbl_Finance[Cost Centre],MATCH(A326&amp;"",tbl_Finance[Job Number],0)),"not invoiced yet"))</f>
        <v/>
      </c>
      <c r="H326" s="13" t="n"/>
      <c r="I326" s="13" t="n"/>
      <c r="J326" s="45" t="n"/>
      <c r="K326" s="13" t="n"/>
      <c r="L326" s="13" t="n"/>
    </row>
    <row r="327" ht="15" customHeight="1">
      <c r="A327" s="13" t="n"/>
      <c r="B327" s="14">
        <f>IF(A327="","",IF(COUNTIF(lst_Jobs,A327&amp;"")&gt;0,"OK","CHECK"))</f>
        <v/>
      </c>
      <c r="C327" s="14">
        <f>IF(A327="","",IFERROR(INDEX(lst_JobName,MATCH(A327&amp;"",lst_Jobs,0)),""))</f>
        <v/>
      </c>
      <c r="D327" s="14">
        <f>IF(A327="","",IFERROR(INDEX(tbl_Finance[Client],MATCH(A327&amp;"",tbl_Finance[Job Number],0)),""))</f>
        <v/>
      </c>
      <c r="E327" s="44">
        <f>IF(A327="","",COUNTIFS(tbl_Finance[Job Number],A327&amp;"",tbl_Finance[Ex GST],"&lt;&gt;"))</f>
        <v/>
      </c>
      <c r="F327" s="16">
        <f>IF(A327="","",SUMIFS(tbl_Finance[Ex GST],tbl_Finance[Job Number],A327&amp;""))</f>
        <v/>
      </c>
      <c r="G327" s="14">
        <f>IF(A327="","",IFERROR(INDEX(tbl_Finance[Cost Centre],MATCH(A327&amp;"",tbl_Finance[Job Number],0)),"not invoiced yet"))</f>
        <v/>
      </c>
      <c r="H327" s="13" t="n"/>
      <c r="I327" s="13" t="n"/>
      <c r="J327" s="45" t="n"/>
      <c r="K327" s="13" t="n"/>
      <c r="L327" s="13" t="n"/>
    </row>
    <row r="328" ht="15" customHeight="1">
      <c r="A328" s="13" t="n"/>
      <c r="B328" s="14">
        <f>IF(A328="","",IF(COUNTIF(lst_Jobs,A328&amp;"")&gt;0,"OK","CHECK"))</f>
        <v/>
      </c>
      <c r="C328" s="14">
        <f>IF(A328="","",IFERROR(INDEX(lst_JobName,MATCH(A328&amp;"",lst_Jobs,0)),""))</f>
        <v/>
      </c>
      <c r="D328" s="14">
        <f>IF(A328="","",IFERROR(INDEX(tbl_Finance[Client],MATCH(A328&amp;"",tbl_Finance[Job Number],0)),""))</f>
        <v/>
      </c>
      <c r="E328" s="44">
        <f>IF(A328="","",COUNTIFS(tbl_Finance[Job Number],A328&amp;"",tbl_Finance[Ex GST],"&lt;&gt;"))</f>
        <v/>
      </c>
      <c r="F328" s="16">
        <f>IF(A328="","",SUMIFS(tbl_Finance[Ex GST],tbl_Finance[Job Number],A328&amp;""))</f>
        <v/>
      </c>
      <c r="G328" s="14">
        <f>IF(A328="","",IFERROR(INDEX(tbl_Finance[Cost Centre],MATCH(A328&amp;"",tbl_Finance[Job Number],0)),"not invoiced yet"))</f>
        <v/>
      </c>
      <c r="H328" s="13" t="n"/>
      <c r="I328" s="13" t="n"/>
      <c r="J328" s="45" t="n"/>
      <c r="K328" s="13" t="n"/>
      <c r="L328" s="13" t="n"/>
    </row>
    <row r="329" ht="15" customHeight="1">
      <c r="A329" s="13" t="n"/>
      <c r="B329" s="14">
        <f>IF(A329="","",IF(COUNTIF(lst_Jobs,A329&amp;"")&gt;0,"OK","CHECK"))</f>
        <v/>
      </c>
      <c r="C329" s="14">
        <f>IF(A329="","",IFERROR(INDEX(lst_JobName,MATCH(A329&amp;"",lst_Jobs,0)),""))</f>
        <v/>
      </c>
      <c r="D329" s="14">
        <f>IF(A329="","",IFERROR(INDEX(tbl_Finance[Client],MATCH(A329&amp;"",tbl_Finance[Job Number],0)),""))</f>
        <v/>
      </c>
      <c r="E329" s="44">
        <f>IF(A329="","",COUNTIFS(tbl_Finance[Job Number],A329&amp;"",tbl_Finance[Ex GST],"&lt;&gt;"))</f>
        <v/>
      </c>
      <c r="F329" s="16">
        <f>IF(A329="","",SUMIFS(tbl_Finance[Ex GST],tbl_Finance[Job Number],A329&amp;""))</f>
        <v/>
      </c>
      <c r="G329" s="14">
        <f>IF(A329="","",IFERROR(INDEX(tbl_Finance[Cost Centre],MATCH(A329&amp;"",tbl_Finance[Job Number],0)),"not invoiced yet"))</f>
        <v/>
      </c>
      <c r="H329" s="13" t="n"/>
      <c r="I329" s="13" t="n"/>
      <c r="J329" s="45" t="n"/>
      <c r="K329" s="13" t="n"/>
      <c r="L329" s="13" t="n"/>
    </row>
    <row r="330" ht="15" customHeight="1">
      <c r="A330" s="13" t="n"/>
      <c r="B330" s="14">
        <f>IF(A330="","",IF(COUNTIF(lst_Jobs,A330&amp;"")&gt;0,"OK","CHECK"))</f>
        <v/>
      </c>
      <c r="C330" s="14">
        <f>IF(A330="","",IFERROR(INDEX(lst_JobName,MATCH(A330&amp;"",lst_Jobs,0)),""))</f>
        <v/>
      </c>
      <c r="D330" s="14">
        <f>IF(A330="","",IFERROR(INDEX(tbl_Finance[Client],MATCH(A330&amp;"",tbl_Finance[Job Number],0)),""))</f>
        <v/>
      </c>
      <c r="E330" s="44">
        <f>IF(A330="","",COUNTIFS(tbl_Finance[Job Number],A330&amp;"",tbl_Finance[Ex GST],"&lt;&gt;"))</f>
        <v/>
      </c>
      <c r="F330" s="16">
        <f>IF(A330="","",SUMIFS(tbl_Finance[Ex GST],tbl_Finance[Job Number],A330&amp;""))</f>
        <v/>
      </c>
      <c r="G330" s="14">
        <f>IF(A330="","",IFERROR(INDEX(tbl_Finance[Cost Centre],MATCH(A330&amp;"",tbl_Finance[Job Number],0)),"not invoiced yet"))</f>
        <v/>
      </c>
      <c r="H330" s="13" t="n"/>
      <c r="I330" s="13" t="n"/>
      <c r="J330" s="45" t="n"/>
      <c r="K330" s="13" t="n"/>
      <c r="L330" s="13" t="n"/>
    </row>
    <row r="331" ht="15" customHeight="1">
      <c r="A331" s="13" t="n"/>
      <c r="B331" s="14">
        <f>IF(A331="","",IF(COUNTIF(lst_Jobs,A331&amp;"")&gt;0,"OK","CHECK"))</f>
        <v/>
      </c>
      <c r="C331" s="14">
        <f>IF(A331="","",IFERROR(INDEX(lst_JobName,MATCH(A331&amp;"",lst_Jobs,0)),""))</f>
        <v/>
      </c>
      <c r="D331" s="14">
        <f>IF(A331="","",IFERROR(INDEX(tbl_Finance[Client],MATCH(A331&amp;"",tbl_Finance[Job Number],0)),""))</f>
        <v/>
      </c>
      <c r="E331" s="44">
        <f>IF(A331="","",COUNTIFS(tbl_Finance[Job Number],A331&amp;"",tbl_Finance[Ex GST],"&lt;&gt;"))</f>
        <v/>
      </c>
      <c r="F331" s="16">
        <f>IF(A331="","",SUMIFS(tbl_Finance[Ex GST],tbl_Finance[Job Number],A331&amp;""))</f>
        <v/>
      </c>
      <c r="G331" s="14">
        <f>IF(A331="","",IFERROR(INDEX(tbl_Finance[Cost Centre],MATCH(A331&amp;"",tbl_Finance[Job Number],0)),"not invoiced yet"))</f>
        <v/>
      </c>
      <c r="H331" s="13" t="n"/>
      <c r="I331" s="13" t="n"/>
      <c r="J331" s="45" t="n"/>
      <c r="K331" s="13" t="n"/>
      <c r="L331" s="13" t="n"/>
    </row>
    <row r="332" ht="15" customHeight="1">
      <c r="A332" s="13" t="n"/>
      <c r="B332" s="14">
        <f>IF(A332="","",IF(COUNTIF(lst_Jobs,A332&amp;"")&gt;0,"OK","CHECK"))</f>
        <v/>
      </c>
      <c r="C332" s="14">
        <f>IF(A332="","",IFERROR(INDEX(lst_JobName,MATCH(A332&amp;"",lst_Jobs,0)),""))</f>
        <v/>
      </c>
      <c r="D332" s="14">
        <f>IF(A332="","",IFERROR(INDEX(tbl_Finance[Client],MATCH(A332&amp;"",tbl_Finance[Job Number],0)),""))</f>
        <v/>
      </c>
      <c r="E332" s="44">
        <f>IF(A332="","",COUNTIFS(tbl_Finance[Job Number],A332&amp;"",tbl_Finance[Ex GST],"&lt;&gt;"))</f>
        <v/>
      </c>
      <c r="F332" s="16">
        <f>IF(A332="","",SUMIFS(tbl_Finance[Ex GST],tbl_Finance[Job Number],A332&amp;""))</f>
        <v/>
      </c>
      <c r="G332" s="14">
        <f>IF(A332="","",IFERROR(INDEX(tbl_Finance[Cost Centre],MATCH(A332&amp;"",tbl_Finance[Job Number],0)),"not invoiced yet"))</f>
        <v/>
      </c>
      <c r="H332" s="13" t="n"/>
      <c r="I332" s="13" t="n"/>
      <c r="J332" s="45" t="n"/>
      <c r="K332" s="13" t="n"/>
      <c r="L332" s="13" t="n"/>
    </row>
    <row r="333" ht="15" customHeight="1">
      <c r="A333" s="13" t="n"/>
      <c r="B333" s="14">
        <f>IF(A333="","",IF(COUNTIF(lst_Jobs,A333&amp;"")&gt;0,"OK","CHECK"))</f>
        <v/>
      </c>
      <c r="C333" s="14">
        <f>IF(A333="","",IFERROR(INDEX(lst_JobName,MATCH(A333&amp;"",lst_Jobs,0)),""))</f>
        <v/>
      </c>
      <c r="D333" s="14">
        <f>IF(A333="","",IFERROR(INDEX(tbl_Finance[Client],MATCH(A333&amp;"",tbl_Finance[Job Number],0)),""))</f>
        <v/>
      </c>
      <c r="E333" s="44">
        <f>IF(A333="","",COUNTIFS(tbl_Finance[Job Number],A333&amp;"",tbl_Finance[Ex GST],"&lt;&gt;"))</f>
        <v/>
      </c>
      <c r="F333" s="16">
        <f>IF(A333="","",SUMIFS(tbl_Finance[Ex GST],tbl_Finance[Job Number],A333&amp;""))</f>
        <v/>
      </c>
      <c r="G333" s="14">
        <f>IF(A333="","",IFERROR(INDEX(tbl_Finance[Cost Centre],MATCH(A333&amp;"",tbl_Finance[Job Number],0)),"not invoiced yet"))</f>
        <v/>
      </c>
      <c r="H333" s="13" t="n"/>
      <c r="I333" s="13" t="n"/>
      <c r="J333" s="45" t="n"/>
      <c r="K333" s="13" t="n"/>
      <c r="L333" s="13" t="n"/>
    </row>
    <row r="334" ht="15" customHeight="1">
      <c r="A334" s="13" t="n"/>
      <c r="B334" s="14">
        <f>IF(A334="","",IF(COUNTIF(lst_Jobs,A334&amp;"")&gt;0,"OK","CHECK"))</f>
        <v/>
      </c>
      <c r="C334" s="14">
        <f>IF(A334="","",IFERROR(INDEX(lst_JobName,MATCH(A334&amp;"",lst_Jobs,0)),""))</f>
        <v/>
      </c>
      <c r="D334" s="14">
        <f>IF(A334="","",IFERROR(INDEX(tbl_Finance[Client],MATCH(A334&amp;"",tbl_Finance[Job Number],0)),""))</f>
        <v/>
      </c>
      <c r="E334" s="44">
        <f>IF(A334="","",COUNTIFS(tbl_Finance[Job Number],A334&amp;"",tbl_Finance[Ex GST],"&lt;&gt;"))</f>
        <v/>
      </c>
      <c r="F334" s="16">
        <f>IF(A334="","",SUMIFS(tbl_Finance[Ex GST],tbl_Finance[Job Number],A334&amp;""))</f>
        <v/>
      </c>
      <c r="G334" s="14">
        <f>IF(A334="","",IFERROR(INDEX(tbl_Finance[Cost Centre],MATCH(A334&amp;"",tbl_Finance[Job Number],0)),"not invoiced yet"))</f>
        <v/>
      </c>
      <c r="H334" s="13" t="n"/>
      <c r="I334" s="13" t="n"/>
      <c r="J334" s="45" t="n"/>
      <c r="K334" s="13" t="n"/>
      <c r="L334" s="13" t="n"/>
    </row>
    <row r="335" ht="15" customHeight="1">
      <c r="A335" s="13" t="n"/>
      <c r="B335" s="14">
        <f>IF(A335="","",IF(COUNTIF(lst_Jobs,A335&amp;"")&gt;0,"OK","CHECK"))</f>
        <v/>
      </c>
      <c r="C335" s="14">
        <f>IF(A335="","",IFERROR(INDEX(lst_JobName,MATCH(A335&amp;"",lst_Jobs,0)),""))</f>
        <v/>
      </c>
      <c r="D335" s="14">
        <f>IF(A335="","",IFERROR(INDEX(tbl_Finance[Client],MATCH(A335&amp;"",tbl_Finance[Job Number],0)),""))</f>
        <v/>
      </c>
      <c r="E335" s="44">
        <f>IF(A335="","",COUNTIFS(tbl_Finance[Job Number],A335&amp;"",tbl_Finance[Ex GST],"&lt;&gt;"))</f>
        <v/>
      </c>
      <c r="F335" s="16">
        <f>IF(A335="","",SUMIFS(tbl_Finance[Ex GST],tbl_Finance[Job Number],A335&amp;""))</f>
        <v/>
      </c>
      <c r="G335" s="14">
        <f>IF(A335="","",IFERROR(INDEX(tbl_Finance[Cost Centre],MATCH(A335&amp;"",tbl_Finance[Job Number],0)),"not invoiced yet"))</f>
        <v/>
      </c>
      <c r="H335" s="13" t="n"/>
      <c r="I335" s="13" t="n"/>
      <c r="J335" s="45" t="n"/>
      <c r="K335" s="13" t="n"/>
      <c r="L335" s="13" t="n"/>
    </row>
    <row r="336" ht="15" customHeight="1">
      <c r="A336" s="13" t="n"/>
      <c r="B336" s="14">
        <f>IF(A336="","",IF(COUNTIF(lst_Jobs,A336&amp;"")&gt;0,"OK","CHECK"))</f>
        <v/>
      </c>
      <c r="C336" s="14">
        <f>IF(A336="","",IFERROR(INDEX(lst_JobName,MATCH(A336&amp;"",lst_Jobs,0)),""))</f>
        <v/>
      </c>
      <c r="D336" s="14">
        <f>IF(A336="","",IFERROR(INDEX(tbl_Finance[Client],MATCH(A336&amp;"",tbl_Finance[Job Number],0)),""))</f>
        <v/>
      </c>
      <c r="E336" s="44">
        <f>IF(A336="","",COUNTIFS(tbl_Finance[Job Number],A336&amp;"",tbl_Finance[Ex GST],"&lt;&gt;"))</f>
        <v/>
      </c>
      <c r="F336" s="16">
        <f>IF(A336="","",SUMIFS(tbl_Finance[Ex GST],tbl_Finance[Job Number],A336&amp;""))</f>
        <v/>
      </c>
      <c r="G336" s="14">
        <f>IF(A336="","",IFERROR(INDEX(tbl_Finance[Cost Centre],MATCH(A336&amp;"",tbl_Finance[Job Number],0)),"not invoiced yet"))</f>
        <v/>
      </c>
      <c r="H336" s="13" t="n"/>
      <c r="I336" s="13" t="n"/>
      <c r="J336" s="45" t="n"/>
      <c r="K336" s="13" t="n"/>
      <c r="L336" s="13" t="n"/>
    </row>
    <row r="337" ht="15" customHeight="1">
      <c r="A337" s="13" t="n"/>
      <c r="B337" s="14">
        <f>IF(A337="","",IF(COUNTIF(lst_Jobs,A337&amp;"")&gt;0,"OK","CHECK"))</f>
        <v/>
      </c>
      <c r="C337" s="14">
        <f>IF(A337="","",IFERROR(INDEX(lst_JobName,MATCH(A337&amp;"",lst_Jobs,0)),""))</f>
        <v/>
      </c>
      <c r="D337" s="14">
        <f>IF(A337="","",IFERROR(INDEX(tbl_Finance[Client],MATCH(A337&amp;"",tbl_Finance[Job Number],0)),""))</f>
        <v/>
      </c>
      <c r="E337" s="44">
        <f>IF(A337="","",COUNTIFS(tbl_Finance[Job Number],A337&amp;"",tbl_Finance[Ex GST],"&lt;&gt;"))</f>
        <v/>
      </c>
      <c r="F337" s="16">
        <f>IF(A337="","",SUMIFS(tbl_Finance[Ex GST],tbl_Finance[Job Number],A337&amp;""))</f>
        <v/>
      </c>
      <c r="G337" s="14">
        <f>IF(A337="","",IFERROR(INDEX(tbl_Finance[Cost Centre],MATCH(A337&amp;"",tbl_Finance[Job Number],0)),"not invoiced yet"))</f>
        <v/>
      </c>
      <c r="H337" s="13" t="n"/>
      <c r="I337" s="13" t="n"/>
      <c r="J337" s="45" t="n"/>
      <c r="K337" s="13" t="n"/>
      <c r="L337" s="13" t="n"/>
    </row>
    <row r="338" ht="15" customHeight="1">
      <c r="A338" s="13" t="n"/>
      <c r="B338" s="14">
        <f>IF(A338="","",IF(COUNTIF(lst_Jobs,A338&amp;"")&gt;0,"OK","CHECK"))</f>
        <v/>
      </c>
      <c r="C338" s="14">
        <f>IF(A338="","",IFERROR(INDEX(lst_JobName,MATCH(A338&amp;"",lst_Jobs,0)),""))</f>
        <v/>
      </c>
      <c r="D338" s="14">
        <f>IF(A338="","",IFERROR(INDEX(tbl_Finance[Client],MATCH(A338&amp;"",tbl_Finance[Job Number],0)),""))</f>
        <v/>
      </c>
      <c r="E338" s="44">
        <f>IF(A338="","",COUNTIFS(tbl_Finance[Job Number],A338&amp;"",tbl_Finance[Ex GST],"&lt;&gt;"))</f>
        <v/>
      </c>
      <c r="F338" s="16">
        <f>IF(A338="","",SUMIFS(tbl_Finance[Ex GST],tbl_Finance[Job Number],A338&amp;""))</f>
        <v/>
      </c>
      <c r="G338" s="14">
        <f>IF(A338="","",IFERROR(INDEX(tbl_Finance[Cost Centre],MATCH(A338&amp;"",tbl_Finance[Job Number],0)),"not invoiced yet"))</f>
        <v/>
      </c>
      <c r="H338" s="13" t="n"/>
      <c r="I338" s="13" t="n"/>
      <c r="J338" s="45" t="n"/>
      <c r="K338" s="13" t="n"/>
      <c r="L338" s="13" t="n"/>
    </row>
    <row r="339" ht="15" customHeight="1">
      <c r="A339" s="13" t="n"/>
      <c r="B339" s="14">
        <f>IF(A339="","",IF(COUNTIF(lst_Jobs,A339&amp;"")&gt;0,"OK","CHECK"))</f>
        <v/>
      </c>
      <c r="C339" s="14">
        <f>IF(A339="","",IFERROR(INDEX(lst_JobName,MATCH(A339&amp;"",lst_Jobs,0)),""))</f>
        <v/>
      </c>
      <c r="D339" s="14">
        <f>IF(A339="","",IFERROR(INDEX(tbl_Finance[Client],MATCH(A339&amp;"",tbl_Finance[Job Number],0)),""))</f>
        <v/>
      </c>
      <c r="E339" s="44">
        <f>IF(A339="","",COUNTIFS(tbl_Finance[Job Number],A339&amp;"",tbl_Finance[Ex GST],"&lt;&gt;"))</f>
        <v/>
      </c>
      <c r="F339" s="16">
        <f>IF(A339="","",SUMIFS(tbl_Finance[Ex GST],tbl_Finance[Job Number],A339&amp;""))</f>
        <v/>
      </c>
      <c r="G339" s="14">
        <f>IF(A339="","",IFERROR(INDEX(tbl_Finance[Cost Centre],MATCH(A339&amp;"",tbl_Finance[Job Number],0)),"not invoiced yet"))</f>
        <v/>
      </c>
      <c r="H339" s="13" t="n"/>
      <c r="I339" s="13" t="n"/>
      <c r="J339" s="45" t="n"/>
      <c r="K339" s="13" t="n"/>
      <c r="L339" s="13" t="n"/>
    </row>
    <row r="340" ht="15" customHeight="1">
      <c r="A340" s="13" t="n"/>
      <c r="B340" s="14">
        <f>IF(A340="","",IF(COUNTIF(lst_Jobs,A340&amp;"")&gt;0,"OK","CHECK"))</f>
        <v/>
      </c>
      <c r="C340" s="14">
        <f>IF(A340="","",IFERROR(INDEX(lst_JobName,MATCH(A340&amp;"",lst_Jobs,0)),""))</f>
        <v/>
      </c>
      <c r="D340" s="14">
        <f>IF(A340="","",IFERROR(INDEX(tbl_Finance[Client],MATCH(A340&amp;"",tbl_Finance[Job Number],0)),""))</f>
        <v/>
      </c>
      <c r="E340" s="44">
        <f>IF(A340="","",COUNTIFS(tbl_Finance[Job Number],A340&amp;"",tbl_Finance[Ex GST],"&lt;&gt;"))</f>
        <v/>
      </c>
      <c r="F340" s="16">
        <f>IF(A340="","",SUMIFS(tbl_Finance[Ex GST],tbl_Finance[Job Number],A340&amp;""))</f>
        <v/>
      </c>
      <c r="G340" s="14">
        <f>IF(A340="","",IFERROR(INDEX(tbl_Finance[Cost Centre],MATCH(A340&amp;"",tbl_Finance[Job Number],0)),"not invoiced yet"))</f>
        <v/>
      </c>
      <c r="H340" s="13" t="n"/>
      <c r="I340" s="13" t="n"/>
      <c r="J340" s="45" t="n"/>
      <c r="K340" s="13" t="n"/>
      <c r="L340" s="13" t="n"/>
    </row>
    <row r="341" ht="15" customHeight="1">
      <c r="A341" s="13" t="n"/>
      <c r="B341" s="14">
        <f>IF(A341="","",IF(COUNTIF(lst_Jobs,A341&amp;"")&gt;0,"OK","CHECK"))</f>
        <v/>
      </c>
      <c r="C341" s="14">
        <f>IF(A341="","",IFERROR(INDEX(lst_JobName,MATCH(A341&amp;"",lst_Jobs,0)),""))</f>
        <v/>
      </c>
      <c r="D341" s="14">
        <f>IF(A341="","",IFERROR(INDEX(tbl_Finance[Client],MATCH(A341&amp;"",tbl_Finance[Job Number],0)),""))</f>
        <v/>
      </c>
      <c r="E341" s="44">
        <f>IF(A341="","",COUNTIFS(tbl_Finance[Job Number],A341&amp;"",tbl_Finance[Ex GST],"&lt;&gt;"))</f>
        <v/>
      </c>
      <c r="F341" s="16">
        <f>IF(A341="","",SUMIFS(tbl_Finance[Ex GST],tbl_Finance[Job Number],A341&amp;""))</f>
        <v/>
      </c>
      <c r="G341" s="14">
        <f>IF(A341="","",IFERROR(INDEX(tbl_Finance[Cost Centre],MATCH(A341&amp;"",tbl_Finance[Job Number],0)),"not invoiced yet"))</f>
        <v/>
      </c>
      <c r="H341" s="13" t="n"/>
      <c r="I341" s="13" t="n"/>
      <c r="J341" s="45" t="n"/>
      <c r="K341" s="13" t="n"/>
      <c r="L341" s="13" t="n"/>
    </row>
    <row r="342" ht="15" customHeight="1">
      <c r="A342" s="13" t="n"/>
      <c r="B342" s="14">
        <f>IF(A342="","",IF(COUNTIF(lst_Jobs,A342&amp;"")&gt;0,"OK","CHECK"))</f>
        <v/>
      </c>
      <c r="C342" s="14">
        <f>IF(A342="","",IFERROR(INDEX(lst_JobName,MATCH(A342&amp;"",lst_Jobs,0)),""))</f>
        <v/>
      </c>
      <c r="D342" s="14">
        <f>IF(A342="","",IFERROR(INDEX(tbl_Finance[Client],MATCH(A342&amp;"",tbl_Finance[Job Number],0)),""))</f>
        <v/>
      </c>
      <c r="E342" s="44">
        <f>IF(A342="","",COUNTIFS(tbl_Finance[Job Number],A342&amp;"",tbl_Finance[Ex GST],"&lt;&gt;"))</f>
        <v/>
      </c>
      <c r="F342" s="16">
        <f>IF(A342="","",SUMIFS(tbl_Finance[Ex GST],tbl_Finance[Job Number],A342&amp;""))</f>
        <v/>
      </c>
      <c r="G342" s="14">
        <f>IF(A342="","",IFERROR(INDEX(tbl_Finance[Cost Centre],MATCH(A342&amp;"",tbl_Finance[Job Number],0)),"not invoiced yet"))</f>
        <v/>
      </c>
      <c r="H342" s="13" t="n"/>
      <c r="I342" s="13" t="n"/>
      <c r="J342" s="45" t="n"/>
      <c r="K342" s="13" t="n"/>
      <c r="L342" s="13" t="n"/>
    </row>
    <row r="343" ht="15" customHeight="1">
      <c r="A343" s="13" t="n"/>
      <c r="B343" s="14">
        <f>IF(A343="","",IF(COUNTIF(lst_Jobs,A343&amp;"")&gt;0,"OK","CHECK"))</f>
        <v/>
      </c>
      <c r="C343" s="14">
        <f>IF(A343="","",IFERROR(INDEX(lst_JobName,MATCH(A343&amp;"",lst_Jobs,0)),""))</f>
        <v/>
      </c>
      <c r="D343" s="14">
        <f>IF(A343="","",IFERROR(INDEX(tbl_Finance[Client],MATCH(A343&amp;"",tbl_Finance[Job Number],0)),""))</f>
        <v/>
      </c>
      <c r="E343" s="44">
        <f>IF(A343="","",COUNTIFS(tbl_Finance[Job Number],A343&amp;"",tbl_Finance[Ex GST],"&lt;&gt;"))</f>
        <v/>
      </c>
      <c r="F343" s="16">
        <f>IF(A343="","",SUMIFS(tbl_Finance[Ex GST],tbl_Finance[Job Number],A343&amp;""))</f>
        <v/>
      </c>
      <c r="G343" s="14">
        <f>IF(A343="","",IFERROR(INDEX(tbl_Finance[Cost Centre],MATCH(A343&amp;"",tbl_Finance[Job Number],0)),"not invoiced yet"))</f>
        <v/>
      </c>
      <c r="H343" s="13" t="n"/>
      <c r="I343" s="13" t="n"/>
      <c r="J343" s="45" t="n"/>
      <c r="K343" s="13" t="n"/>
      <c r="L343" s="13" t="n"/>
    </row>
    <row r="344" ht="15" customHeight="1">
      <c r="A344" s="13" t="n"/>
      <c r="B344" s="14">
        <f>IF(A344="","",IF(COUNTIF(lst_Jobs,A344&amp;"")&gt;0,"OK","CHECK"))</f>
        <v/>
      </c>
      <c r="C344" s="14">
        <f>IF(A344="","",IFERROR(INDEX(lst_JobName,MATCH(A344&amp;"",lst_Jobs,0)),""))</f>
        <v/>
      </c>
      <c r="D344" s="14">
        <f>IF(A344="","",IFERROR(INDEX(tbl_Finance[Client],MATCH(A344&amp;"",tbl_Finance[Job Number],0)),""))</f>
        <v/>
      </c>
      <c r="E344" s="44">
        <f>IF(A344="","",COUNTIFS(tbl_Finance[Job Number],A344&amp;"",tbl_Finance[Ex GST],"&lt;&gt;"))</f>
        <v/>
      </c>
      <c r="F344" s="16">
        <f>IF(A344="","",SUMIFS(tbl_Finance[Ex GST],tbl_Finance[Job Number],A344&amp;""))</f>
        <v/>
      </c>
      <c r="G344" s="14">
        <f>IF(A344="","",IFERROR(INDEX(tbl_Finance[Cost Centre],MATCH(A344&amp;"",tbl_Finance[Job Number],0)),"not invoiced yet"))</f>
        <v/>
      </c>
      <c r="H344" s="13" t="n"/>
      <c r="I344" s="13" t="n"/>
      <c r="J344" s="45" t="n"/>
      <c r="K344" s="13" t="n"/>
      <c r="L344" s="13" t="n"/>
    </row>
    <row r="345" ht="15" customHeight="1">
      <c r="A345" s="13" t="n"/>
      <c r="B345" s="14">
        <f>IF(A345="","",IF(COUNTIF(lst_Jobs,A345&amp;"")&gt;0,"OK","CHECK"))</f>
        <v/>
      </c>
      <c r="C345" s="14">
        <f>IF(A345="","",IFERROR(INDEX(lst_JobName,MATCH(A345&amp;"",lst_Jobs,0)),""))</f>
        <v/>
      </c>
      <c r="D345" s="14">
        <f>IF(A345="","",IFERROR(INDEX(tbl_Finance[Client],MATCH(A345&amp;"",tbl_Finance[Job Number],0)),""))</f>
        <v/>
      </c>
      <c r="E345" s="44">
        <f>IF(A345="","",COUNTIFS(tbl_Finance[Job Number],A345&amp;"",tbl_Finance[Ex GST],"&lt;&gt;"))</f>
        <v/>
      </c>
      <c r="F345" s="16">
        <f>IF(A345="","",SUMIFS(tbl_Finance[Ex GST],tbl_Finance[Job Number],A345&amp;""))</f>
        <v/>
      </c>
      <c r="G345" s="14">
        <f>IF(A345="","",IFERROR(INDEX(tbl_Finance[Cost Centre],MATCH(A345&amp;"",tbl_Finance[Job Number],0)),"not invoiced yet"))</f>
        <v/>
      </c>
      <c r="H345" s="13" t="n"/>
      <c r="I345" s="13" t="n"/>
      <c r="J345" s="45" t="n"/>
      <c r="K345" s="13" t="n"/>
      <c r="L345" s="13" t="n"/>
    </row>
    <row r="346" ht="15" customHeight="1">
      <c r="A346" s="13" t="n"/>
      <c r="B346" s="14">
        <f>IF(A346="","",IF(COUNTIF(lst_Jobs,A346&amp;"")&gt;0,"OK","CHECK"))</f>
        <v/>
      </c>
      <c r="C346" s="14">
        <f>IF(A346="","",IFERROR(INDEX(lst_JobName,MATCH(A346&amp;"",lst_Jobs,0)),""))</f>
        <v/>
      </c>
      <c r="D346" s="14">
        <f>IF(A346="","",IFERROR(INDEX(tbl_Finance[Client],MATCH(A346&amp;"",tbl_Finance[Job Number],0)),""))</f>
        <v/>
      </c>
      <c r="E346" s="44">
        <f>IF(A346="","",COUNTIFS(tbl_Finance[Job Number],A346&amp;"",tbl_Finance[Ex GST],"&lt;&gt;"))</f>
        <v/>
      </c>
      <c r="F346" s="16">
        <f>IF(A346="","",SUMIFS(tbl_Finance[Ex GST],tbl_Finance[Job Number],A346&amp;""))</f>
        <v/>
      </c>
      <c r="G346" s="14">
        <f>IF(A346="","",IFERROR(INDEX(tbl_Finance[Cost Centre],MATCH(A346&amp;"",tbl_Finance[Job Number],0)),"not invoiced yet"))</f>
        <v/>
      </c>
      <c r="H346" s="13" t="n"/>
      <c r="I346" s="13" t="n"/>
      <c r="J346" s="45" t="n"/>
      <c r="K346" s="13" t="n"/>
      <c r="L346" s="13" t="n"/>
    </row>
    <row r="347" ht="15" customHeight="1">
      <c r="A347" s="13" t="n"/>
      <c r="B347" s="14">
        <f>IF(A347="","",IF(COUNTIF(lst_Jobs,A347&amp;"")&gt;0,"OK","CHECK"))</f>
        <v/>
      </c>
      <c r="C347" s="14">
        <f>IF(A347="","",IFERROR(INDEX(lst_JobName,MATCH(A347&amp;"",lst_Jobs,0)),""))</f>
        <v/>
      </c>
      <c r="D347" s="14">
        <f>IF(A347="","",IFERROR(INDEX(tbl_Finance[Client],MATCH(A347&amp;"",tbl_Finance[Job Number],0)),""))</f>
        <v/>
      </c>
      <c r="E347" s="44">
        <f>IF(A347="","",COUNTIFS(tbl_Finance[Job Number],A347&amp;"",tbl_Finance[Ex GST],"&lt;&gt;"))</f>
        <v/>
      </c>
      <c r="F347" s="16">
        <f>IF(A347="","",SUMIFS(tbl_Finance[Ex GST],tbl_Finance[Job Number],A347&amp;""))</f>
        <v/>
      </c>
      <c r="G347" s="14">
        <f>IF(A347="","",IFERROR(INDEX(tbl_Finance[Cost Centre],MATCH(A347&amp;"",tbl_Finance[Job Number],0)),"not invoiced yet"))</f>
        <v/>
      </c>
      <c r="H347" s="13" t="n"/>
      <c r="I347" s="13" t="n"/>
      <c r="J347" s="45" t="n"/>
      <c r="K347" s="13" t="n"/>
      <c r="L347" s="13" t="n"/>
    </row>
    <row r="348" ht="15" customHeight="1">
      <c r="A348" s="13" t="n"/>
      <c r="B348" s="14">
        <f>IF(A348="","",IF(COUNTIF(lst_Jobs,A348&amp;"")&gt;0,"OK","CHECK"))</f>
        <v/>
      </c>
      <c r="C348" s="14">
        <f>IF(A348="","",IFERROR(INDEX(lst_JobName,MATCH(A348&amp;"",lst_Jobs,0)),""))</f>
        <v/>
      </c>
      <c r="D348" s="14">
        <f>IF(A348="","",IFERROR(INDEX(tbl_Finance[Client],MATCH(A348&amp;"",tbl_Finance[Job Number],0)),""))</f>
        <v/>
      </c>
      <c r="E348" s="44">
        <f>IF(A348="","",COUNTIFS(tbl_Finance[Job Number],A348&amp;"",tbl_Finance[Ex GST],"&lt;&gt;"))</f>
        <v/>
      </c>
      <c r="F348" s="16">
        <f>IF(A348="","",SUMIFS(tbl_Finance[Ex GST],tbl_Finance[Job Number],A348&amp;""))</f>
        <v/>
      </c>
      <c r="G348" s="14">
        <f>IF(A348="","",IFERROR(INDEX(tbl_Finance[Cost Centre],MATCH(A348&amp;"",tbl_Finance[Job Number],0)),"not invoiced yet"))</f>
        <v/>
      </c>
      <c r="H348" s="13" t="n"/>
      <c r="I348" s="13" t="n"/>
      <c r="J348" s="45" t="n"/>
      <c r="K348" s="13" t="n"/>
      <c r="L348" s="13" t="n"/>
    </row>
    <row r="349" ht="15" customHeight="1">
      <c r="A349" s="13" t="n"/>
      <c r="B349" s="14">
        <f>IF(A349="","",IF(COUNTIF(lst_Jobs,A349&amp;"")&gt;0,"OK","CHECK"))</f>
        <v/>
      </c>
      <c r="C349" s="14">
        <f>IF(A349="","",IFERROR(INDEX(lst_JobName,MATCH(A349&amp;"",lst_Jobs,0)),""))</f>
        <v/>
      </c>
      <c r="D349" s="14">
        <f>IF(A349="","",IFERROR(INDEX(tbl_Finance[Client],MATCH(A349&amp;"",tbl_Finance[Job Number],0)),""))</f>
        <v/>
      </c>
      <c r="E349" s="44">
        <f>IF(A349="","",COUNTIFS(tbl_Finance[Job Number],A349&amp;"",tbl_Finance[Ex GST],"&lt;&gt;"))</f>
        <v/>
      </c>
      <c r="F349" s="16">
        <f>IF(A349="","",SUMIFS(tbl_Finance[Ex GST],tbl_Finance[Job Number],A349&amp;""))</f>
        <v/>
      </c>
      <c r="G349" s="14">
        <f>IF(A349="","",IFERROR(INDEX(tbl_Finance[Cost Centre],MATCH(A349&amp;"",tbl_Finance[Job Number],0)),"not invoiced yet"))</f>
        <v/>
      </c>
      <c r="H349" s="13" t="n"/>
      <c r="I349" s="13" t="n"/>
      <c r="J349" s="45" t="n"/>
      <c r="K349" s="13" t="n"/>
      <c r="L349" s="13" t="n"/>
    </row>
    <row r="350" ht="15" customHeight="1">
      <c r="A350" s="13" t="n"/>
      <c r="B350" s="14">
        <f>IF(A350="","",IF(COUNTIF(lst_Jobs,A350&amp;"")&gt;0,"OK","CHECK"))</f>
        <v/>
      </c>
      <c r="C350" s="14">
        <f>IF(A350="","",IFERROR(INDEX(lst_JobName,MATCH(A350&amp;"",lst_Jobs,0)),""))</f>
        <v/>
      </c>
      <c r="D350" s="14">
        <f>IF(A350="","",IFERROR(INDEX(tbl_Finance[Client],MATCH(A350&amp;"",tbl_Finance[Job Number],0)),""))</f>
        <v/>
      </c>
      <c r="E350" s="44">
        <f>IF(A350="","",COUNTIFS(tbl_Finance[Job Number],A350&amp;"",tbl_Finance[Ex GST],"&lt;&gt;"))</f>
        <v/>
      </c>
      <c r="F350" s="16">
        <f>IF(A350="","",SUMIFS(tbl_Finance[Ex GST],tbl_Finance[Job Number],A350&amp;""))</f>
        <v/>
      </c>
      <c r="G350" s="14">
        <f>IF(A350="","",IFERROR(INDEX(tbl_Finance[Cost Centre],MATCH(A350&amp;"",tbl_Finance[Job Number],0)),"not invoiced yet"))</f>
        <v/>
      </c>
      <c r="H350" s="13" t="n"/>
      <c r="I350" s="13" t="n"/>
      <c r="J350" s="45" t="n"/>
      <c r="K350" s="13" t="n"/>
      <c r="L350" s="13" t="n"/>
    </row>
    <row r="351" ht="15" customHeight="1">
      <c r="A351" s="13" t="n"/>
      <c r="B351" s="14">
        <f>IF(A351="","",IF(COUNTIF(lst_Jobs,A351&amp;"")&gt;0,"OK","CHECK"))</f>
        <v/>
      </c>
      <c r="C351" s="14">
        <f>IF(A351="","",IFERROR(INDEX(lst_JobName,MATCH(A351&amp;"",lst_Jobs,0)),""))</f>
        <v/>
      </c>
      <c r="D351" s="14">
        <f>IF(A351="","",IFERROR(INDEX(tbl_Finance[Client],MATCH(A351&amp;"",tbl_Finance[Job Number],0)),""))</f>
        <v/>
      </c>
      <c r="E351" s="44">
        <f>IF(A351="","",COUNTIFS(tbl_Finance[Job Number],A351&amp;"",tbl_Finance[Ex GST],"&lt;&gt;"))</f>
        <v/>
      </c>
      <c r="F351" s="16">
        <f>IF(A351="","",SUMIFS(tbl_Finance[Ex GST],tbl_Finance[Job Number],A351&amp;""))</f>
        <v/>
      </c>
      <c r="G351" s="14">
        <f>IF(A351="","",IFERROR(INDEX(tbl_Finance[Cost Centre],MATCH(A351&amp;"",tbl_Finance[Job Number],0)),"not invoiced yet"))</f>
        <v/>
      </c>
      <c r="H351" s="13" t="n"/>
      <c r="I351" s="13" t="n"/>
      <c r="J351" s="45" t="n"/>
      <c r="K351" s="13" t="n"/>
      <c r="L351" s="13" t="n"/>
    </row>
    <row r="352" ht="15" customHeight="1">
      <c r="A352" s="13" t="n"/>
      <c r="B352" s="14">
        <f>IF(A352="","",IF(COUNTIF(lst_Jobs,A352&amp;"")&gt;0,"OK","CHECK"))</f>
        <v/>
      </c>
      <c r="C352" s="14">
        <f>IF(A352="","",IFERROR(INDEX(lst_JobName,MATCH(A352&amp;"",lst_Jobs,0)),""))</f>
        <v/>
      </c>
      <c r="D352" s="14">
        <f>IF(A352="","",IFERROR(INDEX(tbl_Finance[Client],MATCH(A352&amp;"",tbl_Finance[Job Number],0)),""))</f>
        <v/>
      </c>
      <c r="E352" s="44">
        <f>IF(A352="","",COUNTIFS(tbl_Finance[Job Number],A352&amp;"",tbl_Finance[Ex GST],"&lt;&gt;"))</f>
        <v/>
      </c>
      <c r="F352" s="16">
        <f>IF(A352="","",SUMIFS(tbl_Finance[Ex GST],tbl_Finance[Job Number],A352&amp;""))</f>
        <v/>
      </c>
      <c r="G352" s="14">
        <f>IF(A352="","",IFERROR(INDEX(tbl_Finance[Cost Centre],MATCH(A352&amp;"",tbl_Finance[Job Number],0)),"not invoiced yet"))</f>
        <v/>
      </c>
      <c r="H352" s="13" t="n"/>
      <c r="I352" s="13" t="n"/>
      <c r="J352" s="45" t="n"/>
      <c r="K352" s="13" t="n"/>
      <c r="L352" s="13" t="n"/>
    </row>
    <row r="353" ht="15" customHeight="1">
      <c r="A353" s="13" t="n"/>
      <c r="B353" s="14">
        <f>IF(A353="","",IF(COUNTIF(lst_Jobs,A353&amp;"")&gt;0,"OK","CHECK"))</f>
        <v/>
      </c>
      <c r="C353" s="14">
        <f>IF(A353="","",IFERROR(INDEX(lst_JobName,MATCH(A353&amp;"",lst_Jobs,0)),""))</f>
        <v/>
      </c>
      <c r="D353" s="14">
        <f>IF(A353="","",IFERROR(INDEX(tbl_Finance[Client],MATCH(A353&amp;"",tbl_Finance[Job Number],0)),""))</f>
        <v/>
      </c>
      <c r="E353" s="44">
        <f>IF(A353="","",COUNTIFS(tbl_Finance[Job Number],A353&amp;"",tbl_Finance[Ex GST],"&lt;&gt;"))</f>
        <v/>
      </c>
      <c r="F353" s="16">
        <f>IF(A353="","",SUMIFS(tbl_Finance[Ex GST],tbl_Finance[Job Number],A353&amp;""))</f>
        <v/>
      </c>
      <c r="G353" s="14">
        <f>IF(A353="","",IFERROR(INDEX(tbl_Finance[Cost Centre],MATCH(A353&amp;"",tbl_Finance[Job Number],0)),"not invoiced yet"))</f>
        <v/>
      </c>
      <c r="H353" s="13" t="n"/>
      <c r="I353" s="13" t="n"/>
      <c r="J353" s="45" t="n"/>
      <c r="K353" s="13" t="n"/>
      <c r="L353" s="13" t="n"/>
    </row>
    <row r="354" ht="15" customHeight="1">
      <c r="A354" s="13" t="n"/>
      <c r="B354" s="14">
        <f>IF(A354="","",IF(COUNTIF(lst_Jobs,A354&amp;"")&gt;0,"OK","CHECK"))</f>
        <v/>
      </c>
      <c r="C354" s="14">
        <f>IF(A354="","",IFERROR(INDEX(lst_JobName,MATCH(A354&amp;"",lst_Jobs,0)),""))</f>
        <v/>
      </c>
      <c r="D354" s="14">
        <f>IF(A354="","",IFERROR(INDEX(tbl_Finance[Client],MATCH(A354&amp;"",tbl_Finance[Job Number],0)),""))</f>
        <v/>
      </c>
      <c r="E354" s="44">
        <f>IF(A354="","",COUNTIFS(tbl_Finance[Job Number],A354&amp;"",tbl_Finance[Ex GST],"&lt;&gt;"))</f>
        <v/>
      </c>
      <c r="F354" s="16">
        <f>IF(A354="","",SUMIFS(tbl_Finance[Ex GST],tbl_Finance[Job Number],A354&amp;""))</f>
        <v/>
      </c>
      <c r="G354" s="14">
        <f>IF(A354="","",IFERROR(INDEX(tbl_Finance[Cost Centre],MATCH(A354&amp;"",tbl_Finance[Job Number],0)),"not invoiced yet"))</f>
        <v/>
      </c>
      <c r="H354" s="13" t="n"/>
      <c r="I354" s="13" t="n"/>
      <c r="J354" s="45" t="n"/>
      <c r="K354" s="13" t="n"/>
      <c r="L354" s="13" t="n"/>
    </row>
    <row r="355" ht="15" customHeight="1">
      <c r="A355" s="13" t="n"/>
      <c r="B355" s="14">
        <f>IF(A355="","",IF(COUNTIF(lst_Jobs,A355&amp;"")&gt;0,"OK","CHECK"))</f>
        <v/>
      </c>
      <c r="C355" s="14">
        <f>IF(A355="","",IFERROR(INDEX(lst_JobName,MATCH(A355&amp;"",lst_Jobs,0)),""))</f>
        <v/>
      </c>
      <c r="D355" s="14">
        <f>IF(A355="","",IFERROR(INDEX(tbl_Finance[Client],MATCH(A355&amp;"",tbl_Finance[Job Number],0)),""))</f>
        <v/>
      </c>
      <c r="E355" s="44">
        <f>IF(A355="","",COUNTIFS(tbl_Finance[Job Number],A355&amp;"",tbl_Finance[Ex GST],"&lt;&gt;"))</f>
        <v/>
      </c>
      <c r="F355" s="16">
        <f>IF(A355="","",SUMIFS(tbl_Finance[Ex GST],tbl_Finance[Job Number],A355&amp;""))</f>
        <v/>
      </c>
      <c r="G355" s="14">
        <f>IF(A355="","",IFERROR(INDEX(tbl_Finance[Cost Centre],MATCH(A355&amp;"",tbl_Finance[Job Number],0)),"not invoiced yet"))</f>
        <v/>
      </c>
      <c r="H355" s="13" t="n"/>
      <c r="I355" s="13" t="n"/>
      <c r="J355" s="45" t="n"/>
      <c r="K355" s="13" t="n"/>
      <c r="L355" s="13" t="n"/>
    </row>
    <row r="356" ht="15" customHeight="1">
      <c r="A356" s="13" t="n"/>
      <c r="B356" s="14">
        <f>IF(A356="","",IF(COUNTIF(lst_Jobs,A356&amp;"")&gt;0,"OK","CHECK"))</f>
        <v/>
      </c>
      <c r="C356" s="14">
        <f>IF(A356="","",IFERROR(INDEX(lst_JobName,MATCH(A356&amp;"",lst_Jobs,0)),""))</f>
        <v/>
      </c>
      <c r="D356" s="14">
        <f>IF(A356="","",IFERROR(INDEX(tbl_Finance[Client],MATCH(A356&amp;"",tbl_Finance[Job Number],0)),""))</f>
        <v/>
      </c>
      <c r="E356" s="44">
        <f>IF(A356="","",COUNTIFS(tbl_Finance[Job Number],A356&amp;"",tbl_Finance[Ex GST],"&lt;&gt;"))</f>
        <v/>
      </c>
      <c r="F356" s="16">
        <f>IF(A356="","",SUMIFS(tbl_Finance[Ex GST],tbl_Finance[Job Number],A356&amp;""))</f>
        <v/>
      </c>
      <c r="G356" s="14">
        <f>IF(A356="","",IFERROR(INDEX(tbl_Finance[Cost Centre],MATCH(A356&amp;"",tbl_Finance[Job Number],0)),"not invoiced yet"))</f>
        <v/>
      </c>
      <c r="H356" s="13" t="n"/>
      <c r="I356" s="13" t="n"/>
      <c r="J356" s="45" t="n"/>
      <c r="K356" s="13" t="n"/>
      <c r="L356" s="13" t="n"/>
    </row>
    <row r="357" ht="15" customHeight="1">
      <c r="A357" s="13" t="n"/>
      <c r="B357" s="14">
        <f>IF(A357="","",IF(COUNTIF(lst_Jobs,A357&amp;"")&gt;0,"OK","CHECK"))</f>
        <v/>
      </c>
      <c r="C357" s="14">
        <f>IF(A357="","",IFERROR(INDEX(lst_JobName,MATCH(A357&amp;"",lst_Jobs,0)),""))</f>
        <v/>
      </c>
      <c r="D357" s="14">
        <f>IF(A357="","",IFERROR(INDEX(tbl_Finance[Client],MATCH(A357&amp;"",tbl_Finance[Job Number],0)),""))</f>
        <v/>
      </c>
      <c r="E357" s="44">
        <f>IF(A357="","",COUNTIFS(tbl_Finance[Job Number],A357&amp;"",tbl_Finance[Ex GST],"&lt;&gt;"))</f>
        <v/>
      </c>
      <c r="F357" s="16">
        <f>IF(A357="","",SUMIFS(tbl_Finance[Ex GST],tbl_Finance[Job Number],A357&amp;""))</f>
        <v/>
      </c>
      <c r="G357" s="14">
        <f>IF(A357="","",IFERROR(INDEX(tbl_Finance[Cost Centre],MATCH(A357&amp;"",tbl_Finance[Job Number],0)),"not invoiced yet"))</f>
        <v/>
      </c>
      <c r="H357" s="13" t="n"/>
      <c r="I357" s="13" t="n"/>
      <c r="J357" s="45" t="n"/>
      <c r="K357" s="13" t="n"/>
      <c r="L357" s="13" t="n"/>
    </row>
    <row r="358" ht="15" customHeight="1">
      <c r="A358" s="13" t="n"/>
      <c r="B358" s="14">
        <f>IF(A358="","",IF(COUNTIF(lst_Jobs,A358&amp;"")&gt;0,"OK","CHECK"))</f>
        <v/>
      </c>
      <c r="C358" s="14">
        <f>IF(A358="","",IFERROR(INDEX(lst_JobName,MATCH(A358&amp;"",lst_Jobs,0)),""))</f>
        <v/>
      </c>
      <c r="D358" s="14">
        <f>IF(A358="","",IFERROR(INDEX(tbl_Finance[Client],MATCH(A358&amp;"",tbl_Finance[Job Number],0)),""))</f>
        <v/>
      </c>
      <c r="E358" s="44">
        <f>IF(A358="","",COUNTIFS(tbl_Finance[Job Number],A358&amp;"",tbl_Finance[Ex GST],"&lt;&gt;"))</f>
        <v/>
      </c>
      <c r="F358" s="16">
        <f>IF(A358="","",SUMIFS(tbl_Finance[Ex GST],tbl_Finance[Job Number],A358&amp;""))</f>
        <v/>
      </c>
      <c r="G358" s="14">
        <f>IF(A358="","",IFERROR(INDEX(tbl_Finance[Cost Centre],MATCH(A358&amp;"",tbl_Finance[Job Number],0)),"not invoiced yet"))</f>
        <v/>
      </c>
      <c r="H358" s="13" t="n"/>
      <c r="I358" s="13" t="n"/>
      <c r="J358" s="45" t="n"/>
      <c r="K358" s="13" t="n"/>
      <c r="L358" s="13" t="n"/>
    </row>
    <row r="359" ht="15" customHeight="1">
      <c r="A359" s="13" t="n"/>
      <c r="B359" s="14">
        <f>IF(A359="","",IF(COUNTIF(lst_Jobs,A359&amp;"")&gt;0,"OK","CHECK"))</f>
        <v/>
      </c>
      <c r="C359" s="14">
        <f>IF(A359="","",IFERROR(INDEX(lst_JobName,MATCH(A359&amp;"",lst_Jobs,0)),""))</f>
        <v/>
      </c>
      <c r="D359" s="14">
        <f>IF(A359="","",IFERROR(INDEX(tbl_Finance[Client],MATCH(A359&amp;"",tbl_Finance[Job Number],0)),""))</f>
        <v/>
      </c>
      <c r="E359" s="44">
        <f>IF(A359="","",COUNTIFS(tbl_Finance[Job Number],A359&amp;"",tbl_Finance[Ex GST],"&lt;&gt;"))</f>
        <v/>
      </c>
      <c r="F359" s="16">
        <f>IF(A359="","",SUMIFS(tbl_Finance[Ex GST],tbl_Finance[Job Number],A359&amp;""))</f>
        <v/>
      </c>
      <c r="G359" s="14">
        <f>IF(A359="","",IFERROR(INDEX(tbl_Finance[Cost Centre],MATCH(A359&amp;"",tbl_Finance[Job Number],0)),"not invoiced yet"))</f>
        <v/>
      </c>
      <c r="H359" s="13" t="n"/>
      <c r="I359" s="13" t="n"/>
      <c r="J359" s="45" t="n"/>
      <c r="K359" s="13" t="n"/>
      <c r="L359" s="13" t="n"/>
    </row>
    <row r="360" ht="15" customHeight="1">
      <c r="A360" s="13" t="n"/>
      <c r="B360" s="14">
        <f>IF(A360="","",IF(COUNTIF(lst_Jobs,A360&amp;"")&gt;0,"OK","CHECK"))</f>
        <v/>
      </c>
      <c r="C360" s="14">
        <f>IF(A360="","",IFERROR(INDEX(lst_JobName,MATCH(A360&amp;"",lst_Jobs,0)),""))</f>
        <v/>
      </c>
      <c r="D360" s="14">
        <f>IF(A360="","",IFERROR(INDEX(tbl_Finance[Client],MATCH(A360&amp;"",tbl_Finance[Job Number],0)),""))</f>
        <v/>
      </c>
      <c r="E360" s="44">
        <f>IF(A360="","",COUNTIFS(tbl_Finance[Job Number],A360&amp;"",tbl_Finance[Ex GST],"&lt;&gt;"))</f>
        <v/>
      </c>
      <c r="F360" s="16">
        <f>IF(A360="","",SUMIFS(tbl_Finance[Ex GST],tbl_Finance[Job Number],A360&amp;""))</f>
        <v/>
      </c>
      <c r="G360" s="14">
        <f>IF(A360="","",IFERROR(INDEX(tbl_Finance[Cost Centre],MATCH(A360&amp;"",tbl_Finance[Job Number],0)),"not invoiced yet"))</f>
        <v/>
      </c>
      <c r="H360" s="13" t="n"/>
      <c r="I360" s="13" t="n"/>
      <c r="J360" s="45" t="n"/>
      <c r="K360" s="13" t="n"/>
      <c r="L360" s="13" t="n"/>
    </row>
    <row r="361" ht="15" customHeight="1">
      <c r="A361" s="13" t="n"/>
      <c r="B361" s="14">
        <f>IF(A361="","",IF(COUNTIF(lst_Jobs,A361&amp;"")&gt;0,"OK","CHECK"))</f>
        <v/>
      </c>
      <c r="C361" s="14">
        <f>IF(A361="","",IFERROR(INDEX(lst_JobName,MATCH(A361&amp;"",lst_Jobs,0)),""))</f>
        <v/>
      </c>
      <c r="D361" s="14">
        <f>IF(A361="","",IFERROR(INDEX(tbl_Finance[Client],MATCH(A361&amp;"",tbl_Finance[Job Number],0)),""))</f>
        <v/>
      </c>
      <c r="E361" s="44">
        <f>IF(A361="","",COUNTIFS(tbl_Finance[Job Number],A361&amp;"",tbl_Finance[Ex GST],"&lt;&gt;"))</f>
        <v/>
      </c>
      <c r="F361" s="16">
        <f>IF(A361="","",SUMIFS(tbl_Finance[Ex GST],tbl_Finance[Job Number],A361&amp;""))</f>
        <v/>
      </c>
      <c r="G361" s="14">
        <f>IF(A361="","",IFERROR(INDEX(tbl_Finance[Cost Centre],MATCH(A361&amp;"",tbl_Finance[Job Number],0)),"not invoiced yet"))</f>
        <v/>
      </c>
      <c r="H361" s="13" t="n"/>
      <c r="I361" s="13" t="n"/>
      <c r="J361" s="45" t="n"/>
      <c r="K361" s="13" t="n"/>
      <c r="L361" s="13" t="n"/>
    </row>
    <row r="362" ht="15" customHeight="1">
      <c r="A362" s="13" t="n"/>
      <c r="B362" s="14">
        <f>IF(A362="","",IF(COUNTIF(lst_Jobs,A362&amp;"")&gt;0,"OK","CHECK"))</f>
        <v/>
      </c>
      <c r="C362" s="14">
        <f>IF(A362="","",IFERROR(INDEX(lst_JobName,MATCH(A362&amp;"",lst_Jobs,0)),""))</f>
        <v/>
      </c>
      <c r="D362" s="14">
        <f>IF(A362="","",IFERROR(INDEX(tbl_Finance[Client],MATCH(A362&amp;"",tbl_Finance[Job Number],0)),""))</f>
        <v/>
      </c>
      <c r="E362" s="44">
        <f>IF(A362="","",COUNTIFS(tbl_Finance[Job Number],A362&amp;"",tbl_Finance[Ex GST],"&lt;&gt;"))</f>
        <v/>
      </c>
      <c r="F362" s="16">
        <f>IF(A362="","",SUMIFS(tbl_Finance[Ex GST],tbl_Finance[Job Number],A362&amp;""))</f>
        <v/>
      </c>
      <c r="G362" s="14">
        <f>IF(A362="","",IFERROR(INDEX(tbl_Finance[Cost Centre],MATCH(A362&amp;"",tbl_Finance[Job Number],0)),"not invoiced yet"))</f>
        <v/>
      </c>
      <c r="H362" s="13" t="n"/>
      <c r="I362" s="13" t="n"/>
      <c r="J362" s="45" t="n"/>
      <c r="K362" s="13" t="n"/>
      <c r="L362" s="13" t="n"/>
    </row>
    <row r="363" ht="15" customHeight="1">
      <c r="A363" s="13" t="n"/>
      <c r="B363" s="14">
        <f>IF(A363="","",IF(COUNTIF(lst_Jobs,A363&amp;"")&gt;0,"OK","CHECK"))</f>
        <v/>
      </c>
      <c r="C363" s="14">
        <f>IF(A363="","",IFERROR(INDEX(lst_JobName,MATCH(A363&amp;"",lst_Jobs,0)),""))</f>
        <v/>
      </c>
      <c r="D363" s="14">
        <f>IF(A363="","",IFERROR(INDEX(tbl_Finance[Client],MATCH(A363&amp;"",tbl_Finance[Job Number],0)),""))</f>
        <v/>
      </c>
      <c r="E363" s="44">
        <f>IF(A363="","",COUNTIFS(tbl_Finance[Job Number],A363&amp;"",tbl_Finance[Ex GST],"&lt;&gt;"))</f>
        <v/>
      </c>
      <c r="F363" s="16">
        <f>IF(A363="","",SUMIFS(tbl_Finance[Ex GST],tbl_Finance[Job Number],A363&amp;""))</f>
        <v/>
      </c>
      <c r="G363" s="14">
        <f>IF(A363="","",IFERROR(INDEX(tbl_Finance[Cost Centre],MATCH(A363&amp;"",tbl_Finance[Job Number],0)),"not invoiced yet"))</f>
        <v/>
      </c>
      <c r="H363" s="13" t="n"/>
      <c r="I363" s="13" t="n"/>
      <c r="J363" s="45" t="n"/>
      <c r="K363" s="13" t="n"/>
      <c r="L363" s="13" t="n"/>
    </row>
    <row r="364" ht="15" customHeight="1">
      <c r="A364" s="13" t="n"/>
      <c r="B364" s="14">
        <f>IF(A364="","",IF(COUNTIF(lst_Jobs,A364&amp;"")&gt;0,"OK","CHECK"))</f>
        <v/>
      </c>
      <c r="C364" s="14">
        <f>IF(A364="","",IFERROR(INDEX(lst_JobName,MATCH(A364&amp;"",lst_Jobs,0)),""))</f>
        <v/>
      </c>
      <c r="D364" s="14">
        <f>IF(A364="","",IFERROR(INDEX(tbl_Finance[Client],MATCH(A364&amp;"",tbl_Finance[Job Number],0)),""))</f>
        <v/>
      </c>
      <c r="E364" s="44">
        <f>IF(A364="","",COUNTIFS(tbl_Finance[Job Number],A364&amp;"",tbl_Finance[Ex GST],"&lt;&gt;"))</f>
        <v/>
      </c>
      <c r="F364" s="16">
        <f>IF(A364="","",SUMIFS(tbl_Finance[Ex GST],tbl_Finance[Job Number],A364&amp;""))</f>
        <v/>
      </c>
      <c r="G364" s="14">
        <f>IF(A364="","",IFERROR(INDEX(tbl_Finance[Cost Centre],MATCH(A364&amp;"",tbl_Finance[Job Number],0)),"not invoiced yet"))</f>
        <v/>
      </c>
      <c r="H364" s="13" t="n"/>
      <c r="I364" s="13" t="n"/>
      <c r="J364" s="45" t="n"/>
      <c r="K364" s="13" t="n"/>
      <c r="L364" s="13" t="n"/>
    </row>
    <row r="365" ht="15" customHeight="1">
      <c r="A365" s="13" t="n"/>
      <c r="B365" s="14">
        <f>IF(A365="","",IF(COUNTIF(lst_Jobs,A365&amp;"")&gt;0,"OK","CHECK"))</f>
        <v/>
      </c>
      <c r="C365" s="14">
        <f>IF(A365="","",IFERROR(INDEX(lst_JobName,MATCH(A365&amp;"",lst_Jobs,0)),""))</f>
        <v/>
      </c>
      <c r="D365" s="14">
        <f>IF(A365="","",IFERROR(INDEX(tbl_Finance[Client],MATCH(A365&amp;"",tbl_Finance[Job Number],0)),""))</f>
        <v/>
      </c>
      <c r="E365" s="44">
        <f>IF(A365="","",COUNTIFS(tbl_Finance[Job Number],A365&amp;"",tbl_Finance[Ex GST],"&lt;&gt;"))</f>
        <v/>
      </c>
      <c r="F365" s="16">
        <f>IF(A365="","",SUMIFS(tbl_Finance[Ex GST],tbl_Finance[Job Number],A365&amp;""))</f>
        <v/>
      </c>
      <c r="G365" s="14">
        <f>IF(A365="","",IFERROR(INDEX(tbl_Finance[Cost Centre],MATCH(A365&amp;"",tbl_Finance[Job Number],0)),"not invoiced yet"))</f>
        <v/>
      </c>
      <c r="H365" s="13" t="n"/>
      <c r="I365" s="13" t="n"/>
      <c r="J365" s="45" t="n"/>
      <c r="K365" s="13" t="n"/>
      <c r="L365" s="13" t="n"/>
    </row>
    <row r="366" ht="15" customHeight="1">
      <c r="A366" s="13" t="n"/>
      <c r="B366" s="14">
        <f>IF(A366="","",IF(COUNTIF(lst_Jobs,A366&amp;"")&gt;0,"OK","CHECK"))</f>
        <v/>
      </c>
      <c r="C366" s="14">
        <f>IF(A366="","",IFERROR(INDEX(lst_JobName,MATCH(A366&amp;"",lst_Jobs,0)),""))</f>
        <v/>
      </c>
      <c r="D366" s="14">
        <f>IF(A366="","",IFERROR(INDEX(tbl_Finance[Client],MATCH(A366&amp;"",tbl_Finance[Job Number],0)),""))</f>
        <v/>
      </c>
      <c r="E366" s="44">
        <f>IF(A366="","",COUNTIFS(tbl_Finance[Job Number],A366&amp;"",tbl_Finance[Ex GST],"&lt;&gt;"))</f>
        <v/>
      </c>
      <c r="F366" s="16">
        <f>IF(A366="","",SUMIFS(tbl_Finance[Ex GST],tbl_Finance[Job Number],A366&amp;""))</f>
        <v/>
      </c>
      <c r="G366" s="14">
        <f>IF(A366="","",IFERROR(INDEX(tbl_Finance[Cost Centre],MATCH(A366&amp;"",tbl_Finance[Job Number],0)),"not invoiced yet"))</f>
        <v/>
      </c>
      <c r="H366" s="13" t="n"/>
      <c r="I366" s="13" t="n"/>
      <c r="J366" s="45" t="n"/>
      <c r="K366" s="13" t="n"/>
      <c r="L366" s="13" t="n"/>
    </row>
    <row r="367" ht="15" customHeight="1">
      <c r="A367" s="13" t="n"/>
      <c r="B367" s="14">
        <f>IF(A367="","",IF(COUNTIF(lst_Jobs,A367&amp;"")&gt;0,"OK","CHECK"))</f>
        <v/>
      </c>
      <c r="C367" s="14">
        <f>IF(A367="","",IFERROR(INDEX(lst_JobName,MATCH(A367&amp;"",lst_Jobs,0)),""))</f>
        <v/>
      </c>
      <c r="D367" s="14">
        <f>IF(A367="","",IFERROR(INDEX(tbl_Finance[Client],MATCH(A367&amp;"",tbl_Finance[Job Number],0)),""))</f>
        <v/>
      </c>
      <c r="E367" s="44">
        <f>IF(A367="","",COUNTIFS(tbl_Finance[Job Number],A367&amp;"",tbl_Finance[Ex GST],"&lt;&gt;"))</f>
        <v/>
      </c>
      <c r="F367" s="16">
        <f>IF(A367="","",SUMIFS(tbl_Finance[Ex GST],tbl_Finance[Job Number],A367&amp;""))</f>
        <v/>
      </c>
      <c r="G367" s="14">
        <f>IF(A367="","",IFERROR(INDEX(tbl_Finance[Cost Centre],MATCH(A367&amp;"",tbl_Finance[Job Number],0)),"not invoiced yet"))</f>
        <v/>
      </c>
      <c r="H367" s="13" t="n"/>
      <c r="I367" s="13" t="n"/>
      <c r="J367" s="45" t="n"/>
      <c r="K367" s="13" t="n"/>
      <c r="L367" s="13" t="n"/>
    </row>
    <row r="368" ht="15" customHeight="1">
      <c r="A368" s="13" t="n"/>
      <c r="B368" s="14">
        <f>IF(A368="","",IF(COUNTIF(lst_Jobs,A368&amp;"")&gt;0,"OK","CHECK"))</f>
        <v/>
      </c>
      <c r="C368" s="14">
        <f>IF(A368="","",IFERROR(INDEX(lst_JobName,MATCH(A368&amp;"",lst_Jobs,0)),""))</f>
        <v/>
      </c>
      <c r="D368" s="14">
        <f>IF(A368="","",IFERROR(INDEX(tbl_Finance[Client],MATCH(A368&amp;"",tbl_Finance[Job Number],0)),""))</f>
        <v/>
      </c>
      <c r="E368" s="44">
        <f>IF(A368="","",COUNTIFS(tbl_Finance[Job Number],A368&amp;"",tbl_Finance[Ex GST],"&lt;&gt;"))</f>
        <v/>
      </c>
      <c r="F368" s="16">
        <f>IF(A368="","",SUMIFS(tbl_Finance[Ex GST],tbl_Finance[Job Number],A368&amp;""))</f>
        <v/>
      </c>
      <c r="G368" s="14">
        <f>IF(A368="","",IFERROR(INDEX(tbl_Finance[Cost Centre],MATCH(A368&amp;"",tbl_Finance[Job Number],0)),"not invoiced yet"))</f>
        <v/>
      </c>
      <c r="H368" s="13" t="n"/>
      <c r="I368" s="13" t="n"/>
      <c r="J368" s="45" t="n"/>
      <c r="K368" s="13" t="n"/>
      <c r="L368" s="13" t="n"/>
    </row>
    <row r="369" ht="15" customHeight="1">
      <c r="A369" s="13" t="n"/>
      <c r="B369" s="14">
        <f>IF(A369="","",IF(COUNTIF(lst_Jobs,A369&amp;"")&gt;0,"OK","CHECK"))</f>
        <v/>
      </c>
      <c r="C369" s="14">
        <f>IF(A369="","",IFERROR(INDEX(lst_JobName,MATCH(A369&amp;"",lst_Jobs,0)),""))</f>
        <v/>
      </c>
      <c r="D369" s="14">
        <f>IF(A369="","",IFERROR(INDEX(tbl_Finance[Client],MATCH(A369&amp;"",tbl_Finance[Job Number],0)),""))</f>
        <v/>
      </c>
      <c r="E369" s="44">
        <f>IF(A369="","",COUNTIFS(tbl_Finance[Job Number],A369&amp;"",tbl_Finance[Ex GST],"&lt;&gt;"))</f>
        <v/>
      </c>
      <c r="F369" s="16">
        <f>IF(A369="","",SUMIFS(tbl_Finance[Ex GST],tbl_Finance[Job Number],A369&amp;""))</f>
        <v/>
      </c>
      <c r="G369" s="14">
        <f>IF(A369="","",IFERROR(INDEX(tbl_Finance[Cost Centre],MATCH(A369&amp;"",tbl_Finance[Job Number],0)),"not invoiced yet"))</f>
        <v/>
      </c>
      <c r="H369" s="13" t="n"/>
      <c r="I369" s="13" t="n"/>
      <c r="J369" s="45" t="n"/>
      <c r="K369" s="13" t="n"/>
      <c r="L369" s="13" t="n"/>
    </row>
    <row r="370" ht="15" customHeight="1">
      <c r="A370" s="13" t="n"/>
      <c r="B370" s="14">
        <f>IF(A370="","",IF(COUNTIF(lst_Jobs,A370&amp;"")&gt;0,"OK","CHECK"))</f>
        <v/>
      </c>
      <c r="C370" s="14">
        <f>IF(A370="","",IFERROR(INDEX(lst_JobName,MATCH(A370&amp;"",lst_Jobs,0)),""))</f>
        <v/>
      </c>
      <c r="D370" s="14">
        <f>IF(A370="","",IFERROR(INDEX(tbl_Finance[Client],MATCH(A370&amp;"",tbl_Finance[Job Number],0)),""))</f>
        <v/>
      </c>
      <c r="E370" s="44">
        <f>IF(A370="","",COUNTIFS(tbl_Finance[Job Number],A370&amp;"",tbl_Finance[Ex GST],"&lt;&gt;"))</f>
        <v/>
      </c>
      <c r="F370" s="16">
        <f>IF(A370="","",SUMIFS(tbl_Finance[Ex GST],tbl_Finance[Job Number],A370&amp;""))</f>
        <v/>
      </c>
      <c r="G370" s="14">
        <f>IF(A370="","",IFERROR(INDEX(tbl_Finance[Cost Centre],MATCH(A370&amp;"",tbl_Finance[Job Number],0)),"not invoiced yet"))</f>
        <v/>
      </c>
      <c r="H370" s="13" t="n"/>
      <c r="I370" s="13" t="n"/>
      <c r="J370" s="45" t="n"/>
      <c r="K370" s="13" t="n"/>
      <c r="L370" s="13" t="n"/>
    </row>
    <row r="371" ht="15" customHeight="1">
      <c r="A371" s="13" t="n"/>
      <c r="B371" s="14">
        <f>IF(A371="","",IF(COUNTIF(lst_Jobs,A371&amp;"")&gt;0,"OK","CHECK"))</f>
        <v/>
      </c>
      <c r="C371" s="14">
        <f>IF(A371="","",IFERROR(INDEX(lst_JobName,MATCH(A371&amp;"",lst_Jobs,0)),""))</f>
        <v/>
      </c>
      <c r="D371" s="14">
        <f>IF(A371="","",IFERROR(INDEX(tbl_Finance[Client],MATCH(A371&amp;"",tbl_Finance[Job Number],0)),""))</f>
        <v/>
      </c>
      <c r="E371" s="44">
        <f>IF(A371="","",COUNTIFS(tbl_Finance[Job Number],A371&amp;"",tbl_Finance[Ex GST],"&lt;&gt;"))</f>
        <v/>
      </c>
      <c r="F371" s="16">
        <f>IF(A371="","",SUMIFS(tbl_Finance[Ex GST],tbl_Finance[Job Number],A371&amp;""))</f>
        <v/>
      </c>
      <c r="G371" s="14">
        <f>IF(A371="","",IFERROR(INDEX(tbl_Finance[Cost Centre],MATCH(A371&amp;"",tbl_Finance[Job Number],0)),"not invoiced yet"))</f>
        <v/>
      </c>
      <c r="H371" s="13" t="n"/>
      <c r="I371" s="13" t="n"/>
      <c r="J371" s="45" t="n"/>
      <c r="K371" s="13" t="n"/>
      <c r="L371" s="13" t="n"/>
    </row>
    <row r="372" ht="15" customHeight="1">
      <c r="A372" s="13" t="n"/>
      <c r="B372" s="14">
        <f>IF(A372="","",IF(COUNTIF(lst_Jobs,A372&amp;"")&gt;0,"OK","CHECK"))</f>
        <v/>
      </c>
      <c r="C372" s="14">
        <f>IF(A372="","",IFERROR(INDEX(lst_JobName,MATCH(A372&amp;"",lst_Jobs,0)),""))</f>
        <v/>
      </c>
      <c r="D372" s="14">
        <f>IF(A372="","",IFERROR(INDEX(tbl_Finance[Client],MATCH(A372&amp;"",tbl_Finance[Job Number],0)),""))</f>
        <v/>
      </c>
      <c r="E372" s="44">
        <f>IF(A372="","",COUNTIFS(tbl_Finance[Job Number],A372&amp;"",tbl_Finance[Ex GST],"&lt;&gt;"))</f>
        <v/>
      </c>
      <c r="F372" s="16">
        <f>IF(A372="","",SUMIFS(tbl_Finance[Ex GST],tbl_Finance[Job Number],A372&amp;""))</f>
        <v/>
      </c>
      <c r="G372" s="14">
        <f>IF(A372="","",IFERROR(INDEX(tbl_Finance[Cost Centre],MATCH(A372&amp;"",tbl_Finance[Job Number],0)),"not invoiced yet"))</f>
        <v/>
      </c>
      <c r="H372" s="13" t="n"/>
      <c r="I372" s="13" t="n"/>
      <c r="J372" s="45" t="n"/>
      <c r="K372" s="13" t="n"/>
      <c r="L372" s="13" t="n"/>
    </row>
    <row r="373" ht="15" customHeight="1">
      <c r="A373" s="13" t="n"/>
      <c r="B373" s="14">
        <f>IF(A373="","",IF(COUNTIF(lst_Jobs,A373&amp;"")&gt;0,"OK","CHECK"))</f>
        <v/>
      </c>
      <c r="C373" s="14">
        <f>IF(A373="","",IFERROR(INDEX(lst_JobName,MATCH(A373&amp;"",lst_Jobs,0)),""))</f>
        <v/>
      </c>
      <c r="D373" s="14">
        <f>IF(A373="","",IFERROR(INDEX(tbl_Finance[Client],MATCH(A373&amp;"",tbl_Finance[Job Number],0)),""))</f>
        <v/>
      </c>
      <c r="E373" s="44">
        <f>IF(A373="","",COUNTIFS(tbl_Finance[Job Number],A373&amp;"",tbl_Finance[Ex GST],"&lt;&gt;"))</f>
        <v/>
      </c>
      <c r="F373" s="16">
        <f>IF(A373="","",SUMIFS(tbl_Finance[Ex GST],tbl_Finance[Job Number],A373&amp;""))</f>
        <v/>
      </c>
      <c r="G373" s="14">
        <f>IF(A373="","",IFERROR(INDEX(tbl_Finance[Cost Centre],MATCH(A373&amp;"",tbl_Finance[Job Number],0)),"not invoiced yet"))</f>
        <v/>
      </c>
      <c r="H373" s="13" t="n"/>
      <c r="I373" s="13" t="n"/>
      <c r="J373" s="45" t="n"/>
      <c r="K373" s="13" t="n"/>
      <c r="L373" s="13" t="n"/>
    </row>
    <row r="374" ht="15" customHeight="1">
      <c r="A374" s="13" t="n"/>
      <c r="B374" s="14">
        <f>IF(A374="","",IF(COUNTIF(lst_Jobs,A374&amp;"")&gt;0,"OK","CHECK"))</f>
        <v/>
      </c>
      <c r="C374" s="14">
        <f>IF(A374="","",IFERROR(INDEX(lst_JobName,MATCH(A374&amp;"",lst_Jobs,0)),""))</f>
        <v/>
      </c>
      <c r="D374" s="14">
        <f>IF(A374="","",IFERROR(INDEX(tbl_Finance[Client],MATCH(A374&amp;"",tbl_Finance[Job Number],0)),""))</f>
        <v/>
      </c>
      <c r="E374" s="44">
        <f>IF(A374="","",COUNTIFS(tbl_Finance[Job Number],A374&amp;"",tbl_Finance[Ex GST],"&lt;&gt;"))</f>
        <v/>
      </c>
      <c r="F374" s="16">
        <f>IF(A374="","",SUMIFS(tbl_Finance[Ex GST],tbl_Finance[Job Number],A374&amp;""))</f>
        <v/>
      </c>
      <c r="G374" s="14">
        <f>IF(A374="","",IFERROR(INDEX(tbl_Finance[Cost Centre],MATCH(A374&amp;"",tbl_Finance[Job Number],0)),"not invoiced yet"))</f>
        <v/>
      </c>
      <c r="H374" s="13" t="n"/>
      <c r="I374" s="13" t="n"/>
      <c r="J374" s="45" t="n"/>
      <c r="K374" s="13" t="n"/>
      <c r="L374" s="13" t="n"/>
    </row>
    <row r="375" ht="15" customHeight="1">
      <c r="A375" s="13" t="n"/>
      <c r="B375" s="14">
        <f>IF(A375="","",IF(COUNTIF(lst_Jobs,A375&amp;"")&gt;0,"OK","CHECK"))</f>
        <v/>
      </c>
      <c r="C375" s="14">
        <f>IF(A375="","",IFERROR(INDEX(lst_JobName,MATCH(A375&amp;"",lst_Jobs,0)),""))</f>
        <v/>
      </c>
      <c r="D375" s="14">
        <f>IF(A375="","",IFERROR(INDEX(tbl_Finance[Client],MATCH(A375&amp;"",tbl_Finance[Job Number],0)),""))</f>
        <v/>
      </c>
      <c r="E375" s="44">
        <f>IF(A375="","",COUNTIFS(tbl_Finance[Job Number],A375&amp;"",tbl_Finance[Ex GST],"&lt;&gt;"))</f>
        <v/>
      </c>
      <c r="F375" s="16">
        <f>IF(A375="","",SUMIFS(tbl_Finance[Ex GST],tbl_Finance[Job Number],A375&amp;""))</f>
        <v/>
      </c>
      <c r="G375" s="14">
        <f>IF(A375="","",IFERROR(INDEX(tbl_Finance[Cost Centre],MATCH(A375&amp;"",tbl_Finance[Job Number],0)),"not invoiced yet"))</f>
        <v/>
      </c>
      <c r="H375" s="13" t="n"/>
      <c r="I375" s="13" t="n"/>
      <c r="J375" s="45" t="n"/>
      <c r="K375" s="13" t="n"/>
      <c r="L375" s="13" t="n"/>
    </row>
    <row r="376" ht="15" customHeight="1">
      <c r="A376" s="13" t="n"/>
      <c r="B376" s="14">
        <f>IF(A376="","",IF(COUNTIF(lst_Jobs,A376&amp;"")&gt;0,"OK","CHECK"))</f>
        <v/>
      </c>
      <c r="C376" s="14">
        <f>IF(A376="","",IFERROR(INDEX(lst_JobName,MATCH(A376&amp;"",lst_Jobs,0)),""))</f>
        <v/>
      </c>
      <c r="D376" s="14">
        <f>IF(A376="","",IFERROR(INDEX(tbl_Finance[Client],MATCH(A376&amp;"",tbl_Finance[Job Number],0)),""))</f>
        <v/>
      </c>
      <c r="E376" s="44">
        <f>IF(A376="","",COUNTIFS(tbl_Finance[Job Number],A376&amp;"",tbl_Finance[Ex GST],"&lt;&gt;"))</f>
        <v/>
      </c>
      <c r="F376" s="16">
        <f>IF(A376="","",SUMIFS(tbl_Finance[Ex GST],tbl_Finance[Job Number],A376&amp;""))</f>
        <v/>
      </c>
      <c r="G376" s="14">
        <f>IF(A376="","",IFERROR(INDEX(tbl_Finance[Cost Centre],MATCH(A376&amp;"",tbl_Finance[Job Number],0)),"not invoiced yet"))</f>
        <v/>
      </c>
      <c r="H376" s="13" t="n"/>
      <c r="I376" s="13" t="n"/>
      <c r="J376" s="45" t="n"/>
      <c r="K376" s="13" t="n"/>
      <c r="L376" s="13" t="n"/>
    </row>
    <row r="377" ht="15" customHeight="1">
      <c r="A377" s="13" t="n"/>
      <c r="B377" s="14">
        <f>IF(A377="","",IF(COUNTIF(lst_Jobs,A377&amp;"")&gt;0,"OK","CHECK"))</f>
        <v/>
      </c>
      <c r="C377" s="14">
        <f>IF(A377="","",IFERROR(INDEX(lst_JobName,MATCH(A377&amp;"",lst_Jobs,0)),""))</f>
        <v/>
      </c>
      <c r="D377" s="14">
        <f>IF(A377="","",IFERROR(INDEX(tbl_Finance[Client],MATCH(A377&amp;"",tbl_Finance[Job Number],0)),""))</f>
        <v/>
      </c>
      <c r="E377" s="44">
        <f>IF(A377="","",COUNTIFS(tbl_Finance[Job Number],A377&amp;"",tbl_Finance[Ex GST],"&lt;&gt;"))</f>
        <v/>
      </c>
      <c r="F377" s="16">
        <f>IF(A377="","",SUMIFS(tbl_Finance[Ex GST],tbl_Finance[Job Number],A377&amp;""))</f>
        <v/>
      </c>
      <c r="G377" s="14">
        <f>IF(A377="","",IFERROR(INDEX(tbl_Finance[Cost Centre],MATCH(A377&amp;"",tbl_Finance[Job Number],0)),"not invoiced yet"))</f>
        <v/>
      </c>
      <c r="H377" s="13" t="n"/>
      <c r="I377" s="13" t="n"/>
      <c r="J377" s="45" t="n"/>
      <c r="K377" s="13" t="n"/>
      <c r="L377" s="13" t="n"/>
    </row>
    <row r="378" ht="15" customHeight="1">
      <c r="A378" s="13" t="n"/>
      <c r="B378" s="14">
        <f>IF(A378="","",IF(COUNTIF(lst_Jobs,A378&amp;"")&gt;0,"OK","CHECK"))</f>
        <v/>
      </c>
      <c r="C378" s="14">
        <f>IF(A378="","",IFERROR(INDEX(lst_JobName,MATCH(A378&amp;"",lst_Jobs,0)),""))</f>
        <v/>
      </c>
      <c r="D378" s="14">
        <f>IF(A378="","",IFERROR(INDEX(tbl_Finance[Client],MATCH(A378&amp;"",tbl_Finance[Job Number],0)),""))</f>
        <v/>
      </c>
      <c r="E378" s="44">
        <f>IF(A378="","",COUNTIFS(tbl_Finance[Job Number],A378&amp;"",tbl_Finance[Ex GST],"&lt;&gt;"))</f>
        <v/>
      </c>
      <c r="F378" s="16">
        <f>IF(A378="","",SUMIFS(tbl_Finance[Ex GST],tbl_Finance[Job Number],A378&amp;""))</f>
        <v/>
      </c>
      <c r="G378" s="14">
        <f>IF(A378="","",IFERROR(INDEX(tbl_Finance[Cost Centre],MATCH(A378&amp;"",tbl_Finance[Job Number],0)),"not invoiced yet"))</f>
        <v/>
      </c>
      <c r="H378" s="13" t="n"/>
      <c r="I378" s="13" t="n"/>
      <c r="J378" s="45" t="n"/>
      <c r="K378" s="13" t="n"/>
      <c r="L378" s="13" t="n"/>
    </row>
    <row r="379" ht="15" customHeight="1">
      <c r="A379" s="13" t="n"/>
      <c r="B379" s="14">
        <f>IF(A379="","",IF(COUNTIF(lst_Jobs,A379&amp;"")&gt;0,"OK","CHECK"))</f>
        <v/>
      </c>
      <c r="C379" s="14">
        <f>IF(A379="","",IFERROR(INDEX(lst_JobName,MATCH(A379&amp;"",lst_Jobs,0)),""))</f>
        <v/>
      </c>
      <c r="D379" s="14">
        <f>IF(A379="","",IFERROR(INDEX(tbl_Finance[Client],MATCH(A379&amp;"",tbl_Finance[Job Number],0)),""))</f>
        <v/>
      </c>
      <c r="E379" s="44">
        <f>IF(A379="","",COUNTIFS(tbl_Finance[Job Number],A379&amp;"",tbl_Finance[Ex GST],"&lt;&gt;"))</f>
        <v/>
      </c>
      <c r="F379" s="16">
        <f>IF(A379="","",SUMIFS(tbl_Finance[Ex GST],tbl_Finance[Job Number],A379&amp;""))</f>
        <v/>
      </c>
      <c r="G379" s="14">
        <f>IF(A379="","",IFERROR(INDEX(tbl_Finance[Cost Centre],MATCH(A379&amp;"",tbl_Finance[Job Number],0)),"not invoiced yet"))</f>
        <v/>
      </c>
      <c r="H379" s="13" t="n"/>
      <c r="I379" s="13" t="n"/>
      <c r="J379" s="45" t="n"/>
      <c r="K379" s="13" t="n"/>
      <c r="L379" s="13" t="n"/>
    </row>
    <row r="380" ht="15" customHeight="1">
      <c r="A380" s="13" t="n"/>
      <c r="B380" s="14">
        <f>IF(A380="","",IF(COUNTIF(lst_Jobs,A380&amp;"")&gt;0,"OK","CHECK"))</f>
        <v/>
      </c>
      <c r="C380" s="14">
        <f>IF(A380="","",IFERROR(INDEX(lst_JobName,MATCH(A380&amp;"",lst_Jobs,0)),""))</f>
        <v/>
      </c>
      <c r="D380" s="14">
        <f>IF(A380="","",IFERROR(INDEX(tbl_Finance[Client],MATCH(A380&amp;"",tbl_Finance[Job Number],0)),""))</f>
        <v/>
      </c>
      <c r="E380" s="44">
        <f>IF(A380="","",COUNTIFS(tbl_Finance[Job Number],A380&amp;"",tbl_Finance[Ex GST],"&lt;&gt;"))</f>
        <v/>
      </c>
      <c r="F380" s="16">
        <f>IF(A380="","",SUMIFS(tbl_Finance[Ex GST],tbl_Finance[Job Number],A380&amp;""))</f>
        <v/>
      </c>
      <c r="G380" s="14">
        <f>IF(A380="","",IFERROR(INDEX(tbl_Finance[Cost Centre],MATCH(A380&amp;"",tbl_Finance[Job Number],0)),"not invoiced yet"))</f>
        <v/>
      </c>
      <c r="H380" s="13" t="n"/>
      <c r="I380" s="13" t="n"/>
      <c r="J380" s="45" t="n"/>
      <c r="K380" s="13" t="n"/>
      <c r="L380" s="13" t="n"/>
    </row>
    <row r="381" ht="15" customHeight="1">
      <c r="A381" s="13" t="n"/>
      <c r="B381" s="14">
        <f>IF(A381="","",IF(COUNTIF(lst_Jobs,A381&amp;"")&gt;0,"OK","CHECK"))</f>
        <v/>
      </c>
      <c r="C381" s="14">
        <f>IF(A381="","",IFERROR(INDEX(lst_JobName,MATCH(A381&amp;"",lst_Jobs,0)),""))</f>
        <v/>
      </c>
      <c r="D381" s="14">
        <f>IF(A381="","",IFERROR(INDEX(tbl_Finance[Client],MATCH(A381&amp;"",tbl_Finance[Job Number],0)),""))</f>
        <v/>
      </c>
      <c r="E381" s="44">
        <f>IF(A381="","",COUNTIFS(tbl_Finance[Job Number],A381&amp;"",tbl_Finance[Ex GST],"&lt;&gt;"))</f>
        <v/>
      </c>
      <c r="F381" s="16">
        <f>IF(A381="","",SUMIFS(tbl_Finance[Ex GST],tbl_Finance[Job Number],A381&amp;""))</f>
        <v/>
      </c>
      <c r="G381" s="14">
        <f>IF(A381="","",IFERROR(INDEX(tbl_Finance[Cost Centre],MATCH(A381&amp;"",tbl_Finance[Job Number],0)),"not invoiced yet"))</f>
        <v/>
      </c>
      <c r="H381" s="13" t="n"/>
      <c r="I381" s="13" t="n"/>
      <c r="J381" s="45" t="n"/>
      <c r="K381" s="13" t="n"/>
      <c r="L381" s="13" t="n"/>
    </row>
    <row r="382" ht="15" customHeight="1">
      <c r="A382" s="13" t="n"/>
      <c r="B382" s="14">
        <f>IF(A382="","",IF(COUNTIF(lst_Jobs,A382&amp;"")&gt;0,"OK","CHECK"))</f>
        <v/>
      </c>
      <c r="C382" s="14">
        <f>IF(A382="","",IFERROR(INDEX(lst_JobName,MATCH(A382&amp;"",lst_Jobs,0)),""))</f>
        <v/>
      </c>
      <c r="D382" s="14">
        <f>IF(A382="","",IFERROR(INDEX(tbl_Finance[Client],MATCH(A382&amp;"",tbl_Finance[Job Number],0)),""))</f>
        <v/>
      </c>
      <c r="E382" s="44">
        <f>IF(A382="","",COUNTIFS(tbl_Finance[Job Number],A382&amp;"",tbl_Finance[Ex GST],"&lt;&gt;"))</f>
        <v/>
      </c>
      <c r="F382" s="16">
        <f>IF(A382="","",SUMIFS(tbl_Finance[Ex GST],tbl_Finance[Job Number],A382&amp;""))</f>
        <v/>
      </c>
      <c r="G382" s="14">
        <f>IF(A382="","",IFERROR(INDEX(tbl_Finance[Cost Centre],MATCH(A382&amp;"",tbl_Finance[Job Number],0)),"not invoiced yet"))</f>
        <v/>
      </c>
      <c r="H382" s="13" t="n"/>
      <c r="I382" s="13" t="n"/>
      <c r="J382" s="45" t="n"/>
      <c r="K382" s="13" t="n"/>
      <c r="L382" s="13" t="n"/>
    </row>
    <row r="383" ht="15" customHeight="1">
      <c r="A383" s="13" t="n"/>
      <c r="B383" s="14">
        <f>IF(A383="","",IF(COUNTIF(lst_Jobs,A383&amp;"")&gt;0,"OK","CHECK"))</f>
        <v/>
      </c>
      <c r="C383" s="14">
        <f>IF(A383="","",IFERROR(INDEX(lst_JobName,MATCH(A383&amp;"",lst_Jobs,0)),""))</f>
        <v/>
      </c>
      <c r="D383" s="14">
        <f>IF(A383="","",IFERROR(INDEX(tbl_Finance[Client],MATCH(A383&amp;"",tbl_Finance[Job Number],0)),""))</f>
        <v/>
      </c>
      <c r="E383" s="44">
        <f>IF(A383="","",COUNTIFS(tbl_Finance[Job Number],A383&amp;"",tbl_Finance[Ex GST],"&lt;&gt;"))</f>
        <v/>
      </c>
      <c r="F383" s="16">
        <f>IF(A383="","",SUMIFS(tbl_Finance[Ex GST],tbl_Finance[Job Number],A383&amp;""))</f>
        <v/>
      </c>
      <c r="G383" s="14">
        <f>IF(A383="","",IFERROR(INDEX(tbl_Finance[Cost Centre],MATCH(A383&amp;"",tbl_Finance[Job Number],0)),"not invoiced yet"))</f>
        <v/>
      </c>
      <c r="H383" s="13" t="n"/>
      <c r="I383" s="13" t="n"/>
      <c r="J383" s="45" t="n"/>
      <c r="K383" s="13" t="n"/>
      <c r="L383" s="13" t="n"/>
    </row>
    <row r="384" ht="15" customHeight="1">
      <c r="A384" s="13" t="n"/>
      <c r="B384" s="14">
        <f>IF(A384="","",IF(COUNTIF(lst_Jobs,A384&amp;"")&gt;0,"OK","CHECK"))</f>
        <v/>
      </c>
      <c r="C384" s="14">
        <f>IF(A384="","",IFERROR(INDEX(lst_JobName,MATCH(A384&amp;"",lst_Jobs,0)),""))</f>
        <v/>
      </c>
      <c r="D384" s="14">
        <f>IF(A384="","",IFERROR(INDEX(tbl_Finance[Client],MATCH(A384&amp;"",tbl_Finance[Job Number],0)),""))</f>
        <v/>
      </c>
      <c r="E384" s="44">
        <f>IF(A384="","",COUNTIFS(tbl_Finance[Job Number],A384&amp;"",tbl_Finance[Ex GST],"&lt;&gt;"))</f>
        <v/>
      </c>
      <c r="F384" s="16">
        <f>IF(A384="","",SUMIFS(tbl_Finance[Ex GST],tbl_Finance[Job Number],A384&amp;""))</f>
        <v/>
      </c>
      <c r="G384" s="14">
        <f>IF(A384="","",IFERROR(INDEX(tbl_Finance[Cost Centre],MATCH(A384&amp;"",tbl_Finance[Job Number],0)),"not invoiced yet"))</f>
        <v/>
      </c>
      <c r="H384" s="13" t="n"/>
      <c r="I384" s="13" t="n"/>
      <c r="J384" s="45" t="n"/>
      <c r="K384" s="13" t="n"/>
      <c r="L384" s="13" t="n"/>
    </row>
    <row r="385" ht="15" customHeight="1">
      <c r="A385" s="13" t="n"/>
      <c r="B385" s="14">
        <f>IF(A385="","",IF(COUNTIF(lst_Jobs,A385&amp;"")&gt;0,"OK","CHECK"))</f>
        <v/>
      </c>
      <c r="C385" s="14">
        <f>IF(A385="","",IFERROR(INDEX(lst_JobName,MATCH(A385&amp;"",lst_Jobs,0)),""))</f>
        <v/>
      </c>
      <c r="D385" s="14">
        <f>IF(A385="","",IFERROR(INDEX(tbl_Finance[Client],MATCH(A385&amp;"",tbl_Finance[Job Number],0)),""))</f>
        <v/>
      </c>
      <c r="E385" s="44">
        <f>IF(A385="","",COUNTIFS(tbl_Finance[Job Number],A385&amp;"",tbl_Finance[Ex GST],"&lt;&gt;"))</f>
        <v/>
      </c>
      <c r="F385" s="16">
        <f>IF(A385="","",SUMIFS(tbl_Finance[Ex GST],tbl_Finance[Job Number],A385&amp;""))</f>
        <v/>
      </c>
      <c r="G385" s="14">
        <f>IF(A385="","",IFERROR(INDEX(tbl_Finance[Cost Centre],MATCH(A385&amp;"",tbl_Finance[Job Number],0)),"not invoiced yet"))</f>
        <v/>
      </c>
      <c r="H385" s="13" t="n"/>
      <c r="I385" s="13" t="n"/>
      <c r="J385" s="45" t="n"/>
      <c r="K385" s="13" t="n"/>
      <c r="L385" s="13" t="n"/>
    </row>
    <row r="386" ht="15" customHeight="1">
      <c r="A386" s="13" t="n"/>
      <c r="B386" s="14">
        <f>IF(A386="","",IF(COUNTIF(lst_Jobs,A386&amp;"")&gt;0,"OK","CHECK"))</f>
        <v/>
      </c>
      <c r="C386" s="14">
        <f>IF(A386="","",IFERROR(INDEX(lst_JobName,MATCH(A386&amp;"",lst_Jobs,0)),""))</f>
        <v/>
      </c>
      <c r="D386" s="14">
        <f>IF(A386="","",IFERROR(INDEX(tbl_Finance[Client],MATCH(A386&amp;"",tbl_Finance[Job Number],0)),""))</f>
        <v/>
      </c>
      <c r="E386" s="44">
        <f>IF(A386="","",COUNTIFS(tbl_Finance[Job Number],A386&amp;"",tbl_Finance[Ex GST],"&lt;&gt;"))</f>
        <v/>
      </c>
      <c r="F386" s="16">
        <f>IF(A386="","",SUMIFS(tbl_Finance[Ex GST],tbl_Finance[Job Number],A386&amp;""))</f>
        <v/>
      </c>
      <c r="G386" s="14">
        <f>IF(A386="","",IFERROR(INDEX(tbl_Finance[Cost Centre],MATCH(A386&amp;"",tbl_Finance[Job Number],0)),"not invoiced yet"))</f>
        <v/>
      </c>
      <c r="H386" s="13" t="n"/>
      <c r="I386" s="13" t="n"/>
      <c r="J386" s="45" t="n"/>
      <c r="K386" s="13" t="n"/>
      <c r="L386" s="13" t="n"/>
    </row>
    <row r="387" ht="15" customHeight="1">
      <c r="A387" s="13" t="n"/>
      <c r="B387" s="14">
        <f>IF(A387="","",IF(COUNTIF(lst_Jobs,A387&amp;"")&gt;0,"OK","CHECK"))</f>
        <v/>
      </c>
      <c r="C387" s="14">
        <f>IF(A387="","",IFERROR(INDEX(lst_JobName,MATCH(A387&amp;"",lst_Jobs,0)),""))</f>
        <v/>
      </c>
      <c r="D387" s="14">
        <f>IF(A387="","",IFERROR(INDEX(tbl_Finance[Client],MATCH(A387&amp;"",tbl_Finance[Job Number],0)),""))</f>
        <v/>
      </c>
      <c r="E387" s="44">
        <f>IF(A387="","",COUNTIFS(tbl_Finance[Job Number],A387&amp;"",tbl_Finance[Ex GST],"&lt;&gt;"))</f>
        <v/>
      </c>
      <c r="F387" s="16">
        <f>IF(A387="","",SUMIFS(tbl_Finance[Ex GST],tbl_Finance[Job Number],A387&amp;""))</f>
        <v/>
      </c>
      <c r="G387" s="14">
        <f>IF(A387="","",IFERROR(INDEX(tbl_Finance[Cost Centre],MATCH(A387&amp;"",tbl_Finance[Job Number],0)),"not invoiced yet"))</f>
        <v/>
      </c>
      <c r="H387" s="13" t="n"/>
      <c r="I387" s="13" t="n"/>
      <c r="J387" s="45" t="n"/>
      <c r="K387" s="13" t="n"/>
      <c r="L387" s="13" t="n"/>
    </row>
    <row r="388" ht="15" customHeight="1">
      <c r="A388" s="13" t="n"/>
      <c r="B388" s="14">
        <f>IF(A388="","",IF(COUNTIF(lst_Jobs,A388&amp;"")&gt;0,"OK","CHECK"))</f>
        <v/>
      </c>
      <c r="C388" s="14">
        <f>IF(A388="","",IFERROR(INDEX(lst_JobName,MATCH(A388&amp;"",lst_Jobs,0)),""))</f>
        <v/>
      </c>
      <c r="D388" s="14">
        <f>IF(A388="","",IFERROR(INDEX(tbl_Finance[Client],MATCH(A388&amp;"",tbl_Finance[Job Number],0)),""))</f>
        <v/>
      </c>
      <c r="E388" s="44">
        <f>IF(A388="","",COUNTIFS(tbl_Finance[Job Number],A388&amp;"",tbl_Finance[Ex GST],"&lt;&gt;"))</f>
        <v/>
      </c>
      <c r="F388" s="16">
        <f>IF(A388="","",SUMIFS(tbl_Finance[Ex GST],tbl_Finance[Job Number],A388&amp;""))</f>
        <v/>
      </c>
      <c r="G388" s="14">
        <f>IF(A388="","",IFERROR(INDEX(tbl_Finance[Cost Centre],MATCH(A388&amp;"",tbl_Finance[Job Number],0)),"not invoiced yet"))</f>
        <v/>
      </c>
      <c r="H388" s="13" t="n"/>
      <c r="I388" s="13" t="n"/>
      <c r="J388" s="45" t="n"/>
      <c r="K388" s="13" t="n"/>
      <c r="L388" s="13" t="n"/>
    </row>
    <row r="389" ht="15" customHeight="1">
      <c r="A389" s="13" t="n"/>
      <c r="B389" s="14">
        <f>IF(A389="","",IF(COUNTIF(lst_Jobs,A389&amp;"")&gt;0,"OK","CHECK"))</f>
        <v/>
      </c>
      <c r="C389" s="14">
        <f>IF(A389="","",IFERROR(INDEX(lst_JobName,MATCH(A389&amp;"",lst_Jobs,0)),""))</f>
        <v/>
      </c>
      <c r="D389" s="14">
        <f>IF(A389="","",IFERROR(INDEX(tbl_Finance[Client],MATCH(A389&amp;"",tbl_Finance[Job Number],0)),""))</f>
        <v/>
      </c>
      <c r="E389" s="44">
        <f>IF(A389="","",COUNTIFS(tbl_Finance[Job Number],A389&amp;"",tbl_Finance[Ex GST],"&lt;&gt;"))</f>
        <v/>
      </c>
      <c r="F389" s="16">
        <f>IF(A389="","",SUMIFS(tbl_Finance[Ex GST],tbl_Finance[Job Number],A389&amp;""))</f>
        <v/>
      </c>
      <c r="G389" s="14">
        <f>IF(A389="","",IFERROR(INDEX(tbl_Finance[Cost Centre],MATCH(A389&amp;"",tbl_Finance[Job Number],0)),"not invoiced yet"))</f>
        <v/>
      </c>
      <c r="H389" s="13" t="n"/>
      <c r="I389" s="13" t="n"/>
      <c r="J389" s="45" t="n"/>
      <c r="K389" s="13" t="n"/>
      <c r="L389" s="13" t="n"/>
    </row>
    <row r="390" ht="15" customHeight="1">
      <c r="A390" s="13" t="n"/>
      <c r="B390" s="14">
        <f>IF(A390="","",IF(COUNTIF(lst_Jobs,A390&amp;"")&gt;0,"OK","CHECK"))</f>
        <v/>
      </c>
      <c r="C390" s="14">
        <f>IF(A390="","",IFERROR(INDEX(lst_JobName,MATCH(A390&amp;"",lst_Jobs,0)),""))</f>
        <v/>
      </c>
      <c r="D390" s="14">
        <f>IF(A390="","",IFERROR(INDEX(tbl_Finance[Client],MATCH(A390&amp;"",tbl_Finance[Job Number],0)),""))</f>
        <v/>
      </c>
      <c r="E390" s="44">
        <f>IF(A390="","",COUNTIFS(tbl_Finance[Job Number],A390&amp;"",tbl_Finance[Ex GST],"&lt;&gt;"))</f>
        <v/>
      </c>
      <c r="F390" s="16">
        <f>IF(A390="","",SUMIFS(tbl_Finance[Ex GST],tbl_Finance[Job Number],A390&amp;""))</f>
        <v/>
      </c>
      <c r="G390" s="14">
        <f>IF(A390="","",IFERROR(INDEX(tbl_Finance[Cost Centre],MATCH(A390&amp;"",tbl_Finance[Job Number],0)),"not invoiced yet"))</f>
        <v/>
      </c>
      <c r="H390" s="13" t="n"/>
      <c r="I390" s="13" t="n"/>
      <c r="J390" s="45" t="n"/>
      <c r="K390" s="13" t="n"/>
      <c r="L390" s="13" t="n"/>
    </row>
    <row r="391" ht="15" customHeight="1">
      <c r="A391" s="13" t="n"/>
      <c r="B391" s="14">
        <f>IF(A391="","",IF(COUNTIF(lst_Jobs,A391&amp;"")&gt;0,"OK","CHECK"))</f>
        <v/>
      </c>
      <c r="C391" s="14">
        <f>IF(A391="","",IFERROR(INDEX(lst_JobName,MATCH(A391&amp;"",lst_Jobs,0)),""))</f>
        <v/>
      </c>
      <c r="D391" s="14">
        <f>IF(A391="","",IFERROR(INDEX(tbl_Finance[Client],MATCH(A391&amp;"",tbl_Finance[Job Number],0)),""))</f>
        <v/>
      </c>
      <c r="E391" s="44">
        <f>IF(A391="","",COUNTIFS(tbl_Finance[Job Number],A391&amp;"",tbl_Finance[Ex GST],"&lt;&gt;"))</f>
        <v/>
      </c>
      <c r="F391" s="16">
        <f>IF(A391="","",SUMIFS(tbl_Finance[Ex GST],tbl_Finance[Job Number],A391&amp;""))</f>
        <v/>
      </c>
      <c r="G391" s="14">
        <f>IF(A391="","",IFERROR(INDEX(tbl_Finance[Cost Centre],MATCH(A391&amp;"",tbl_Finance[Job Number],0)),"not invoiced yet"))</f>
        <v/>
      </c>
      <c r="H391" s="13" t="n"/>
      <c r="I391" s="13" t="n"/>
      <c r="J391" s="45" t="n"/>
      <c r="K391" s="13" t="n"/>
      <c r="L391" s="13" t="n"/>
    </row>
    <row r="392" ht="15" customHeight="1">
      <c r="A392" s="13" t="n"/>
      <c r="B392" s="14">
        <f>IF(A392="","",IF(COUNTIF(lst_Jobs,A392&amp;"")&gt;0,"OK","CHECK"))</f>
        <v/>
      </c>
      <c r="C392" s="14">
        <f>IF(A392="","",IFERROR(INDEX(lst_JobName,MATCH(A392&amp;"",lst_Jobs,0)),""))</f>
        <v/>
      </c>
      <c r="D392" s="14">
        <f>IF(A392="","",IFERROR(INDEX(tbl_Finance[Client],MATCH(A392&amp;"",tbl_Finance[Job Number],0)),""))</f>
        <v/>
      </c>
      <c r="E392" s="44">
        <f>IF(A392="","",COUNTIFS(tbl_Finance[Job Number],A392&amp;"",tbl_Finance[Ex GST],"&lt;&gt;"))</f>
        <v/>
      </c>
      <c r="F392" s="16">
        <f>IF(A392="","",SUMIFS(tbl_Finance[Ex GST],tbl_Finance[Job Number],A392&amp;""))</f>
        <v/>
      </c>
      <c r="G392" s="14">
        <f>IF(A392="","",IFERROR(INDEX(tbl_Finance[Cost Centre],MATCH(A392&amp;"",tbl_Finance[Job Number],0)),"not invoiced yet"))</f>
        <v/>
      </c>
      <c r="H392" s="13" t="n"/>
      <c r="I392" s="13" t="n"/>
      <c r="J392" s="45" t="n"/>
      <c r="K392" s="13" t="n"/>
      <c r="L392" s="13" t="n"/>
    </row>
    <row r="393" ht="15" customHeight="1">
      <c r="A393" s="13" t="n"/>
      <c r="B393" s="14">
        <f>IF(A393="","",IF(COUNTIF(lst_Jobs,A393&amp;"")&gt;0,"OK","CHECK"))</f>
        <v/>
      </c>
      <c r="C393" s="14">
        <f>IF(A393="","",IFERROR(INDEX(lst_JobName,MATCH(A393&amp;"",lst_Jobs,0)),""))</f>
        <v/>
      </c>
      <c r="D393" s="14">
        <f>IF(A393="","",IFERROR(INDEX(tbl_Finance[Client],MATCH(A393&amp;"",tbl_Finance[Job Number],0)),""))</f>
        <v/>
      </c>
      <c r="E393" s="44">
        <f>IF(A393="","",COUNTIFS(tbl_Finance[Job Number],A393&amp;"",tbl_Finance[Ex GST],"&lt;&gt;"))</f>
        <v/>
      </c>
      <c r="F393" s="16">
        <f>IF(A393="","",SUMIFS(tbl_Finance[Ex GST],tbl_Finance[Job Number],A393&amp;""))</f>
        <v/>
      </c>
      <c r="G393" s="14">
        <f>IF(A393="","",IFERROR(INDEX(tbl_Finance[Cost Centre],MATCH(A393&amp;"",tbl_Finance[Job Number],0)),"not invoiced yet"))</f>
        <v/>
      </c>
      <c r="H393" s="13" t="n"/>
      <c r="I393" s="13" t="n"/>
      <c r="J393" s="45" t="n"/>
      <c r="K393" s="13" t="n"/>
      <c r="L393" s="13" t="n"/>
    </row>
    <row r="394" ht="15" customHeight="1">
      <c r="A394" s="13" t="n"/>
      <c r="B394" s="14">
        <f>IF(A394="","",IF(COUNTIF(lst_Jobs,A394&amp;"")&gt;0,"OK","CHECK"))</f>
        <v/>
      </c>
      <c r="C394" s="14">
        <f>IF(A394="","",IFERROR(INDEX(lst_JobName,MATCH(A394&amp;"",lst_Jobs,0)),""))</f>
        <v/>
      </c>
      <c r="D394" s="14">
        <f>IF(A394="","",IFERROR(INDEX(tbl_Finance[Client],MATCH(A394&amp;"",tbl_Finance[Job Number],0)),""))</f>
        <v/>
      </c>
      <c r="E394" s="44">
        <f>IF(A394="","",COUNTIFS(tbl_Finance[Job Number],A394&amp;"",tbl_Finance[Ex GST],"&lt;&gt;"))</f>
        <v/>
      </c>
      <c r="F394" s="16">
        <f>IF(A394="","",SUMIFS(tbl_Finance[Ex GST],tbl_Finance[Job Number],A394&amp;""))</f>
        <v/>
      </c>
      <c r="G394" s="14">
        <f>IF(A394="","",IFERROR(INDEX(tbl_Finance[Cost Centre],MATCH(A394&amp;"",tbl_Finance[Job Number],0)),"not invoiced yet"))</f>
        <v/>
      </c>
      <c r="H394" s="13" t="n"/>
      <c r="I394" s="13" t="n"/>
      <c r="J394" s="45" t="n"/>
      <c r="K394" s="13" t="n"/>
      <c r="L394" s="13" t="n"/>
    </row>
    <row r="395" ht="15" customHeight="1">
      <c r="A395" s="13" t="n"/>
      <c r="B395" s="14">
        <f>IF(A395="","",IF(COUNTIF(lst_Jobs,A395&amp;"")&gt;0,"OK","CHECK"))</f>
        <v/>
      </c>
      <c r="C395" s="14">
        <f>IF(A395="","",IFERROR(INDEX(lst_JobName,MATCH(A395&amp;"",lst_Jobs,0)),""))</f>
        <v/>
      </c>
      <c r="D395" s="14">
        <f>IF(A395="","",IFERROR(INDEX(tbl_Finance[Client],MATCH(A395&amp;"",tbl_Finance[Job Number],0)),""))</f>
        <v/>
      </c>
      <c r="E395" s="44">
        <f>IF(A395="","",COUNTIFS(tbl_Finance[Job Number],A395&amp;"",tbl_Finance[Ex GST],"&lt;&gt;"))</f>
        <v/>
      </c>
      <c r="F395" s="16">
        <f>IF(A395="","",SUMIFS(tbl_Finance[Ex GST],tbl_Finance[Job Number],A395&amp;""))</f>
        <v/>
      </c>
      <c r="G395" s="14">
        <f>IF(A395="","",IFERROR(INDEX(tbl_Finance[Cost Centre],MATCH(A395&amp;"",tbl_Finance[Job Number],0)),"not invoiced yet"))</f>
        <v/>
      </c>
      <c r="H395" s="13" t="n"/>
      <c r="I395" s="13" t="n"/>
      <c r="J395" s="45" t="n"/>
      <c r="K395" s="13" t="n"/>
      <c r="L395" s="13" t="n"/>
    </row>
    <row r="396" ht="15" customHeight="1">
      <c r="A396" s="13" t="n"/>
      <c r="B396" s="14">
        <f>IF(A396="","",IF(COUNTIF(lst_Jobs,A396&amp;"")&gt;0,"OK","CHECK"))</f>
        <v/>
      </c>
      <c r="C396" s="14">
        <f>IF(A396="","",IFERROR(INDEX(lst_JobName,MATCH(A396&amp;"",lst_Jobs,0)),""))</f>
        <v/>
      </c>
      <c r="D396" s="14">
        <f>IF(A396="","",IFERROR(INDEX(tbl_Finance[Client],MATCH(A396&amp;"",tbl_Finance[Job Number],0)),""))</f>
        <v/>
      </c>
      <c r="E396" s="44">
        <f>IF(A396="","",COUNTIFS(tbl_Finance[Job Number],A396&amp;"",tbl_Finance[Ex GST],"&lt;&gt;"))</f>
        <v/>
      </c>
      <c r="F396" s="16">
        <f>IF(A396="","",SUMIFS(tbl_Finance[Ex GST],tbl_Finance[Job Number],A396&amp;""))</f>
        <v/>
      </c>
      <c r="G396" s="14">
        <f>IF(A396="","",IFERROR(INDEX(tbl_Finance[Cost Centre],MATCH(A396&amp;"",tbl_Finance[Job Number],0)),"not invoiced yet"))</f>
        <v/>
      </c>
      <c r="H396" s="13" t="n"/>
      <c r="I396" s="13" t="n"/>
      <c r="J396" s="45" t="n"/>
      <c r="K396" s="13" t="n"/>
      <c r="L396" s="13" t="n"/>
    </row>
    <row r="397" ht="15" customHeight="1">
      <c r="A397" s="13" t="n"/>
      <c r="B397" s="14">
        <f>IF(A397="","",IF(COUNTIF(lst_Jobs,A397&amp;"")&gt;0,"OK","CHECK"))</f>
        <v/>
      </c>
      <c r="C397" s="14">
        <f>IF(A397="","",IFERROR(INDEX(lst_JobName,MATCH(A397&amp;"",lst_Jobs,0)),""))</f>
        <v/>
      </c>
      <c r="D397" s="14">
        <f>IF(A397="","",IFERROR(INDEX(tbl_Finance[Client],MATCH(A397&amp;"",tbl_Finance[Job Number],0)),""))</f>
        <v/>
      </c>
      <c r="E397" s="44">
        <f>IF(A397="","",COUNTIFS(tbl_Finance[Job Number],A397&amp;"",tbl_Finance[Ex GST],"&lt;&gt;"))</f>
        <v/>
      </c>
      <c r="F397" s="16">
        <f>IF(A397="","",SUMIFS(tbl_Finance[Ex GST],tbl_Finance[Job Number],A397&amp;""))</f>
        <v/>
      </c>
      <c r="G397" s="14">
        <f>IF(A397="","",IFERROR(INDEX(tbl_Finance[Cost Centre],MATCH(A397&amp;"",tbl_Finance[Job Number],0)),"not invoiced yet"))</f>
        <v/>
      </c>
      <c r="H397" s="13" t="n"/>
      <c r="I397" s="13" t="n"/>
      <c r="J397" s="45" t="n"/>
      <c r="K397" s="13" t="n"/>
      <c r="L397" s="13" t="n"/>
    </row>
    <row r="398" ht="15" customHeight="1">
      <c r="A398" s="13" t="n"/>
      <c r="B398" s="14">
        <f>IF(A398="","",IF(COUNTIF(lst_Jobs,A398&amp;"")&gt;0,"OK","CHECK"))</f>
        <v/>
      </c>
      <c r="C398" s="14">
        <f>IF(A398="","",IFERROR(INDEX(lst_JobName,MATCH(A398&amp;"",lst_Jobs,0)),""))</f>
        <v/>
      </c>
      <c r="D398" s="14">
        <f>IF(A398="","",IFERROR(INDEX(tbl_Finance[Client],MATCH(A398&amp;"",tbl_Finance[Job Number],0)),""))</f>
        <v/>
      </c>
      <c r="E398" s="44">
        <f>IF(A398="","",COUNTIFS(tbl_Finance[Job Number],A398&amp;"",tbl_Finance[Ex GST],"&lt;&gt;"))</f>
        <v/>
      </c>
      <c r="F398" s="16">
        <f>IF(A398="","",SUMIFS(tbl_Finance[Ex GST],tbl_Finance[Job Number],A398&amp;""))</f>
        <v/>
      </c>
      <c r="G398" s="14">
        <f>IF(A398="","",IFERROR(INDEX(tbl_Finance[Cost Centre],MATCH(A398&amp;"",tbl_Finance[Job Number],0)),"not invoiced yet"))</f>
        <v/>
      </c>
      <c r="H398" s="13" t="n"/>
      <c r="I398" s="13" t="n"/>
      <c r="J398" s="45" t="n"/>
      <c r="K398" s="13" t="n"/>
      <c r="L398" s="13" t="n"/>
    </row>
    <row r="399" ht="15" customHeight="1">
      <c r="A399" s="13" t="n"/>
      <c r="B399" s="14">
        <f>IF(A399="","",IF(COUNTIF(lst_Jobs,A399&amp;"")&gt;0,"OK","CHECK"))</f>
        <v/>
      </c>
      <c r="C399" s="14">
        <f>IF(A399="","",IFERROR(INDEX(lst_JobName,MATCH(A399&amp;"",lst_Jobs,0)),""))</f>
        <v/>
      </c>
      <c r="D399" s="14">
        <f>IF(A399="","",IFERROR(INDEX(tbl_Finance[Client],MATCH(A399&amp;"",tbl_Finance[Job Number],0)),""))</f>
        <v/>
      </c>
      <c r="E399" s="44">
        <f>IF(A399="","",COUNTIFS(tbl_Finance[Job Number],A399&amp;"",tbl_Finance[Ex GST],"&lt;&gt;"))</f>
        <v/>
      </c>
      <c r="F399" s="16">
        <f>IF(A399="","",SUMIFS(tbl_Finance[Ex GST],tbl_Finance[Job Number],A399&amp;""))</f>
        <v/>
      </c>
      <c r="G399" s="14">
        <f>IF(A399="","",IFERROR(INDEX(tbl_Finance[Cost Centre],MATCH(A399&amp;"",tbl_Finance[Job Number],0)),"not invoiced yet"))</f>
        <v/>
      </c>
      <c r="H399" s="13" t="n"/>
      <c r="I399" s="13" t="n"/>
      <c r="J399" s="45" t="n"/>
      <c r="K399" s="13" t="n"/>
      <c r="L399" s="13" t="n"/>
    </row>
    <row r="400" ht="15" customHeight="1">
      <c r="A400" s="13" t="n"/>
      <c r="B400" s="14">
        <f>IF(A400="","",IF(COUNTIF(lst_Jobs,A400&amp;"")&gt;0,"OK","CHECK"))</f>
        <v/>
      </c>
      <c r="C400" s="14">
        <f>IF(A400="","",IFERROR(INDEX(lst_JobName,MATCH(A400&amp;"",lst_Jobs,0)),""))</f>
        <v/>
      </c>
      <c r="D400" s="14">
        <f>IF(A400="","",IFERROR(INDEX(tbl_Finance[Client],MATCH(A400&amp;"",tbl_Finance[Job Number],0)),""))</f>
        <v/>
      </c>
      <c r="E400" s="44">
        <f>IF(A400="","",COUNTIFS(tbl_Finance[Job Number],A400&amp;"",tbl_Finance[Ex GST],"&lt;&gt;"))</f>
        <v/>
      </c>
      <c r="F400" s="16">
        <f>IF(A400="","",SUMIFS(tbl_Finance[Ex GST],tbl_Finance[Job Number],A400&amp;""))</f>
        <v/>
      </c>
      <c r="G400" s="14">
        <f>IF(A400="","",IFERROR(INDEX(tbl_Finance[Cost Centre],MATCH(A400&amp;"",tbl_Finance[Job Number],0)),"not invoiced yet"))</f>
        <v/>
      </c>
      <c r="H400" s="13" t="n"/>
      <c r="I400" s="13" t="n"/>
      <c r="J400" s="45" t="n"/>
      <c r="K400" s="13" t="n"/>
      <c r="L400" s="13" t="n"/>
    </row>
    <row r="401" ht="15" customHeight="1">
      <c r="A401" s="13" t="n"/>
      <c r="B401" s="14">
        <f>IF(A401="","",IF(COUNTIF(lst_Jobs,A401&amp;"")&gt;0,"OK","CHECK"))</f>
        <v/>
      </c>
      <c r="C401" s="14">
        <f>IF(A401="","",IFERROR(INDEX(lst_JobName,MATCH(A401&amp;"",lst_Jobs,0)),""))</f>
        <v/>
      </c>
      <c r="D401" s="14">
        <f>IF(A401="","",IFERROR(INDEX(tbl_Finance[Client],MATCH(A401&amp;"",tbl_Finance[Job Number],0)),""))</f>
        <v/>
      </c>
      <c r="E401" s="44">
        <f>IF(A401="","",COUNTIFS(tbl_Finance[Job Number],A401&amp;"",tbl_Finance[Ex GST],"&lt;&gt;"))</f>
        <v/>
      </c>
      <c r="F401" s="16">
        <f>IF(A401="","",SUMIFS(tbl_Finance[Ex GST],tbl_Finance[Job Number],A401&amp;""))</f>
        <v/>
      </c>
      <c r="G401" s="14">
        <f>IF(A401="","",IFERROR(INDEX(tbl_Finance[Cost Centre],MATCH(A401&amp;"",tbl_Finance[Job Number],0)),"not invoiced yet"))</f>
        <v/>
      </c>
      <c r="H401" s="13" t="n"/>
      <c r="I401" s="13" t="n"/>
      <c r="J401" s="45" t="n"/>
      <c r="K401" s="13" t="n"/>
      <c r="L401" s="13" t="n"/>
    </row>
    <row r="402" ht="15" customHeight="1">
      <c r="A402" s="13" t="n"/>
      <c r="B402" s="14">
        <f>IF(A402="","",IF(COUNTIF(lst_Jobs,A402&amp;"")&gt;0,"OK","CHECK"))</f>
        <v/>
      </c>
      <c r="C402" s="14">
        <f>IF(A402="","",IFERROR(INDEX(lst_JobName,MATCH(A402&amp;"",lst_Jobs,0)),""))</f>
        <v/>
      </c>
      <c r="D402" s="14">
        <f>IF(A402="","",IFERROR(INDEX(tbl_Finance[Client],MATCH(A402&amp;"",tbl_Finance[Job Number],0)),""))</f>
        <v/>
      </c>
      <c r="E402" s="44">
        <f>IF(A402="","",COUNTIFS(tbl_Finance[Job Number],A402&amp;"",tbl_Finance[Ex GST],"&lt;&gt;"))</f>
        <v/>
      </c>
      <c r="F402" s="16">
        <f>IF(A402="","",SUMIFS(tbl_Finance[Ex GST],tbl_Finance[Job Number],A402&amp;""))</f>
        <v/>
      </c>
      <c r="G402" s="14">
        <f>IF(A402="","",IFERROR(INDEX(tbl_Finance[Cost Centre],MATCH(A402&amp;"",tbl_Finance[Job Number],0)),"not invoiced yet"))</f>
        <v/>
      </c>
      <c r="H402" s="13" t="n"/>
      <c r="I402" s="13" t="n"/>
      <c r="J402" s="45" t="n"/>
      <c r="K402" s="13" t="n"/>
      <c r="L402" s="13" t="n"/>
    </row>
    <row r="403" ht="15" customHeight="1">
      <c r="A403" s="13" t="n"/>
      <c r="B403" s="14">
        <f>IF(A403="","",IF(COUNTIF(lst_Jobs,A403&amp;"")&gt;0,"OK","CHECK"))</f>
        <v/>
      </c>
      <c r="C403" s="14">
        <f>IF(A403="","",IFERROR(INDEX(lst_JobName,MATCH(A403&amp;"",lst_Jobs,0)),""))</f>
        <v/>
      </c>
      <c r="D403" s="14">
        <f>IF(A403="","",IFERROR(INDEX(tbl_Finance[Client],MATCH(A403&amp;"",tbl_Finance[Job Number],0)),""))</f>
        <v/>
      </c>
      <c r="E403" s="44">
        <f>IF(A403="","",COUNTIFS(tbl_Finance[Job Number],A403&amp;"",tbl_Finance[Ex GST],"&lt;&gt;"))</f>
        <v/>
      </c>
      <c r="F403" s="16">
        <f>IF(A403="","",SUMIFS(tbl_Finance[Ex GST],tbl_Finance[Job Number],A403&amp;""))</f>
        <v/>
      </c>
      <c r="G403" s="14">
        <f>IF(A403="","",IFERROR(INDEX(tbl_Finance[Cost Centre],MATCH(A403&amp;"",tbl_Finance[Job Number],0)),"not invoiced yet"))</f>
        <v/>
      </c>
      <c r="H403" s="13" t="n"/>
      <c r="I403" s="13" t="n"/>
      <c r="J403" s="45" t="n"/>
      <c r="K403" s="13" t="n"/>
      <c r="L403" s="13" t="n"/>
    </row>
    <row r="404" ht="15" customHeight="1">
      <c r="A404" s="13" t="n"/>
      <c r="B404" s="14">
        <f>IF(A404="","",IF(COUNTIF(lst_Jobs,A404&amp;"")&gt;0,"OK","CHECK"))</f>
        <v/>
      </c>
      <c r="C404" s="14">
        <f>IF(A404="","",IFERROR(INDEX(lst_JobName,MATCH(A404&amp;"",lst_Jobs,0)),""))</f>
        <v/>
      </c>
      <c r="D404" s="14">
        <f>IF(A404="","",IFERROR(INDEX(tbl_Finance[Client],MATCH(A404&amp;"",tbl_Finance[Job Number],0)),""))</f>
        <v/>
      </c>
      <c r="E404" s="44">
        <f>IF(A404="","",COUNTIFS(tbl_Finance[Job Number],A404&amp;"",tbl_Finance[Ex GST],"&lt;&gt;"))</f>
        <v/>
      </c>
      <c r="F404" s="16">
        <f>IF(A404="","",SUMIFS(tbl_Finance[Ex GST],tbl_Finance[Job Number],A404&amp;""))</f>
        <v/>
      </c>
      <c r="G404" s="14">
        <f>IF(A404="","",IFERROR(INDEX(tbl_Finance[Cost Centre],MATCH(A404&amp;"",tbl_Finance[Job Number],0)),"not invoiced yet"))</f>
        <v/>
      </c>
      <c r="H404" s="13" t="n"/>
      <c r="I404" s="13" t="n"/>
      <c r="J404" s="45" t="n"/>
      <c r="K404" s="13" t="n"/>
      <c r="L404" s="13" t="n"/>
    </row>
    <row r="405" ht="15" customHeight="1">
      <c r="A405" s="13" t="n"/>
      <c r="B405" s="14">
        <f>IF(A405="","",IF(COUNTIF(lst_Jobs,A405&amp;"")&gt;0,"OK","CHECK"))</f>
        <v/>
      </c>
      <c r="C405" s="14">
        <f>IF(A405="","",IFERROR(INDEX(lst_JobName,MATCH(A405&amp;"",lst_Jobs,0)),""))</f>
        <v/>
      </c>
      <c r="D405" s="14">
        <f>IF(A405="","",IFERROR(INDEX(tbl_Finance[Client],MATCH(A405&amp;"",tbl_Finance[Job Number],0)),""))</f>
        <v/>
      </c>
      <c r="E405" s="44">
        <f>IF(A405="","",COUNTIFS(tbl_Finance[Job Number],A405&amp;"",tbl_Finance[Ex GST],"&lt;&gt;"))</f>
        <v/>
      </c>
      <c r="F405" s="16">
        <f>IF(A405="","",SUMIFS(tbl_Finance[Ex GST],tbl_Finance[Job Number],A405&amp;""))</f>
        <v/>
      </c>
      <c r="G405" s="14">
        <f>IF(A405="","",IFERROR(INDEX(tbl_Finance[Cost Centre],MATCH(A405&amp;"",tbl_Finance[Job Number],0)),"not invoiced yet"))</f>
        <v/>
      </c>
      <c r="H405" s="13" t="n"/>
      <c r="I405" s="13" t="n"/>
      <c r="J405" s="45" t="n"/>
      <c r="K405" s="13" t="n"/>
      <c r="L405" s="13" t="n"/>
    </row>
    <row r="406" ht="15" customHeight="1">
      <c r="A406" s="13" t="n"/>
      <c r="B406" s="14">
        <f>IF(A406="","",IF(COUNTIF(lst_Jobs,A406&amp;"")&gt;0,"OK","CHECK"))</f>
        <v/>
      </c>
      <c r="C406" s="14">
        <f>IF(A406="","",IFERROR(INDEX(lst_JobName,MATCH(A406&amp;"",lst_Jobs,0)),""))</f>
        <v/>
      </c>
      <c r="D406" s="14">
        <f>IF(A406="","",IFERROR(INDEX(tbl_Finance[Client],MATCH(A406&amp;"",tbl_Finance[Job Number],0)),""))</f>
        <v/>
      </c>
      <c r="E406" s="44">
        <f>IF(A406="","",COUNTIFS(tbl_Finance[Job Number],A406&amp;"",tbl_Finance[Ex GST],"&lt;&gt;"))</f>
        <v/>
      </c>
      <c r="F406" s="16">
        <f>IF(A406="","",SUMIFS(tbl_Finance[Ex GST],tbl_Finance[Job Number],A406&amp;""))</f>
        <v/>
      </c>
      <c r="G406" s="14">
        <f>IF(A406="","",IFERROR(INDEX(tbl_Finance[Cost Centre],MATCH(A406&amp;"",tbl_Finance[Job Number],0)),"not invoiced yet"))</f>
        <v/>
      </c>
      <c r="H406" s="13" t="n"/>
      <c r="I406" s="13" t="n"/>
      <c r="J406" s="45" t="n"/>
      <c r="K406" s="13" t="n"/>
      <c r="L406" s="13" t="n"/>
    </row>
    <row r="407" ht="15" customHeight="1">
      <c r="A407" s="13" t="n"/>
      <c r="B407" s="14">
        <f>IF(A407="","",IF(COUNTIF(lst_Jobs,A407&amp;"")&gt;0,"OK","CHECK"))</f>
        <v/>
      </c>
      <c r="C407" s="14">
        <f>IF(A407="","",IFERROR(INDEX(lst_JobName,MATCH(A407&amp;"",lst_Jobs,0)),""))</f>
        <v/>
      </c>
      <c r="D407" s="14">
        <f>IF(A407="","",IFERROR(INDEX(tbl_Finance[Client],MATCH(A407&amp;"",tbl_Finance[Job Number],0)),""))</f>
        <v/>
      </c>
      <c r="E407" s="44">
        <f>IF(A407="","",COUNTIFS(tbl_Finance[Job Number],A407&amp;"",tbl_Finance[Ex GST],"&lt;&gt;"))</f>
        <v/>
      </c>
      <c r="F407" s="16">
        <f>IF(A407="","",SUMIFS(tbl_Finance[Ex GST],tbl_Finance[Job Number],A407&amp;""))</f>
        <v/>
      </c>
      <c r="G407" s="14">
        <f>IF(A407="","",IFERROR(INDEX(tbl_Finance[Cost Centre],MATCH(A407&amp;"",tbl_Finance[Job Number],0)),"not invoiced yet"))</f>
        <v/>
      </c>
      <c r="H407" s="13" t="n"/>
      <c r="I407" s="13" t="n"/>
      <c r="J407" s="45" t="n"/>
      <c r="K407" s="13" t="n"/>
      <c r="L407" s="13" t="n"/>
    </row>
    <row r="408" ht="15" customHeight="1">
      <c r="A408" s="13" t="n"/>
      <c r="B408" s="14">
        <f>IF(A408="","",IF(COUNTIF(lst_Jobs,A408&amp;"")&gt;0,"OK","CHECK"))</f>
        <v/>
      </c>
      <c r="C408" s="14">
        <f>IF(A408="","",IFERROR(INDEX(lst_JobName,MATCH(A408&amp;"",lst_Jobs,0)),""))</f>
        <v/>
      </c>
      <c r="D408" s="14">
        <f>IF(A408="","",IFERROR(INDEX(tbl_Finance[Client],MATCH(A408&amp;"",tbl_Finance[Job Number],0)),""))</f>
        <v/>
      </c>
      <c r="E408" s="44">
        <f>IF(A408="","",COUNTIFS(tbl_Finance[Job Number],A408&amp;"",tbl_Finance[Ex GST],"&lt;&gt;"))</f>
        <v/>
      </c>
      <c r="F408" s="16">
        <f>IF(A408="","",SUMIFS(tbl_Finance[Ex GST],tbl_Finance[Job Number],A408&amp;""))</f>
        <v/>
      </c>
      <c r="G408" s="14">
        <f>IF(A408="","",IFERROR(INDEX(tbl_Finance[Cost Centre],MATCH(A408&amp;"",tbl_Finance[Job Number],0)),"not invoiced yet"))</f>
        <v/>
      </c>
      <c r="H408" s="13" t="n"/>
      <c r="I408" s="13" t="n"/>
      <c r="J408" s="45" t="n"/>
      <c r="K408" s="13" t="n"/>
      <c r="L408" s="13" t="n"/>
    </row>
    <row r="409" ht="15" customHeight="1">
      <c r="A409" s="13" t="n"/>
      <c r="B409" s="14">
        <f>IF(A409="","",IF(COUNTIF(lst_Jobs,A409&amp;"")&gt;0,"OK","CHECK"))</f>
        <v/>
      </c>
      <c r="C409" s="14">
        <f>IF(A409="","",IFERROR(INDEX(lst_JobName,MATCH(A409&amp;"",lst_Jobs,0)),""))</f>
        <v/>
      </c>
      <c r="D409" s="14">
        <f>IF(A409="","",IFERROR(INDEX(tbl_Finance[Client],MATCH(A409&amp;"",tbl_Finance[Job Number],0)),""))</f>
        <v/>
      </c>
      <c r="E409" s="44">
        <f>IF(A409="","",COUNTIFS(tbl_Finance[Job Number],A409&amp;"",tbl_Finance[Ex GST],"&lt;&gt;"))</f>
        <v/>
      </c>
      <c r="F409" s="16">
        <f>IF(A409="","",SUMIFS(tbl_Finance[Ex GST],tbl_Finance[Job Number],A409&amp;""))</f>
        <v/>
      </c>
      <c r="G409" s="14">
        <f>IF(A409="","",IFERROR(INDEX(tbl_Finance[Cost Centre],MATCH(A409&amp;"",tbl_Finance[Job Number],0)),"not invoiced yet"))</f>
        <v/>
      </c>
      <c r="H409" s="13" t="n"/>
      <c r="I409" s="13" t="n"/>
      <c r="J409" s="45" t="n"/>
      <c r="K409" s="13" t="n"/>
      <c r="L409" s="13" t="n"/>
    </row>
    <row r="410" ht="15" customHeight="1">
      <c r="A410" s="13" t="n"/>
      <c r="B410" s="14">
        <f>IF(A410="","",IF(COUNTIF(lst_Jobs,A410&amp;"")&gt;0,"OK","CHECK"))</f>
        <v/>
      </c>
      <c r="C410" s="14">
        <f>IF(A410="","",IFERROR(INDEX(lst_JobName,MATCH(A410&amp;"",lst_Jobs,0)),""))</f>
        <v/>
      </c>
      <c r="D410" s="14">
        <f>IF(A410="","",IFERROR(INDEX(tbl_Finance[Client],MATCH(A410&amp;"",tbl_Finance[Job Number],0)),""))</f>
        <v/>
      </c>
      <c r="E410" s="44">
        <f>IF(A410="","",COUNTIFS(tbl_Finance[Job Number],A410&amp;"",tbl_Finance[Ex GST],"&lt;&gt;"))</f>
        <v/>
      </c>
      <c r="F410" s="16">
        <f>IF(A410="","",SUMIFS(tbl_Finance[Ex GST],tbl_Finance[Job Number],A410&amp;""))</f>
        <v/>
      </c>
      <c r="G410" s="14">
        <f>IF(A410="","",IFERROR(INDEX(tbl_Finance[Cost Centre],MATCH(A410&amp;"",tbl_Finance[Job Number],0)),"not invoiced yet"))</f>
        <v/>
      </c>
      <c r="H410" s="13" t="n"/>
      <c r="I410" s="13" t="n"/>
      <c r="J410" s="45" t="n"/>
      <c r="K410" s="13" t="n"/>
      <c r="L410" s="13" t="n"/>
    </row>
    <row r="411" ht="15" customHeight="1">
      <c r="A411" s="13" t="n"/>
      <c r="B411" s="14">
        <f>IF(A411="","",IF(COUNTIF(lst_Jobs,A411&amp;"")&gt;0,"OK","CHECK"))</f>
        <v/>
      </c>
      <c r="C411" s="14">
        <f>IF(A411="","",IFERROR(INDEX(lst_JobName,MATCH(A411&amp;"",lst_Jobs,0)),""))</f>
        <v/>
      </c>
      <c r="D411" s="14">
        <f>IF(A411="","",IFERROR(INDEX(tbl_Finance[Client],MATCH(A411&amp;"",tbl_Finance[Job Number],0)),""))</f>
        <v/>
      </c>
      <c r="E411" s="44">
        <f>IF(A411="","",COUNTIFS(tbl_Finance[Job Number],A411&amp;"",tbl_Finance[Ex GST],"&lt;&gt;"))</f>
        <v/>
      </c>
      <c r="F411" s="16">
        <f>IF(A411="","",SUMIFS(tbl_Finance[Ex GST],tbl_Finance[Job Number],A411&amp;""))</f>
        <v/>
      </c>
      <c r="G411" s="14">
        <f>IF(A411="","",IFERROR(INDEX(tbl_Finance[Cost Centre],MATCH(A411&amp;"",tbl_Finance[Job Number],0)),"not invoiced yet"))</f>
        <v/>
      </c>
      <c r="H411" s="13" t="n"/>
      <c r="I411" s="13" t="n"/>
      <c r="J411" s="45" t="n"/>
      <c r="K411" s="13" t="n"/>
      <c r="L411" s="13" t="n"/>
    </row>
    <row r="412" ht="15" customHeight="1">
      <c r="A412" s="13" t="n"/>
      <c r="B412" s="14">
        <f>IF(A412="","",IF(COUNTIF(lst_Jobs,A412&amp;"")&gt;0,"OK","CHECK"))</f>
        <v/>
      </c>
      <c r="C412" s="14">
        <f>IF(A412="","",IFERROR(INDEX(lst_JobName,MATCH(A412&amp;"",lst_Jobs,0)),""))</f>
        <v/>
      </c>
      <c r="D412" s="14">
        <f>IF(A412="","",IFERROR(INDEX(tbl_Finance[Client],MATCH(A412&amp;"",tbl_Finance[Job Number],0)),""))</f>
        <v/>
      </c>
      <c r="E412" s="44">
        <f>IF(A412="","",COUNTIFS(tbl_Finance[Job Number],A412&amp;"",tbl_Finance[Ex GST],"&lt;&gt;"))</f>
        <v/>
      </c>
      <c r="F412" s="16">
        <f>IF(A412="","",SUMIFS(tbl_Finance[Ex GST],tbl_Finance[Job Number],A412&amp;""))</f>
        <v/>
      </c>
      <c r="G412" s="14">
        <f>IF(A412="","",IFERROR(INDEX(tbl_Finance[Cost Centre],MATCH(A412&amp;"",tbl_Finance[Job Number],0)),"not invoiced yet"))</f>
        <v/>
      </c>
      <c r="H412" s="13" t="n"/>
      <c r="I412" s="13" t="n"/>
      <c r="J412" s="45" t="n"/>
      <c r="K412" s="13" t="n"/>
      <c r="L412" s="13" t="n"/>
    </row>
    <row r="413" ht="15" customHeight="1">
      <c r="A413" s="13" t="n"/>
      <c r="B413" s="14">
        <f>IF(A413="","",IF(COUNTIF(lst_Jobs,A413&amp;"")&gt;0,"OK","CHECK"))</f>
        <v/>
      </c>
      <c r="C413" s="14">
        <f>IF(A413="","",IFERROR(INDEX(lst_JobName,MATCH(A413&amp;"",lst_Jobs,0)),""))</f>
        <v/>
      </c>
      <c r="D413" s="14">
        <f>IF(A413="","",IFERROR(INDEX(tbl_Finance[Client],MATCH(A413&amp;"",tbl_Finance[Job Number],0)),""))</f>
        <v/>
      </c>
      <c r="E413" s="44">
        <f>IF(A413="","",COUNTIFS(tbl_Finance[Job Number],A413&amp;"",tbl_Finance[Ex GST],"&lt;&gt;"))</f>
        <v/>
      </c>
      <c r="F413" s="16">
        <f>IF(A413="","",SUMIFS(tbl_Finance[Ex GST],tbl_Finance[Job Number],A413&amp;""))</f>
        <v/>
      </c>
      <c r="G413" s="14">
        <f>IF(A413="","",IFERROR(INDEX(tbl_Finance[Cost Centre],MATCH(A413&amp;"",tbl_Finance[Job Number],0)),"not invoiced yet"))</f>
        <v/>
      </c>
      <c r="H413" s="13" t="n"/>
      <c r="I413" s="13" t="n"/>
      <c r="J413" s="45" t="n"/>
      <c r="K413" s="13" t="n"/>
      <c r="L413" s="13" t="n"/>
    </row>
    <row r="414" ht="15" customHeight="1">
      <c r="A414" s="13" t="n"/>
      <c r="B414" s="14">
        <f>IF(A414="","",IF(COUNTIF(lst_Jobs,A414&amp;"")&gt;0,"OK","CHECK"))</f>
        <v/>
      </c>
      <c r="C414" s="14">
        <f>IF(A414="","",IFERROR(INDEX(lst_JobName,MATCH(A414&amp;"",lst_Jobs,0)),""))</f>
        <v/>
      </c>
      <c r="D414" s="14">
        <f>IF(A414="","",IFERROR(INDEX(tbl_Finance[Client],MATCH(A414&amp;"",tbl_Finance[Job Number],0)),""))</f>
        <v/>
      </c>
      <c r="E414" s="44">
        <f>IF(A414="","",COUNTIFS(tbl_Finance[Job Number],A414&amp;"",tbl_Finance[Ex GST],"&lt;&gt;"))</f>
        <v/>
      </c>
      <c r="F414" s="16">
        <f>IF(A414="","",SUMIFS(tbl_Finance[Ex GST],tbl_Finance[Job Number],A414&amp;""))</f>
        <v/>
      </c>
      <c r="G414" s="14">
        <f>IF(A414="","",IFERROR(INDEX(tbl_Finance[Cost Centre],MATCH(A414&amp;"",tbl_Finance[Job Number],0)),"not invoiced yet"))</f>
        <v/>
      </c>
      <c r="H414" s="13" t="n"/>
      <c r="I414" s="13" t="n"/>
      <c r="J414" s="45" t="n"/>
      <c r="K414" s="13" t="n"/>
      <c r="L414" s="13" t="n"/>
    </row>
    <row r="415" ht="15" customHeight="1">
      <c r="A415" s="13" t="n"/>
      <c r="B415" s="14">
        <f>IF(A415="","",IF(COUNTIF(lst_Jobs,A415&amp;"")&gt;0,"OK","CHECK"))</f>
        <v/>
      </c>
      <c r="C415" s="14">
        <f>IF(A415="","",IFERROR(INDEX(lst_JobName,MATCH(A415&amp;"",lst_Jobs,0)),""))</f>
        <v/>
      </c>
      <c r="D415" s="14">
        <f>IF(A415="","",IFERROR(INDEX(tbl_Finance[Client],MATCH(A415&amp;"",tbl_Finance[Job Number],0)),""))</f>
        <v/>
      </c>
      <c r="E415" s="44">
        <f>IF(A415="","",COUNTIFS(tbl_Finance[Job Number],A415&amp;"",tbl_Finance[Ex GST],"&lt;&gt;"))</f>
        <v/>
      </c>
      <c r="F415" s="16">
        <f>IF(A415="","",SUMIFS(tbl_Finance[Ex GST],tbl_Finance[Job Number],A415&amp;""))</f>
        <v/>
      </c>
      <c r="G415" s="14">
        <f>IF(A415="","",IFERROR(INDEX(tbl_Finance[Cost Centre],MATCH(A415&amp;"",tbl_Finance[Job Number],0)),"not invoiced yet"))</f>
        <v/>
      </c>
      <c r="H415" s="13" t="n"/>
      <c r="I415" s="13" t="n"/>
      <c r="J415" s="45" t="n"/>
      <c r="K415" s="13" t="n"/>
      <c r="L415" s="13" t="n"/>
    </row>
    <row r="416" ht="15" customHeight="1">
      <c r="A416" s="13" t="n"/>
      <c r="B416" s="14">
        <f>IF(A416="","",IF(COUNTIF(lst_Jobs,A416&amp;"")&gt;0,"OK","CHECK"))</f>
        <v/>
      </c>
      <c r="C416" s="14">
        <f>IF(A416="","",IFERROR(INDEX(lst_JobName,MATCH(A416&amp;"",lst_Jobs,0)),""))</f>
        <v/>
      </c>
      <c r="D416" s="14">
        <f>IF(A416="","",IFERROR(INDEX(tbl_Finance[Client],MATCH(A416&amp;"",tbl_Finance[Job Number],0)),""))</f>
        <v/>
      </c>
      <c r="E416" s="44">
        <f>IF(A416="","",COUNTIFS(tbl_Finance[Job Number],A416&amp;"",tbl_Finance[Ex GST],"&lt;&gt;"))</f>
        <v/>
      </c>
      <c r="F416" s="16">
        <f>IF(A416="","",SUMIFS(tbl_Finance[Ex GST],tbl_Finance[Job Number],A416&amp;""))</f>
        <v/>
      </c>
      <c r="G416" s="14">
        <f>IF(A416="","",IFERROR(INDEX(tbl_Finance[Cost Centre],MATCH(A416&amp;"",tbl_Finance[Job Number],0)),"not invoiced yet"))</f>
        <v/>
      </c>
      <c r="H416" s="13" t="n"/>
      <c r="I416" s="13" t="n"/>
      <c r="J416" s="45" t="n"/>
      <c r="K416" s="13" t="n"/>
      <c r="L416" s="13" t="n"/>
    </row>
    <row r="417" ht="15" customHeight="1">
      <c r="A417" s="13" t="n"/>
      <c r="B417" s="14">
        <f>IF(A417="","",IF(COUNTIF(lst_Jobs,A417&amp;"")&gt;0,"OK","CHECK"))</f>
        <v/>
      </c>
      <c r="C417" s="14">
        <f>IF(A417="","",IFERROR(INDEX(lst_JobName,MATCH(A417&amp;"",lst_Jobs,0)),""))</f>
        <v/>
      </c>
      <c r="D417" s="14">
        <f>IF(A417="","",IFERROR(INDEX(tbl_Finance[Client],MATCH(A417&amp;"",tbl_Finance[Job Number],0)),""))</f>
        <v/>
      </c>
      <c r="E417" s="44">
        <f>IF(A417="","",COUNTIFS(tbl_Finance[Job Number],A417&amp;"",tbl_Finance[Ex GST],"&lt;&gt;"))</f>
        <v/>
      </c>
      <c r="F417" s="16">
        <f>IF(A417="","",SUMIFS(tbl_Finance[Ex GST],tbl_Finance[Job Number],A417&amp;""))</f>
        <v/>
      </c>
      <c r="G417" s="14">
        <f>IF(A417="","",IFERROR(INDEX(tbl_Finance[Cost Centre],MATCH(A417&amp;"",tbl_Finance[Job Number],0)),"not invoiced yet"))</f>
        <v/>
      </c>
      <c r="H417" s="13" t="n"/>
      <c r="I417" s="13" t="n"/>
      <c r="J417" s="45" t="n"/>
      <c r="K417" s="13" t="n"/>
      <c r="L417" s="13" t="n"/>
    </row>
    <row r="418" ht="15" customHeight="1">
      <c r="A418" s="13" t="n"/>
      <c r="B418" s="14">
        <f>IF(A418="","",IF(COUNTIF(lst_Jobs,A418&amp;"")&gt;0,"OK","CHECK"))</f>
        <v/>
      </c>
      <c r="C418" s="14">
        <f>IF(A418="","",IFERROR(INDEX(lst_JobName,MATCH(A418&amp;"",lst_Jobs,0)),""))</f>
        <v/>
      </c>
      <c r="D418" s="14">
        <f>IF(A418="","",IFERROR(INDEX(tbl_Finance[Client],MATCH(A418&amp;"",tbl_Finance[Job Number],0)),""))</f>
        <v/>
      </c>
      <c r="E418" s="44">
        <f>IF(A418="","",COUNTIFS(tbl_Finance[Job Number],A418&amp;"",tbl_Finance[Ex GST],"&lt;&gt;"))</f>
        <v/>
      </c>
      <c r="F418" s="16">
        <f>IF(A418="","",SUMIFS(tbl_Finance[Ex GST],tbl_Finance[Job Number],A418&amp;""))</f>
        <v/>
      </c>
      <c r="G418" s="14">
        <f>IF(A418="","",IFERROR(INDEX(tbl_Finance[Cost Centre],MATCH(A418&amp;"",tbl_Finance[Job Number],0)),"not invoiced yet"))</f>
        <v/>
      </c>
      <c r="H418" s="13" t="n"/>
      <c r="I418" s="13" t="n"/>
      <c r="J418" s="45" t="n"/>
      <c r="K418" s="13" t="n"/>
      <c r="L418" s="13" t="n"/>
    </row>
    <row r="419" ht="15" customHeight="1">
      <c r="A419" s="13" t="n"/>
      <c r="B419" s="14">
        <f>IF(A419="","",IF(COUNTIF(lst_Jobs,A419&amp;"")&gt;0,"OK","CHECK"))</f>
        <v/>
      </c>
      <c r="C419" s="14">
        <f>IF(A419="","",IFERROR(INDEX(lst_JobName,MATCH(A419&amp;"",lst_Jobs,0)),""))</f>
        <v/>
      </c>
      <c r="D419" s="14">
        <f>IF(A419="","",IFERROR(INDEX(tbl_Finance[Client],MATCH(A419&amp;"",tbl_Finance[Job Number],0)),""))</f>
        <v/>
      </c>
      <c r="E419" s="44">
        <f>IF(A419="","",COUNTIFS(tbl_Finance[Job Number],A419&amp;"",tbl_Finance[Ex GST],"&lt;&gt;"))</f>
        <v/>
      </c>
      <c r="F419" s="16">
        <f>IF(A419="","",SUMIFS(tbl_Finance[Ex GST],tbl_Finance[Job Number],A419&amp;""))</f>
        <v/>
      </c>
      <c r="G419" s="14">
        <f>IF(A419="","",IFERROR(INDEX(tbl_Finance[Cost Centre],MATCH(A419&amp;"",tbl_Finance[Job Number],0)),"not invoiced yet"))</f>
        <v/>
      </c>
      <c r="H419" s="13" t="n"/>
      <c r="I419" s="13" t="n"/>
      <c r="J419" s="45" t="n"/>
      <c r="K419" s="13" t="n"/>
      <c r="L419" s="13" t="n"/>
    </row>
    <row r="420" ht="15" customHeight="1">
      <c r="A420" s="13" t="n"/>
      <c r="B420" s="14">
        <f>IF(A420="","",IF(COUNTIF(lst_Jobs,A420&amp;"")&gt;0,"OK","CHECK"))</f>
        <v/>
      </c>
      <c r="C420" s="14">
        <f>IF(A420="","",IFERROR(INDEX(lst_JobName,MATCH(A420&amp;"",lst_Jobs,0)),""))</f>
        <v/>
      </c>
      <c r="D420" s="14">
        <f>IF(A420="","",IFERROR(INDEX(tbl_Finance[Client],MATCH(A420&amp;"",tbl_Finance[Job Number],0)),""))</f>
        <v/>
      </c>
      <c r="E420" s="44">
        <f>IF(A420="","",COUNTIFS(tbl_Finance[Job Number],A420&amp;"",tbl_Finance[Ex GST],"&lt;&gt;"))</f>
        <v/>
      </c>
      <c r="F420" s="16">
        <f>IF(A420="","",SUMIFS(tbl_Finance[Ex GST],tbl_Finance[Job Number],A420&amp;""))</f>
        <v/>
      </c>
      <c r="G420" s="14">
        <f>IF(A420="","",IFERROR(INDEX(tbl_Finance[Cost Centre],MATCH(A420&amp;"",tbl_Finance[Job Number],0)),"not invoiced yet"))</f>
        <v/>
      </c>
      <c r="H420" s="13" t="n"/>
      <c r="I420" s="13" t="n"/>
      <c r="J420" s="45" t="n"/>
      <c r="K420" s="13" t="n"/>
      <c r="L420" s="13" t="n"/>
    </row>
    <row r="421" ht="15" customHeight="1">
      <c r="A421" s="13" t="n"/>
      <c r="B421" s="14">
        <f>IF(A421="","",IF(COUNTIF(lst_Jobs,A421&amp;"")&gt;0,"OK","CHECK"))</f>
        <v/>
      </c>
      <c r="C421" s="14">
        <f>IF(A421="","",IFERROR(INDEX(lst_JobName,MATCH(A421&amp;"",lst_Jobs,0)),""))</f>
        <v/>
      </c>
      <c r="D421" s="14">
        <f>IF(A421="","",IFERROR(INDEX(tbl_Finance[Client],MATCH(A421&amp;"",tbl_Finance[Job Number],0)),""))</f>
        <v/>
      </c>
      <c r="E421" s="44">
        <f>IF(A421="","",COUNTIFS(tbl_Finance[Job Number],A421&amp;"",tbl_Finance[Ex GST],"&lt;&gt;"))</f>
        <v/>
      </c>
      <c r="F421" s="16">
        <f>IF(A421="","",SUMIFS(tbl_Finance[Ex GST],tbl_Finance[Job Number],A421&amp;""))</f>
        <v/>
      </c>
      <c r="G421" s="14">
        <f>IF(A421="","",IFERROR(INDEX(tbl_Finance[Cost Centre],MATCH(A421&amp;"",tbl_Finance[Job Number],0)),"not invoiced yet"))</f>
        <v/>
      </c>
      <c r="H421" s="13" t="n"/>
      <c r="I421" s="13" t="n"/>
      <c r="J421" s="45" t="n"/>
      <c r="K421" s="13" t="n"/>
      <c r="L421" s="13" t="n"/>
    </row>
    <row r="422" ht="15" customHeight="1">
      <c r="A422" s="13" t="n"/>
      <c r="B422" s="14">
        <f>IF(A422="","",IF(COUNTIF(lst_Jobs,A422&amp;"")&gt;0,"OK","CHECK"))</f>
        <v/>
      </c>
      <c r="C422" s="14">
        <f>IF(A422="","",IFERROR(INDEX(lst_JobName,MATCH(A422&amp;"",lst_Jobs,0)),""))</f>
        <v/>
      </c>
      <c r="D422" s="14">
        <f>IF(A422="","",IFERROR(INDEX(tbl_Finance[Client],MATCH(A422&amp;"",tbl_Finance[Job Number],0)),""))</f>
        <v/>
      </c>
      <c r="E422" s="44">
        <f>IF(A422="","",COUNTIFS(tbl_Finance[Job Number],A422&amp;"",tbl_Finance[Ex GST],"&lt;&gt;"))</f>
        <v/>
      </c>
      <c r="F422" s="16">
        <f>IF(A422="","",SUMIFS(tbl_Finance[Ex GST],tbl_Finance[Job Number],A422&amp;""))</f>
        <v/>
      </c>
      <c r="G422" s="14">
        <f>IF(A422="","",IFERROR(INDEX(tbl_Finance[Cost Centre],MATCH(A422&amp;"",tbl_Finance[Job Number],0)),"not invoiced yet"))</f>
        <v/>
      </c>
      <c r="H422" s="13" t="n"/>
      <c r="I422" s="13" t="n"/>
      <c r="J422" s="45" t="n"/>
      <c r="K422" s="13" t="n"/>
      <c r="L422" s="13" t="n"/>
    </row>
    <row r="423" ht="15" customHeight="1">
      <c r="A423" s="13" t="n"/>
      <c r="B423" s="14">
        <f>IF(A423="","",IF(COUNTIF(lst_Jobs,A423&amp;"")&gt;0,"OK","CHECK"))</f>
        <v/>
      </c>
      <c r="C423" s="14">
        <f>IF(A423="","",IFERROR(INDEX(lst_JobName,MATCH(A423&amp;"",lst_Jobs,0)),""))</f>
        <v/>
      </c>
      <c r="D423" s="14">
        <f>IF(A423="","",IFERROR(INDEX(tbl_Finance[Client],MATCH(A423&amp;"",tbl_Finance[Job Number],0)),""))</f>
        <v/>
      </c>
      <c r="E423" s="44">
        <f>IF(A423="","",COUNTIFS(tbl_Finance[Job Number],A423&amp;"",tbl_Finance[Ex GST],"&lt;&gt;"))</f>
        <v/>
      </c>
      <c r="F423" s="16">
        <f>IF(A423="","",SUMIFS(tbl_Finance[Ex GST],tbl_Finance[Job Number],A423&amp;""))</f>
        <v/>
      </c>
      <c r="G423" s="14">
        <f>IF(A423="","",IFERROR(INDEX(tbl_Finance[Cost Centre],MATCH(A423&amp;"",tbl_Finance[Job Number],0)),"not invoiced yet"))</f>
        <v/>
      </c>
      <c r="H423" s="13" t="n"/>
      <c r="I423" s="13" t="n"/>
      <c r="J423" s="45" t="n"/>
      <c r="K423" s="13" t="n"/>
      <c r="L423" s="13" t="n"/>
    </row>
    <row r="424" ht="15" customHeight="1">
      <c r="A424" s="13" t="n"/>
      <c r="B424" s="14">
        <f>IF(A424="","",IF(COUNTIF(lst_Jobs,A424&amp;"")&gt;0,"OK","CHECK"))</f>
        <v/>
      </c>
      <c r="C424" s="14">
        <f>IF(A424="","",IFERROR(INDEX(lst_JobName,MATCH(A424&amp;"",lst_Jobs,0)),""))</f>
        <v/>
      </c>
      <c r="D424" s="14">
        <f>IF(A424="","",IFERROR(INDEX(tbl_Finance[Client],MATCH(A424&amp;"",tbl_Finance[Job Number],0)),""))</f>
        <v/>
      </c>
      <c r="E424" s="44">
        <f>IF(A424="","",COUNTIFS(tbl_Finance[Job Number],A424&amp;"",tbl_Finance[Ex GST],"&lt;&gt;"))</f>
        <v/>
      </c>
      <c r="F424" s="16">
        <f>IF(A424="","",SUMIFS(tbl_Finance[Ex GST],tbl_Finance[Job Number],A424&amp;""))</f>
        <v/>
      </c>
      <c r="G424" s="14">
        <f>IF(A424="","",IFERROR(INDEX(tbl_Finance[Cost Centre],MATCH(A424&amp;"",tbl_Finance[Job Number],0)),"not invoiced yet"))</f>
        <v/>
      </c>
      <c r="H424" s="13" t="n"/>
      <c r="I424" s="13" t="n"/>
      <c r="J424" s="45" t="n"/>
      <c r="K424" s="13" t="n"/>
      <c r="L424" s="13" t="n"/>
    </row>
    <row r="425" ht="15" customHeight="1">
      <c r="A425" s="13" t="n"/>
      <c r="B425" s="14">
        <f>IF(A425="","",IF(COUNTIF(lst_Jobs,A425&amp;"")&gt;0,"OK","CHECK"))</f>
        <v/>
      </c>
      <c r="C425" s="14">
        <f>IF(A425="","",IFERROR(INDEX(lst_JobName,MATCH(A425&amp;"",lst_Jobs,0)),""))</f>
        <v/>
      </c>
      <c r="D425" s="14">
        <f>IF(A425="","",IFERROR(INDEX(tbl_Finance[Client],MATCH(A425&amp;"",tbl_Finance[Job Number],0)),""))</f>
        <v/>
      </c>
      <c r="E425" s="44">
        <f>IF(A425="","",COUNTIFS(tbl_Finance[Job Number],A425&amp;"",tbl_Finance[Ex GST],"&lt;&gt;"))</f>
        <v/>
      </c>
      <c r="F425" s="16">
        <f>IF(A425="","",SUMIFS(tbl_Finance[Ex GST],tbl_Finance[Job Number],A425&amp;""))</f>
        <v/>
      </c>
      <c r="G425" s="14">
        <f>IF(A425="","",IFERROR(INDEX(tbl_Finance[Cost Centre],MATCH(A425&amp;"",tbl_Finance[Job Number],0)),"not invoiced yet"))</f>
        <v/>
      </c>
      <c r="H425" s="13" t="n"/>
      <c r="I425" s="13" t="n"/>
      <c r="J425" s="45" t="n"/>
      <c r="K425" s="13" t="n"/>
      <c r="L425" s="13" t="n"/>
    </row>
    <row r="426" ht="15" customHeight="1">
      <c r="A426" s="13" t="n"/>
      <c r="B426" s="14">
        <f>IF(A426="","",IF(COUNTIF(lst_Jobs,A426&amp;"")&gt;0,"OK","CHECK"))</f>
        <v/>
      </c>
      <c r="C426" s="14">
        <f>IF(A426="","",IFERROR(INDEX(lst_JobName,MATCH(A426&amp;"",lst_Jobs,0)),""))</f>
        <v/>
      </c>
      <c r="D426" s="14">
        <f>IF(A426="","",IFERROR(INDEX(tbl_Finance[Client],MATCH(A426&amp;"",tbl_Finance[Job Number],0)),""))</f>
        <v/>
      </c>
      <c r="E426" s="44">
        <f>IF(A426="","",COUNTIFS(tbl_Finance[Job Number],A426&amp;"",tbl_Finance[Ex GST],"&lt;&gt;"))</f>
        <v/>
      </c>
      <c r="F426" s="16">
        <f>IF(A426="","",SUMIFS(tbl_Finance[Ex GST],tbl_Finance[Job Number],A426&amp;""))</f>
        <v/>
      </c>
      <c r="G426" s="14">
        <f>IF(A426="","",IFERROR(INDEX(tbl_Finance[Cost Centre],MATCH(A426&amp;"",tbl_Finance[Job Number],0)),"not invoiced yet"))</f>
        <v/>
      </c>
      <c r="H426" s="13" t="n"/>
      <c r="I426" s="13" t="n"/>
      <c r="J426" s="45" t="n"/>
      <c r="K426" s="13" t="n"/>
      <c r="L426" s="13" t="n"/>
    </row>
    <row r="427" ht="15" customHeight="1">
      <c r="A427" s="13" t="n"/>
      <c r="B427" s="14">
        <f>IF(A427="","",IF(COUNTIF(lst_Jobs,A427&amp;"")&gt;0,"OK","CHECK"))</f>
        <v/>
      </c>
      <c r="C427" s="14">
        <f>IF(A427="","",IFERROR(INDEX(lst_JobName,MATCH(A427&amp;"",lst_Jobs,0)),""))</f>
        <v/>
      </c>
      <c r="D427" s="14">
        <f>IF(A427="","",IFERROR(INDEX(tbl_Finance[Client],MATCH(A427&amp;"",tbl_Finance[Job Number],0)),""))</f>
        <v/>
      </c>
      <c r="E427" s="44">
        <f>IF(A427="","",COUNTIFS(tbl_Finance[Job Number],A427&amp;"",tbl_Finance[Ex GST],"&lt;&gt;"))</f>
        <v/>
      </c>
      <c r="F427" s="16">
        <f>IF(A427="","",SUMIFS(tbl_Finance[Ex GST],tbl_Finance[Job Number],A427&amp;""))</f>
        <v/>
      </c>
      <c r="G427" s="14">
        <f>IF(A427="","",IFERROR(INDEX(tbl_Finance[Cost Centre],MATCH(A427&amp;"",tbl_Finance[Job Number],0)),"not invoiced yet"))</f>
        <v/>
      </c>
      <c r="H427" s="13" t="n"/>
      <c r="I427" s="13" t="n"/>
      <c r="J427" s="45" t="n"/>
      <c r="K427" s="13" t="n"/>
      <c r="L427" s="13" t="n"/>
    </row>
    <row r="428" ht="15" customHeight="1">
      <c r="A428" s="13" t="n"/>
      <c r="B428" s="14">
        <f>IF(A428="","",IF(COUNTIF(lst_Jobs,A428&amp;"")&gt;0,"OK","CHECK"))</f>
        <v/>
      </c>
      <c r="C428" s="14">
        <f>IF(A428="","",IFERROR(INDEX(lst_JobName,MATCH(A428&amp;"",lst_Jobs,0)),""))</f>
        <v/>
      </c>
      <c r="D428" s="14">
        <f>IF(A428="","",IFERROR(INDEX(tbl_Finance[Client],MATCH(A428&amp;"",tbl_Finance[Job Number],0)),""))</f>
        <v/>
      </c>
      <c r="E428" s="44">
        <f>IF(A428="","",COUNTIFS(tbl_Finance[Job Number],A428&amp;"",tbl_Finance[Ex GST],"&lt;&gt;"))</f>
        <v/>
      </c>
      <c r="F428" s="16">
        <f>IF(A428="","",SUMIFS(tbl_Finance[Ex GST],tbl_Finance[Job Number],A428&amp;""))</f>
        <v/>
      </c>
      <c r="G428" s="14">
        <f>IF(A428="","",IFERROR(INDEX(tbl_Finance[Cost Centre],MATCH(A428&amp;"",tbl_Finance[Job Number],0)),"not invoiced yet"))</f>
        <v/>
      </c>
      <c r="H428" s="13" t="n"/>
      <c r="I428" s="13" t="n"/>
      <c r="J428" s="45" t="n"/>
      <c r="K428" s="13" t="n"/>
      <c r="L428" s="13" t="n"/>
    </row>
    <row r="429" ht="15" customHeight="1">
      <c r="A429" s="13" t="n"/>
      <c r="B429" s="14">
        <f>IF(A429="","",IF(COUNTIF(lst_Jobs,A429&amp;"")&gt;0,"OK","CHECK"))</f>
        <v/>
      </c>
      <c r="C429" s="14">
        <f>IF(A429="","",IFERROR(INDEX(lst_JobName,MATCH(A429&amp;"",lst_Jobs,0)),""))</f>
        <v/>
      </c>
      <c r="D429" s="14">
        <f>IF(A429="","",IFERROR(INDEX(tbl_Finance[Client],MATCH(A429&amp;"",tbl_Finance[Job Number],0)),""))</f>
        <v/>
      </c>
      <c r="E429" s="44">
        <f>IF(A429="","",COUNTIFS(tbl_Finance[Job Number],A429&amp;"",tbl_Finance[Ex GST],"&lt;&gt;"))</f>
        <v/>
      </c>
      <c r="F429" s="16">
        <f>IF(A429="","",SUMIFS(tbl_Finance[Ex GST],tbl_Finance[Job Number],A429&amp;""))</f>
        <v/>
      </c>
      <c r="G429" s="14">
        <f>IF(A429="","",IFERROR(INDEX(tbl_Finance[Cost Centre],MATCH(A429&amp;"",tbl_Finance[Job Number],0)),"not invoiced yet"))</f>
        <v/>
      </c>
      <c r="H429" s="13" t="n"/>
      <c r="I429" s="13" t="n"/>
      <c r="J429" s="45" t="n"/>
      <c r="K429" s="13" t="n"/>
      <c r="L429" s="13" t="n"/>
    </row>
    <row r="430" ht="15" customHeight="1">
      <c r="A430" s="13" t="n"/>
      <c r="B430" s="14">
        <f>IF(A430="","",IF(COUNTIF(lst_Jobs,A430&amp;"")&gt;0,"OK","CHECK"))</f>
        <v/>
      </c>
      <c r="C430" s="14">
        <f>IF(A430="","",IFERROR(INDEX(lst_JobName,MATCH(A430&amp;"",lst_Jobs,0)),""))</f>
        <v/>
      </c>
      <c r="D430" s="14">
        <f>IF(A430="","",IFERROR(INDEX(tbl_Finance[Client],MATCH(A430&amp;"",tbl_Finance[Job Number],0)),""))</f>
        <v/>
      </c>
      <c r="E430" s="44">
        <f>IF(A430="","",COUNTIFS(tbl_Finance[Job Number],A430&amp;"",tbl_Finance[Ex GST],"&lt;&gt;"))</f>
        <v/>
      </c>
      <c r="F430" s="16">
        <f>IF(A430="","",SUMIFS(tbl_Finance[Ex GST],tbl_Finance[Job Number],A430&amp;""))</f>
        <v/>
      </c>
      <c r="G430" s="14">
        <f>IF(A430="","",IFERROR(INDEX(tbl_Finance[Cost Centre],MATCH(A430&amp;"",tbl_Finance[Job Number],0)),"not invoiced yet"))</f>
        <v/>
      </c>
      <c r="H430" s="13" t="n"/>
      <c r="I430" s="13" t="n"/>
      <c r="J430" s="45" t="n"/>
      <c r="K430" s="13" t="n"/>
      <c r="L430" s="13" t="n"/>
    </row>
    <row r="431" ht="15" customHeight="1">
      <c r="A431" s="13" t="n"/>
      <c r="B431" s="14">
        <f>IF(A431="","",IF(COUNTIF(lst_Jobs,A431&amp;"")&gt;0,"OK","CHECK"))</f>
        <v/>
      </c>
      <c r="C431" s="14">
        <f>IF(A431="","",IFERROR(INDEX(lst_JobName,MATCH(A431&amp;"",lst_Jobs,0)),""))</f>
        <v/>
      </c>
      <c r="D431" s="14">
        <f>IF(A431="","",IFERROR(INDEX(tbl_Finance[Client],MATCH(A431&amp;"",tbl_Finance[Job Number],0)),""))</f>
        <v/>
      </c>
      <c r="E431" s="44">
        <f>IF(A431="","",COUNTIFS(tbl_Finance[Job Number],A431&amp;"",tbl_Finance[Ex GST],"&lt;&gt;"))</f>
        <v/>
      </c>
      <c r="F431" s="16">
        <f>IF(A431="","",SUMIFS(tbl_Finance[Ex GST],tbl_Finance[Job Number],A431&amp;""))</f>
        <v/>
      </c>
      <c r="G431" s="14">
        <f>IF(A431="","",IFERROR(INDEX(tbl_Finance[Cost Centre],MATCH(A431&amp;"",tbl_Finance[Job Number],0)),"not invoiced yet"))</f>
        <v/>
      </c>
      <c r="H431" s="13" t="n"/>
      <c r="I431" s="13" t="n"/>
      <c r="J431" s="45" t="n"/>
      <c r="K431" s="13" t="n"/>
      <c r="L431" s="13" t="n"/>
    </row>
  </sheetData>
  <conditionalFormatting sqref="B5:B5000">
    <cfRule type="expression" priority="1" dxfId="0" stopIfTrue="0">
      <formula>B5="CHECK"</formula>
    </cfRule>
  </conditionalFormatting>
  <dataValidations count="1">
    <dataValidation sqref="I5:I20000" showDropDown="0" showInputMessage="0" showErrorMessage="1"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B708A"/>
    <outlinePr summaryBelow="1" summaryRight="1"/>
    <pageSetUpPr/>
  </sheetPr>
  <dimension ref="A1:Y46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40" customWidth="1" min="3" max="3"/>
    <col width="24" customWidth="1" min="4" max="4"/>
    <col width="10" customWidth="1" min="5" max="5"/>
    <col width="16" customWidth="1" min="6" max="6"/>
    <col width="16" customWidth="1" min="7" max="7"/>
    <col width="12" customWidth="1" min="8" max="8"/>
    <col width="14" customWidth="1" min="9" max="9"/>
    <col width="14" customWidth="1" min="10" max="10"/>
    <col width="11" customWidth="1" min="11" max="11"/>
    <col width="16" customWidth="1" min="12" max="12"/>
    <col width="20" customWidth="1" min="13" max="13"/>
    <col width="11" customWidth="1" min="14" max="14"/>
    <col width="17" customWidth="1" min="15" max="15"/>
    <col width="22" customWidth="1" min="16" max="16"/>
    <col width="14" customWidth="1" min="17" max="17"/>
    <col width="14" customWidth="1" min="18" max="18"/>
    <col width="10" customWidth="1" min="19" max="19"/>
    <col width="15" customWidth="1" min="20" max="20"/>
    <col width="15" customWidth="1" min="21" max="21"/>
    <col width="15" customWidth="1" min="22" max="22"/>
    <col width="19" customWidth="1" min="23" max="23"/>
    <col width="18" customWidth="1" min="24" max="24"/>
    <col width="40" customWidth="1" min="25" max="25"/>
  </cols>
  <sheetData>
    <row r="1" ht="24" customHeight="1">
      <c r="A1" s="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6" customHeight="1"/>
    <row r="4" ht="34" customHeight="1">
      <c r="A4" s="9" t="inlineStr">
        <is>
          <t>Job Number</t>
        </is>
      </c>
      <c r="B4" s="10" t="inlineStr">
        <is>
          <t>Job in Xero?</t>
        </is>
      </c>
      <c r="C4" s="10" t="inlineStr">
        <is>
          <t>Job Name (Xero)</t>
        </is>
      </c>
      <c r="D4" s="10" t="inlineStr">
        <is>
          <t>Client</t>
        </is>
      </c>
      <c r="E4" s="10" t="inlineStr">
        <is>
          <t>Invoices</t>
        </is>
      </c>
      <c r="F4" s="10" t="inlineStr">
        <is>
          <t>Revenue Ex GST</t>
        </is>
      </c>
      <c r="G4" s="10" t="inlineStr">
        <is>
          <t>Cost Centres</t>
        </is>
      </c>
      <c r="H4" s="9" t="inlineStr">
        <is>
          <t>Event Date</t>
        </is>
      </c>
      <c r="I4" s="9" t="inlineStr">
        <is>
          <t>Current RMS No</t>
        </is>
      </c>
      <c r="J4" s="9" t="inlineStr">
        <is>
          <t>Zoho Number</t>
        </is>
      </c>
      <c r="K4" s="9" t="inlineStr">
        <is>
          <t>Job Closed</t>
        </is>
      </c>
      <c r="L4" s="9" t="inlineStr">
        <is>
          <t>Discounts Given</t>
        </is>
      </c>
      <c r="M4" s="10" t="inlineStr">
        <is>
          <t>Value Before Discount</t>
        </is>
      </c>
      <c r="N4" s="10" t="inlineStr">
        <is>
          <t>Discount %</t>
        </is>
      </c>
      <c r="O4" s="9" t="inlineStr">
        <is>
          <t>Cross Hire Expense</t>
        </is>
      </c>
      <c r="P4" s="9" t="inlineStr">
        <is>
          <t>Labour Expense (Internal)</t>
        </is>
      </c>
      <c r="Q4" s="10" t="inlineStr">
        <is>
          <t>Total Expense</t>
        </is>
      </c>
      <c r="R4" s="10" t="inlineStr">
        <is>
          <t>Margin</t>
        </is>
      </c>
      <c r="S4" s="10" t="inlineStr">
        <is>
          <t>Margin %</t>
        </is>
      </c>
      <c r="T4" s="9" t="inlineStr">
        <is>
          <t>Video Filming Hrs</t>
        </is>
      </c>
      <c r="U4" s="9" t="inlineStr">
        <is>
          <t>Video Editing Hrs</t>
        </is>
      </c>
      <c r="V4" s="9" t="inlineStr">
        <is>
          <t>Project Mgmt Hrs</t>
        </is>
      </c>
      <c r="W4" s="9" t="inlineStr">
        <is>
          <t>Video Project Mgmt Hrs</t>
        </is>
      </c>
      <c r="X4" s="9" t="inlineStr">
        <is>
          <t>Production Labour Hrs</t>
        </is>
      </c>
      <c r="Y4" s="9" t="inlineStr">
        <is>
          <t>Notes</t>
        </is>
      </c>
    </row>
    <row r="5" ht="15" customHeight="1">
      <c r="A5" s="13" t="inlineStr">
        <is>
          <t>2602309</t>
        </is>
      </c>
      <c r="B5" s="14">
        <f>IF(A5="","",IF(COUNTIF(lst_Jobs,A5&amp;"")&gt;0,"OK","CHECK"))</f>
        <v/>
      </c>
      <c r="C5" s="14">
        <f>IF(A5="","",IFERROR(INDEX(lst_JobName,MATCH(A5&amp;"",lst_Jobs,0)),""))</f>
        <v/>
      </c>
      <c r="D5" s="14">
        <f>IF(A5="","",IFERROR(INDEX(tbl_Finance[Client],MATCH(A5&amp;"",tbl_Finance[Job Number],0)),""))</f>
        <v/>
      </c>
      <c r="E5" s="44">
        <f>IF(A5="","",COUNTIFS(tbl_Finance[Job Number],A5&amp;"",tbl_Finance[Ex GST],"&lt;&gt;"))</f>
        <v/>
      </c>
      <c r="F5" s="16">
        <f>IF(A5="","",SUMIFS(tbl_Finance[Ex GST],tbl_Finance[Job Number],A5&amp;""))</f>
        <v/>
      </c>
      <c r="G5" s="14">
        <f>IF(A5="","",IFERROR(INDEX(tbl_Finance[Cost Centre],MATCH(A5&amp;"",tbl_Finance[Job Number],0)),"not invoiced yet"))</f>
        <v/>
      </c>
      <c r="H5" s="11" t="inlineStr">
        <is>
          <t>7/1/2026</t>
        </is>
      </c>
      <c r="I5" s="13" t="inlineStr">
        <is>
          <t>5879</t>
        </is>
      </c>
      <c r="J5" s="13" t="inlineStr">
        <is>
          <t>2602309</t>
        </is>
      </c>
      <c r="K5" s="13" t="inlineStr">
        <is>
          <t>Y</t>
        </is>
      </c>
      <c r="L5" s="15" t="n"/>
      <c r="M5" s="16">
        <f>IF(A5="","",F5+N(L5))</f>
        <v/>
      </c>
      <c r="N5" s="46">
        <f>IFERROR(L5/M5,"")</f>
        <v/>
      </c>
      <c r="O5" s="15" t="n"/>
      <c r="P5" s="15" t="n">
        <v>229.56</v>
      </c>
      <c r="Q5" s="16">
        <f>IF(A5="","",N(O5)+N(P5))</f>
        <v/>
      </c>
      <c r="R5" s="16">
        <f>IF(A5="","",F5-Q5)</f>
        <v/>
      </c>
      <c r="S5" s="46">
        <f>IFERROR(R5/F5,"")</f>
        <v/>
      </c>
      <c r="T5" s="45" t="n"/>
      <c r="U5" s="45" t="n"/>
      <c r="V5" s="45" t="n"/>
      <c r="W5" s="45" t="n"/>
      <c r="X5" s="45" t="n">
        <v>4</v>
      </c>
      <c r="Y5" s="13" t="n"/>
    </row>
    <row r="6" ht="15" customHeight="1">
      <c r="A6" s="13" t="inlineStr">
        <is>
          <t>26032301</t>
        </is>
      </c>
      <c r="B6" s="14">
        <f>IF(A6="","",IF(COUNTIF(lst_Jobs,A6&amp;"")&gt;0,"OK","CHECK"))</f>
        <v/>
      </c>
      <c r="C6" s="14">
        <f>IF(A6="","",IFERROR(INDEX(lst_JobName,MATCH(A6&amp;"",lst_Jobs,0)),""))</f>
        <v/>
      </c>
      <c r="D6" s="14">
        <f>IF(A6="","",IFERROR(INDEX(tbl_Finance[Client],MATCH(A6&amp;"",tbl_Finance[Job Number],0)),""))</f>
        <v/>
      </c>
      <c r="E6" s="44">
        <f>IF(A6="","",COUNTIFS(tbl_Finance[Job Number],A6&amp;"",tbl_Finance[Ex GST],"&lt;&gt;"))</f>
        <v/>
      </c>
      <c r="F6" s="16">
        <f>IF(A6="","",SUMIFS(tbl_Finance[Ex GST],tbl_Finance[Job Number],A6&amp;""))</f>
        <v/>
      </c>
      <c r="G6" s="14">
        <f>IF(A6="","",IFERROR(INDEX(tbl_Finance[Cost Centre],MATCH(A6&amp;"",tbl_Finance[Job Number],0)),"not invoiced yet"))</f>
        <v/>
      </c>
      <c r="H6" s="11" t="inlineStr">
        <is>
          <t>7/1/2026</t>
        </is>
      </c>
      <c r="I6" s="13" t="inlineStr">
        <is>
          <t>5924</t>
        </is>
      </c>
      <c r="J6" s="13" t="inlineStr">
        <is>
          <t>26032301</t>
        </is>
      </c>
      <c r="K6" s="13" t="inlineStr">
        <is>
          <t>Y</t>
        </is>
      </c>
      <c r="L6" s="15" t="n">
        <v>334</v>
      </c>
      <c r="M6" s="16">
        <f>IF(A6="","",F6+N(L6))</f>
        <v/>
      </c>
      <c r="N6" s="46">
        <f>IFERROR(L6/M6,"")</f>
        <v/>
      </c>
      <c r="O6" s="15" t="n"/>
      <c r="P6" s="15" t="n">
        <v>977.23</v>
      </c>
      <c r="Q6" s="16">
        <f>IF(A6="","",N(O6)+N(P6))</f>
        <v/>
      </c>
      <c r="R6" s="16">
        <f>IF(A6="","",F6-Q6)</f>
        <v/>
      </c>
      <c r="S6" s="46">
        <f>IFERROR(R6/F6,"")</f>
        <v/>
      </c>
      <c r="T6" s="45" t="n">
        <v>4</v>
      </c>
      <c r="U6" s="45" t="n"/>
      <c r="V6" s="45" t="n"/>
      <c r="W6" s="45" t="n"/>
      <c r="X6" s="45" t="n">
        <v>10</v>
      </c>
      <c r="Y6" s="13" t="n"/>
    </row>
    <row r="7" ht="15" customHeight="1">
      <c r="A7" s="13" t="inlineStr">
        <is>
          <t>26062201</t>
        </is>
      </c>
      <c r="B7" s="14">
        <f>IF(A7="","",IF(COUNTIF(lst_Jobs,A7&amp;"")&gt;0,"OK","CHECK"))</f>
        <v/>
      </c>
      <c r="C7" s="14">
        <f>IF(A7="","",IFERROR(INDEX(lst_JobName,MATCH(A7&amp;"",lst_Jobs,0)),""))</f>
        <v/>
      </c>
      <c r="D7" s="14">
        <f>IF(A7="","",IFERROR(INDEX(tbl_Finance[Client],MATCH(A7&amp;"",tbl_Finance[Job Number],0)),""))</f>
        <v/>
      </c>
      <c r="E7" s="44">
        <f>IF(A7="","",COUNTIFS(tbl_Finance[Job Number],A7&amp;"",tbl_Finance[Ex GST],"&lt;&gt;"))</f>
        <v/>
      </c>
      <c r="F7" s="16">
        <f>IF(A7="","",SUMIFS(tbl_Finance[Ex GST],tbl_Finance[Job Number],A7&amp;""))</f>
        <v/>
      </c>
      <c r="G7" s="14">
        <f>IF(A7="","",IFERROR(INDEX(tbl_Finance[Cost Centre],MATCH(A7&amp;"",tbl_Finance[Job Number],0)),"not invoiced yet"))</f>
        <v/>
      </c>
      <c r="H7" s="11" t="inlineStr">
        <is>
          <t>7/2/2026</t>
        </is>
      </c>
      <c r="I7" s="13" t="inlineStr">
        <is>
          <t>6076</t>
        </is>
      </c>
      <c r="J7" s="13" t="inlineStr">
        <is>
          <t>26062201</t>
        </is>
      </c>
      <c r="K7" s="13" t="inlineStr">
        <is>
          <t>Y</t>
        </is>
      </c>
      <c r="L7" s="15" t="n"/>
      <c r="M7" s="16">
        <f>IF(A7="","",F7+N(L7))</f>
        <v/>
      </c>
      <c r="N7" s="46">
        <f>IFERROR(L7/M7,"")</f>
        <v/>
      </c>
      <c r="O7" s="15" t="n"/>
      <c r="P7" s="15" t="n">
        <v>821.5599999999999</v>
      </c>
      <c r="Q7" s="16">
        <f>IF(A7="","",N(O7)+N(P7))</f>
        <v/>
      </c>
      <c r="R7" s="16">
        <f>IF(A7="","",F7-Q7)</f>
        <v/>
      </c>
      <c r="S7" s="46">
        <f>IFERROR(R7/F7,"")</f>
        <v/>
      </c>
      <c r="T7" s="45" t="n">
        <v>8</v>
      </c>
      <c r="U7" s="45" t="n"/>
      <c r="V7" s="45" t="n">
        <v>1</v>
      </c>
      <c r="W7" s="45" t="n"/>
      <c r="X7" s="45" t="n">
        <v>8</v>
      </c>
      <c r="Y7" s="13" t="n"/>
    </row>
    <row r="8" ht="15" customHeight="1">
      <c r="A8" s="13" t="inlineStr">
        <is>
          <t>2605802</t>
        </is>
      </c>
      <c r="B8" s="14">
        <f>IF(A8="","",IF(COUNTIF(lst_Jobs,A8&amp;"")&gt;0,"OK","CHECK"))</f>
        <v/>
      </c>
      <c r="C8" s="14">
        <f>IF(A8="","",IFERROR(INDEX(lst_JobName,MATCH(A8&amp;"",lst_Jobs,0)),""))</f>
        <v/>
      </c>
      <c r="D8" s="14">
        <f>IF(A8="","",IFERROR(INDEX(tbl_Finance[Client],MATCH(A8&amp;"",tbl_Finance[Job Number],0)),""))</f>
        <v/>
      </c>
      <c r="E8" s="44">
        <f>IF(A8="","",COUNTIFS(tbl_Finance[Job Number],A8&amp;"",tbl_Finance[Ex GST],"&lt;&gt;"))</f>
        <v/>
      </c>
      <c r="F8" s="16">
        <f>IF(A8="","",SUMIFS(tbl_Finance[Ex GST],tbl_Finance[Job Number],A8&amp;""))</f>
        <v/>
      </c>
      <c r="G8" s="14">
        <f>IF(A8="","",IFERROR(INDEX(tbl_Finance[Cost Centre],MATCH(A8&amp;"",tbl_Finance[Job Number],0)),"not invoiced yet"))</f>
        <v/>
      </c>
      <c r="H8" s="11" t="inlineStr">
        <is>
          <t>7/15/2026</t>
        </is>
      </c>
      <c r="I8" s="13" t="inlineStr">
        <is>
          <t>6013</t>
        </is>
      </c>
      <c r="J8" s="13" t="inlineStr">
        <is>
          <t>2605802</t>
        </is>
      </c>
      <c r="K8" s="13" t="inlineStr">
        <is>
          <t>Y</t>
        </is>
      </c>
      <c r="L8" s="15" t="n"/>
      <c r="M8" s="16">
        <f>IF(A8="","",F8+N(L8))</f>
        <v/>
      </c>
      <c r="N8" s="46">
        <f>IFERROR(L8/M8,"")</f>
        <v/>
      </c>
      <c r="O8" s="15" t="n"/>
      <c r="P8" s="15" t="n"/>
      <c r="Q8" s="16">
        <f>IF(A8="","",N(O8)+N(P8))</f>
        <v/>
      </c>
      <c r="R8" s="16">
        <f>IF(A8="","",F8-Q8)</f>
        <v/>
      </c>
      <c r="S8" s="46">
        <f>IFERROR(R8/F8,"")</f>
        <v/>
      </c>
      <c r="T8" s="45" t="n"/>
      <c r="U8" s="45" t="n"/>
      <c r="V8" s="45" t="n">
        <v>2</v>
      </c>
      <c r="W8" s="45" t="n"/>
      <c r="X8" s="45" t="n">
        <v>4</v>
      </c>
      <c r="Y8" s="13" t="n"/>
    </row>
    <row r="9" ht="15" customHeight="1">
      <c r="A9" s="13" t="inlineStr">
        <is>
          <t>2607701</t>
        </is>
      </c>
      <c r="B9" s="14">
        <f>IF(A9="","",IF(COUNTIF(lst_Jobs,A9&amp;"")&gt;0,"OK","CHECK"))</f>
        <v/>
      </c>
      <c r="C9" s="14">
        <f>IF(A9="","",IFERROR(INDEX(lst_JobName,MATCH(A9&amp;"",lst_Jobs,0)),""))</f>
        <v/>
      </c>
      <c r="D9" s="14">
        <f>IF(A9="","",IFERROR(INDEX(tbl_Finance[Client],MATCH(A9&amp;"",tbl_Finance[Job Number],0)),""))</f>
        <v/>
      </c>
      <c r="E9" s="44">
        <f>IF(A9="","",COUNTIFS(tbl_Finance[Job Number],A9&amp;"",tbl_Finance[Ex GST],"&lt;&gt;"))</f>
        <v/>
      </c>
      <c r="F9" s="16">
        <f>IF(A9="","",SUMIFS(tbl_Finance[Ex GST],tbl_Finance[Job Number],A9&amp;""))</f>
        <v/>
      </c>
      <c r="G9" s="14">
        <f>IF(A9="","",IFERROR(INDEX(tbl_Finance[Cost Centre],MATCH(A9&amp;"",tbl_Finance[Job Number],0)),"not invoiced yet"))</f>
        <v/>
      </c>
      <c r="H9" s="11" t="inlineStr">
        <is>
          <t>7/16/2026</t>
        </is>
      </c>
      <c r="I9" s="13" t="inlineStr">
        <is>
          <t>6089</t>
        </is>
      </c>
      <c r="J9" s="13" t="inlineStr">
        <is>
          <t>2607701</t>
        </is>
      </c>
      <c r="K9" s="13" t="inlineStr">
        <is>
          <t>Y</t>
        </is>
      </c>
      <c r="L9" s="15" t="n">
        <v>465</v>
      </c>
      <c r="M9" s="16">
        <f>IF(A9="","",F9+N(L9))</f>
        <v/>
      </c>
      <c r="N9" s="46">
        <f>IFERROR(L9/M9,"")</f>
        <v/>
      </c>
      <c r="O9" s="15" t="n"/>
      <c r="P9" s="15" t="n">
        <v>312.18</v>
      </c>
      <c r="Q9" s="16">
        <f>IF(A9="","",N(O9)+N(P9))</f>
        <v/>
      </c>
      <c r="R9" s="16">
        <f>IF(A9="","",F9-Q9)</f>
        <v/>
      </c>
      <c r="S9" s="46">
        <f>IFERROR(R9/F9,"")</f>
        <v/>
      </c>
      <c r="T9" s="45" t="n">
        <v>4</v>
      </c>
      <c r="U9" s="45" t="n"/>
      <c r="V9" s="45" t="n"/>
      <c r="W9" s="45" t="n"/>
      <c r="X9" s="45" t="n">
        <v>2</v>
      </c>
      <c r="Y9" s="13" t="n"/>
    </row>
    <row r="10" ht="15" customHeight="1">
      <c r="A10" s="13" t="inlineStr">
        <is>
          <t>26052703</t>
        </is>
      </c>
      <c r="B10" s="14">
        <f>IF(A10="","",IF(COUNTIF(lst_Jobs,A10&amp;"")&gt;0,"OK","CHECK"))</f>
        <v/>
      </c>
      <c r="C10" s="14">
        <f>IF(A10="","",IFERROR(INDEX(lst_JobName,MATCH(A10&amp;"",lst_Jobs,0)),""))</f>
        <v/>
      </c>
      <c r="D10" s="14">
        <f>IF(A10="","",IFERROR(INDEX(tbl_Finance[Client],MATCH(A10&amp;"",tbl_Finance[Job Number],0)),""))</f>
        <v/>
      </c>
      <c r="E10" s="44">
        <f>IF(A10="","",COUNTIFS(tbl_Finance[Job Number],A10&amp;"",tbl_Finance[Ex GST],"&lt;&gt;"))</f>
        <v/>
      </c>
      <c r="F10" s="16">
        <f>IF(A10="","",SUMIFS(tbl_Finance[Ex GST],tbl_Finance[Job Number],A10&amp;""))</f>
        <v/>
      </c>
      <c r="G10" s="14">
        <f>IF(A10="","",IFERROR(INDEX(tbl_Finance[Cost Centre],MATCH(A10&amp;"",tbl_Finance[Job Number],0)),"not invoiced yet"))</f>
        <v/>
      </c>
      <c r="H10" s="11" t="n">
        <v>46224</v>
      </c>
      <c r="I10" s="13" t="inlineStr">
        <is>
          <t>6034</t>
        </is>
      </c>
      <c r="J10" s="13" t="inlineStr">
        <is>
          <t>26052703</t>
        </is>
      </c>
      <c r="K10" s="13" t="inlineStr">
        <is>
          <t>Y</t>
        </is>
      </c>
      <c r="L10" s="15" t="n">
        <v>580</v>
      </c>
      <c r="M10" s="16">
        <f>IF(A10="","",F10+N(L10))</f>
        <v/>
      </c>
      <c r="N10" s="46">
        <f>IFERROR(L10/M10,"")</f>
        <v/>
      </c>
      <c r="O10" s="15" t="n">
        <v>631.5</v>
      </c>
      <c r="P10" s="15" t="n">
        <v>3148.7</v>
      </c>
      <c r="Q10" s="16">
        <f>IF(A10="","",N(O10)+N(P10))</f>
        <v/>
      </c>
      <c r="R10" s="16">
        <f>IF(A10="","",F10-Q10)</f>
        <v/>
      </c>
      <c r="S10" s="46">
        <f>IFERROR(R10/F10,"")</f>
        <v/>
      </c>
      <c r="T10" s="45" t="n">
        <v>4</v>
      </c>
      <c r="U10" s="45" t="n"/>
      <c r="V10" s="45" t="n"/>
      <c r="W10" s="45" t="n"/>
      <c r="X10" s="45" t="n">
        <v>44</v>
      </c>
      <c r="Y10" s="13" t="n"/>
    </row>
    <row r="11" ht="15" customHeight="1">
      <c r="A11" s="13" t="inlineStr">
        <is>
          <t>26041603</t>
        </is>
      </c>
      <c r="B11" s="14">
        <f>IF(A11="","",IF(COUNTIF(lst_Jobs,A11&amp;"")&gt;0,"OK","CHECK"))</f>
        <v/>
      </c>
      <c r="C11" s="14">
        <f>IF(A11="","",IFERROR(INDEX(lst_JobName,MATCH(A11&amp;"",lst_Jobs,0)),""))</f>
        <v/>
      </c>
      <c r="D11" s="14">
        <f>IF(A11="","",IFERROR(INDEX(tbl_Finance[Client],MATCH(A11&amp;"",tbl_Finance[Job Number],0)),""))</f>
        <v/>
      </c>
      <c r="E11" s="44">
        <f>IF(A11="","",COUNTIFS(tbl_Finance[Job Number],A11&amp;"",tbl_Finance[Ex GST],"&lt;&gt;"))</f>
        <v/>
      </c>
      <c r="F11" s="16">
        <f>IF(A11="","",SUMIFS(tbl_Finance[Ex GST],tbl_Finance[Job Number],A11&amp;""))</f>
        <v/>
      </c>
      <c r="G11" s="14">
        <f>IF(A11="","",IFERROR(INDEX(tbl_Finance[Cost Centre],MATCH(A11&amp;"",tbl_Finance[Job Number],0)),"not invoiced yet"))</f>
        <v/>
      </c>
      <c r="H11" s="11" t="n">
        <v>46226</v>
      </c>
      <c r="I11" s="13" t="inlineStr">
        <is>
          <t>6085</t>
        </is>
      </c>
      <c r="J11" s="13" t="inlineStr">
        <is>
          <t>26041603</t>
        </is>
      </c>
      <c r="K11" s="13" t="inlineStr">
        <is>
          <t>Y</t>
        </is>
      </c>
      <c r="L11" s="15" t="n"/>
      <c r="M11" s="16">
        <f>IF(A11="","",F11+N(L11))</f>
        <v/>
      </c>
      <c r="N11" s="46">
        <f>IFERROR(L11/M11,"")</f>
        <v/>
      </c>
      <c r="O11" s="15" t="n"/>
      <c r="P11" s="15" t="n">
        <v>153.84</v>
      </c>
      <c r="Q11" s="16">
        <f>IF(A11="","",N(O11)+N(P11))</f>
        <v/>
      </c>
      <c r="R11" s="16">
        <f>IF(A11="","",F11-Q11)</f>
        <v/>
      </c>
      <c r="S11" s="46">
        <f>IFERROR(R11/F11,"")</f>
        <v/>
      </c>
      <c r="T11" s="45" t="n"/>
      <c r="U11" s="45" t="n"/>
      <c r="V11" s="45" t="n"/>
      <c r="W11" s="45" t="n"/>
      <c r="X11" s="45" t="n">
        <v>4</v>
      </c>
      <c r="Y11" s="13" t="n"/>
    </row>
    <row r="12" ht="15" customHeight="1">
      <c r="A12" s="13" t="inlineStr">
        <is>
          <t>2605403</t>
        </is>
      </c>
      <c r="B12" s="14">
        <f>IF(A12="","",IF(COUNTIF(lst_Jobs,A12&amp;"")&gt;0,"OK","CHECK"))</f>
        <v/>
      </c>
      <c r="C12" s="14">
        <f>IF(A12="","",IFERROR(INDEX(lst_JobName,MATCH(A12&amp;"",lst_Jobs,0)),""))</f>
        <v/>
      </c>
      <c r="D12" s="14">
        <f>IF(A12="","",IFERROR(INDEX(tbl_Finance[Client],MATCH(A12&amp;"",tbl_Finance[Job Number],0)),""))</f>
        <v/>
      </c>
      <c r="E12" s="44">
        <f>IF(A12="","",COUNTIFS(tbl_Finance[Job Number],A12&amp;"",tbl_Finance[Ex GST],"&lt;&gt;"))</f>
        <v/>
      </c>
      <c r="F12" s="16">
        <f>IF(A12="","",SUMIFS(tbl_Finance[Ex GST],tbl_Finance[Job Number],A12&amp;""))</f>
        <v/>
      </c>
      <c r="G12" s="14">
        <f>IF(A12="","",IFERROR(INDEX(tbl_Finance[Cost Centre],MATCH(A12&amp;"",tbl_Finance[Job Number],0)),"not invoiced yet"))</f>
        <v/>
      </c>
      <c r="H12" s="11" t="n">
        <v>46226</v>
      </c>
      <c r="I12" s="13" t="inlineStr">
        <is>
          <t>5956</t>
        </is>
      </c>
      <c r="J12" s="13" t="inlineStr">
        <is>
          <t>2605403</t>
        </is>
      </c>
      <c r="K12" s="13" t="inlineStr">
        <is>
          <t>Y</t>
        </is>
      </c>
      <c r="L12" s="15" t="n">
        <v>839</v>
      </c>
      <c r="M12" s="16">
        <f>IF(A12="","",F12+N(L12))</f>
        <v/>
      </c>
      <c r="N12" s="46">
        <f>IFERROR(L12/M12,"")</f>
        <v/>
      </c>
      <c r="O12" s="15" t="n"/>
      <c r="P12" s="15" t="n">
        <v>1375.96</v>
      </c>
      <c r="Q12" s="16">
        <f>IF(A12="","",N(O12)+N(P12))</f>
        <v/>
      </c>
      <c r="R12" s="16">
        <f>IF(A12="","",F12-Q12)</f>
        <v/>
      </c>
      <c r="S12" s="46">
        <f>IFERROR(R12/F12,"")</f>
        <v/>
      </c>
      <c r="T12" s="45" t="n"/>
      <c r="U12" s="45" t="n"/>
      <c r="V12" s="45" t="n"/>
      <c r="W12" s="45" t="n"/>
      <c r="X12" s="45" t="n">
        <v>16</v>
      </c>
      <c r="Y12" s="13" t="n"/>
    </row>
    <row r="13" ht="15" customHeight="1">
      <c r="A13" s="13" t="inlineStr">
        <is>
          <t>2607901</t>
        </is>
      </c>
      <c r="B13" s="14">
        <f>IF(A13="","",IF(COUNTIF(lst_Jobs,A13&amp;"")&gt;0,"OK","CHECK"))</f>
        <v/>
      </c>
      <c r="C13" s="14">
        <f>IF(A13="","",IFERROR(INDEX(lst_JobName,MATCH(A13&amp;"",lst_Jobs,0)),""))</f>
        <v/>
      </c>
      <c r="D13" s="14">
        <f>IF(A13="","",IFERROR(INDEX(tbl_Finance[Client],MATCH(A13&amp;"",tbl_Finance[Job Number],0)),""))</f>
        <v/>
      </c>
      <c r="E13" s="44">
        <f>IF(A13="","",COUNTIFS(tbl_Finance[Job Number],A13&amp;"",tbl_Finance[Ex GST],"&lt;&gt;"))</f>
        <v/>
      </c>
      <c r="F13" s="16">
        <f>IF(A13="","",SUMIFS(tbl_Finance[Ex GST],tbl_Finance[Job Number],A13&amp;""))</f>
        <v/>
      </c>
      <c r="G13" s="14">
        <f>IF(A13="","",IFERROR(INDEX(tbl_Finance[Cost Centre],MATCH(A13&amp;"",tbl_Finance[Job Number],0)),"not invoiced yet"))</f>
        <v/>
      </c>
      <c r="H13" s="11" t="n">
        <v>46226</v>
      </c>
      <c r="I13" s="13" t="inlineStr">
        <is>
          <t>6097</t>
        </is>
      </c>
      <c r="J13" s="13" t="inlineStr">
        <is>
          <t>2607901</t>
        </is>
      </c>
      <c r="K13" s="13" t="inlineStr">
        <is>
          <t>Y</t>
        </is>
      </c>
      <c r="L13" s="15" t="n">
        <v>95</v>
      </c>
      <c r="M13" s="16">
        <f>IF(A13="","",F13+N(L13))</f>
        <v/>
      </c>
      <c r="N13" s="46">
        <f>IFERROR(L13/M13,"")</f>
        <v/>
      </c>
      <c r="O13" s="15" t="n"/>
      <c r="P13" s="15" t="n">
        <v>453.31</v>
      </c>
      <c r="Q13" s="16">
        <f>IF(A13="","",N(O13)+N(P13))</f>
        <v/>
      </c>
      <c r="R13" s="16">
        <f>IF(A13="","",F13-Q13)</f>
        <v/>
      </c>
      <c r="S13" s="46">
        <f>IFERROR(R13/F13,"")</f>
        <v/>
      </c>
      <c r="T13" s="45" t="n"/>
      <c r="U13" s="45" t="n"/>
      <c r="V13" s="45" t="n"/>
      <c r="W13" s="45" t="n"/>
      <c r="X13" s="45" t="n">
        <v>6</v>
      </c>
      <c r="Y13" s="13" t="n"/>
    </row>
    <row r="14" ht="15" customHeight="1">
      <c r="A14" s="13" t="inlineStr">
        <is>
          <t>26063001</t>
        </is>
      </c>
      <c r="B14" s="14">
        <f>IF(A14="","",IF(COUNTIF(lst_Jobs,A14&amp;"")&gt;0,"OK","CHECK"))</f>
        <v/>
      </c>
      <c r="C14" s="14">
        <f>IF(A14="","",IFERROR(INDEX(lst_JobName,MATCH(A14&amp;"",lst_Jobs,0)),""))</f>
        <v/>
      </c>
      <c r="D14" s="14">
        <f>IF(A14="","",IFERROR(INDEX(tbl_Finance[Client],MATCH(A14&amp;"",tbl_Finance[Job Number],0)),""))</f>
        <v/>
      </c>
      <c r="E14" s="44">
        <f>IF(A14="","",COUNTIFS(tbl_Finance[Job Number],A14&amp;"",tbl_Finance[Ex GST],"&lt;&gt;"))</f>
        <v/>
      </c>
      <c r="F14" s="16">
        <f>IF(A14="","",SUMIFS(tbl_Finance[Ex GST],tbl_Finance[Job Number],A14&amp;""))</f>
        <v/>
      </c>
      <c r="G14" s="14">
        <f>IF(A14="","",IFERROR(INDEX(tbl_Finance[Cost Centre],MATCH(A14&amp;"",tbl_Finance[Job Number],0)),"not invoiced yet"))</f>
        <v/>
      </c>
      <c r="H14" s="11" t="n">
        <v>46229</v>
      </c>
      <c r="I14" s="13" t="inlineStr">
        <is>
          <t>6114</t>
        </is>
      </c>
      <c r="J14" s="13" t="inlineStr">
        <is>
          <t>26063001</t>
        </is>
      </c>
      <c r="K14" s="13" t="inlineStr">
        <is>
          <t>Y</t>
        </is>
      </c>
      <c r="L14" s="15" t="n"/>
      <c r="M14" s="16">
        <f>IF(A14="","",F14+N(L14))</f>
        <v/>
      </c>
      <c r="N14" s="46">
        <f>IFERROR(L14/M14,"")</f>
        <v/>
      </c>
      <c r="O14" s="15" t="n">
        <v>850</v>
      </c>
      <c r="P14" s="15" t="n"/>
      <c r="Q14" s="16">
        <f>IF(A14="","",N(O14)+N(P14))</f>
        <v/>
      </c>
      <c r="R14" s="16">
        <f>IF(A14="","",F14-Q14)</f>
        <v/>
      </c>
      <c r="S14" s="46">
        <f>IFERROR(R14/F14,"")</f>
        <v/>
      </c>
      <c r="T14" s="45" t="n"/>
      <c r="U14" s="45" t="n"/>
      <c r="V14" s="45" t="n"/>
      <c r="W14" s="45" t="n"/>
      <c r="X14" s="45" t="n"/>
      <c r="Y14" s="13" t="n"/>
    </row>
    <row r="15" ht="15" customHeight="1">
      <c r="A15" s="13" t="inlineStr">
        <is>
          <t>2604202</t>
        </is>
      </c>
      <c r="B15" s="14">
        <f>IF(A15="","",IF(COUNTIF(lst_Jobs,A15&amp;"")&gt;0,"OK","CHECK"))</f>
        <v/>
      </c>
      <c r="C15" s="14">
        <f>IF(A15="","",IFERROR(INDEX(lst_JobName,MATCH(A15&amp;"",lst_Jobs,0)),""))</f>
        <v/>
      </c>
      <c r="D15" s="14">
        <f>IF(A15="","",IFERROR(INDEX(tbl_Finance[Client],MATCH(A15&amp;"",tbl_Finance[Job Number],0)),""))</f>
        <v/>
      </c>
      <c r="E15" s="44">
        <f>IF(A15="","",COUNTIFS(tbl_Finance[Job Number],A15&amp;"",tbl_Finance[Ex GST],"&lt;&gt;"))</f>
        <v/>
      </c>
      <c r="F15" s="16">
        <f>IF(A15="","",SUMIFS(tbl_Finance[Ex GST],tbl_Finance[Job Number],A15&amp;""))</f>
        <v/>
      </c>
      <c r="G15" s="14">
        <f>IF(A15="","",IFERROR(INDEX(tbl_Finance[Cost Centre],MATCH(A15&amp;"",tbl_Finance[Job Number],0)),"not invoiced yet"))</f>
        <v/>
      </c>
      <c r="H15" s="11" t="n">
        <v>46231</v>
      </c>
      <c r="I15" s="13" t="inlineStr">
        <is>
          <t>6099</t>
        </is>
      </c>
      <c r="J15" s="13" t="inlineStr">
        <is>
          <t>2604202</t>
        </is>
      </c>
      <c r="K15" s="13" t="inlineStr">
        <is>
          <t>Y</t>
        </is>
      </c>
      <c r="L15" s="15" t="n">
        <v>4452.72</v>
      </c>
      <c r="M15" s="16">
        <f>IF(A15="","",F15+N(L15))</f>
        <v/>
      </c>
      <c r="N15" s="46">
        <f>IFERROR(L15/M15,"")</f>
        <v/>
      </c>
      <c r="O15" s="15" t="n">
        <v>19155.02</v>
      </c>
      <c r="P15" s="15" t="n">
        <v>462.23</v>
      </c>
      <c r="Q15" s="16">
        <f>IF(A15="","",N(O15)+N(P15))</f>
        <v/>
      </c>
      <c r="R15" s="16">
        <f>IF(A15="","",F15-Q15)</f>
        <v/>
      </c>
      <c r="S15" s="46">
        <f>IFERROR(R15/F15,"")</f>
        <v/>
      </c>
      <c r="T15" s="45" t="n"/>
      <c r="U15" s="45" t="n"/>
      <c r="V15" s="45" t="n">
        <v>8</v>
      </c>
      <c r="W15" s="45" t="n"/>
      <c r="X15" s="45" t="n">
        <v>142</v>
      </c>
      <c r="Y15" s="13" t="n"/>
    </row>
    <row r="16" ht="15" customHeight="1">
      <c r="A16" s="13" t="inlineStr">
        <is>
          <t>26062202</t>
        </is>
      </c>
      <c r="B16" s="14">
        <f>IF(A16="","",IF(COUNTIF(lst_Jobs,A16&amp;"")&gt;0,"OK","CHECK"))</f>
        <v/>
      </c>
      <c r="C16" s="14">
        <f>IF(A16="","",IFERROR(INDEX(lst_JobName,MATCH(A16&amp;"",lst_Jobs,0)),""))</f>
        <v/>
      </c>
      <c r="D16" s="14">
        <f>IF(A16="","",IFERROR(INDEX(tbl_Finance[Client],MATCH(A16&amp;"",tbl_Finance[Job Number],0)),""))</f>
        <v/>
      </c>
      <c r="E16" s="44">
        <f>IF(A16="","",COUNTIFS(tbl_Finance[Job Number],A16&amp;"",tbl_Finance[Ex GST],"&lt;&gt;"))</f>
        <v/>
      </c>
      <c r="F16" s="16">
        <f>IF(A16="","",SUMIFS(tbl_Finance[Ex GST],tbl_Finance[Job Number],A16&amp;""))</f>
        <v/>
      </c>
      <c r="G16" s="14">
        <f>IF(A16="","",IFERROR(INDEX(tbl_Finance[Cost Centre],MATCH(A16&amp;"",tbl_Finance[Job Number],0)),"not invoiced yet"))</f>
        <v/>
      </c>
      <c r="H16" s="11" t="n">
        <v>46232</v>
      </c>
      <c r="I16" s="13" t="inlineStr">
        <is>
          <t>6075</t>
        </is>
      </c>
      <c r="J16" s="13" t="inlineStr">
        <is>
          <t>26062202</t>
        </is>
      </c>
      <c r="K16" s="13" t="inlineStr">
        <is>
          <t>Y</t>
        </is>
      </c>
      <c r="L16" s="15" t="n"/>
      <c r="M16" s="16">
        <f>IF(A16="","",F16+N(L16))</f>
        <v/>
      </c>
      <c r="N16" s="46">
        <f>IFERROR(L16/M16,"")</f>
        <v/>
      </c>
      <c r="O16" s="15" t="n"/>
      <c r="P16" s="15" t="n">
        <v>812.09</v>
      </c>
      <c r="Q16" s="16">
        <f>IF(A16="","",N(O16)+N(P16))</f>
        <v/>
      </c>
      <c r="R16" s="16">
        <f>IF(A16="","",F16-Q16)</f>
        <v/>
      </c>
      <c r="S16" s="46">
        <f>IFERROR(R16/F16,"")</f>
        <v/>
      </c>
      <c r="T16" s="45" t="n">
        <v>8</v>
      </c>
      <c r="U16" s="45" t="n"/>
      <c r="V16" s="45" t="n">
        <v>1</v>
      </c>
      <c r="W16" s="45" t="n"/>
      <c r="X16" s="45" t="n">
        <v>8</v>
      </c>
      <c r="Y16" s="13" t="n"/>
    </row>
    <row r="17" ht="15" customHeight="1">
      <c r="A17" s="13" t="inlineStr">
        <is>
          <t>26071303</t>
        </is>
      </c>
      <c r="B17" s="14">
        <f>IF(A17="","",IF(COUNTIF(lst_Jobs,A17&amp;"")&gt;0,"OK","CHECK"))</f>
        <v/>
      </c>
      <c r="C17" s="14">
        <f>IF(A17="","",IFERROR(INDEX(lst_JobName,MATCH(A17&amp;"",lst_Jobs,0)),""))</f>
        <v/>
      </c>
      <c r="D17" s="14">
        <f>IF(A17="","",IFERROR(INDEX(tbl_Finance[Client],MATCH(A17&amp;"",tbl_Finance[Job Number],0)),""))</f>
        <v/>
      </c>
      <c r="E17" s="44">
        <f>IF(A17="","",COUNTIFS(tbl_Finance[Job Number],A17&amp;"",tbl_Finance[Ex GST],"&lt;&gt;"))</f>
        <v/>
      </c>
      <c r="F17" s="16">
        <f>IF(A17="","",SUMIFS(tbl_Finance[Ex GST],tbl_Finance[Job Number],A17&amp;""))</f>
        <v/>
      </c>
      <c r="G17" s="14">
        <f>IF(A17="","",IFERROR(INDEX(tbl_Finance[Cost Centre],MATCH(A17&amp;"",tbl_Finance[Job Number],0)),"not invoiced yet"))</f>
        <v/>
      </c>
      <c r="H17" s="11" t="n">
        <v>46233</v>
      </c>
      <c r="I17" s="13" t="inlineStr">
        <is>
          <t>6125</t>
        </is>
      </c>
      <c r="J17" s="13" t="inlineStr">
        <is>
          <t>26071303</t>
        </is>
      </c>
      <c r="K17" s="13" t="inlineStr">
        <is>
          <t>Y</t>
        </is>
      </c>
      <c r="L17" s="15" t="n"/>
      <c r="M17" s="16">
        <f>IF(A17="","",F17+N(L17))</f>
        <v/>
      </c>
      <c r="N17" s="46">
        <f>IFERROR(L17/M17,"")</f>
        <v/>
      </c>
      <c r="O17" s="15" t="n">
        <v>9487</v>
      </c>
      <c r="P17" s="15" t="n">
        <v>283.18</v>
      </c>
      <c r="Q17" s="16">
        <f>IF(A17="","",N(O17)+N(P17))</f>
        <v/>
      </c>
      <c r="R17" s="16">
        <f>IF(A17="","",F17-Q17)</f>
        <v/>
      </c>
      <c r="S17" s="46">
        <f>IFERROR(R17/F17,"")</f>
        <v/>
      </c>
      <c r="T17" s="45" t="n"/>
      <c r="U17" s="45" t="n"/>
      <c r="V17" s="45" t="n"/>
      <c r="W17" s="45" t="n"/>
      <c r="X17" s="45" t="n">
        <v>40</v>
      </c>
      <c r="Y17" s="13" t="n"/>
    </row>
    <row r="18" ht="15" customHeight="1">
      <c r="A18" s="13" t="inlineStr">
        <is>
          <t>26061702</t>
        </is>
      </c>
      <c r="B18" s="14">
        <f>IF(A18="","",IF(COUNTIF(lst_Jobs,A18&amp;"")&gt;0,"OK","CHECK"))</f>
        <v/>
      </c>
      <c r="C18" s="14">
        <f>IF(A18="","",IFERROR(INDEX(lst_JobName,MATCH(A18&amp;"",lst_Jobs,0)),""))</f>
        <v/>
      </c>
      <c r="D18" s="14">
        <f>IF(A18="","",IFERROR(INDEX(tbl_Finance[Client],MATCH(A18&amp;"",tbl_Finance[Job Number],0)),""))</f>
        <v/>
      </c>
      <c r="E18" s="44">
        <f>IF(A18="","",COUNTIFS(tbl_Finance[Job Number],A18&amp;"",tbl_Finance[Ex GST],"&lt;&gt;"))</f>
        <v/>
      </c>
      <c r="F18" s="16">
        <f>IF(A18="","",SUMIFS(tbl_Finance[Ex GST],tbl_Finance[Job Number],A18&amp;""))</f>
        <v/>
      </c>
      <c r="G18" s="14">
        <f>IF(A18="","",IFERROR(INDEX(tbl_Finance[Cost Centre],MATCH(A18&amp;"",tbl_Finance[Job Number],0)),"not invoiced yet"))</f>
        <v/>
      </c>
      <c r="H18" s="11" t="n">
        <v>46234</v>
      </c>
      <c r="I18" s="13" t="inlineStr">
        <is>
          <t>6066</t>
        </is>
      </c>
      <c r="J18" s="13" t="inlineStr">
        <is>
          <t>26061702</t>
        </is>
      </c>
      <c r="K18" s="13" t="inlineStr">
        <is>
          <t>Y</t>
        </is>
      </c>
      <c r="L18" s="15" t="n"/>
      <c r="M18" s="16">
        <f>IF(A18="","",F18+N(L18))</f>
        <v/>
      </c>
      <c r="N18" s="46">
        <f>IFERROR(L18/M18,"")</f>
        <v/>
      </c>
      <c r="O18" s="15" t="n"/>
      <c r="P18" s="15" t="n">
        <v>626.92</v>
      </c>
      <c r="Q18" s="16">
        <f>IF(A18="","",N(O18)+N(P18))</f>
        <v/>
      </c>
      <c r="R18" s="16">
        <f>IF(A18="","",F18-Q18)</f>
        <v/>
      </c>
      <c r="S18" s="46">
        <f>IFERROR(R18/F18,"")</f>
        <v/>
      </c>
      <c r="T18" s="45" t="n"/>
      <c r="U18" s="45" t="n"/>
      <c r="V18" s="45" t="n"/>
      <c r="W18" s="45" t="n"/>
      <c r="X18" s="45" t="n">
        <v>10</v>
      </c>
      <c r="Y18" s="13" t="n"/>
    </row>
    <row r="19" ht="15" customHeight="1">
      <c r="A19" s="13" t="inlineStr">
        <is>
          <t>26061701</t>
        </is>
      </c>
      <c r="B19" s="14">
        <f>IF(A19="","",IF(COUNTIF(lst_Jobs,A19&amp;"")&gt;0,"OK","CHECK"))</f>
        <v/>
      </c>
      <c r="C19" s="14">
        <f>IF(A19="","",IFERROR(INDEX(lst_JobName,MATCH(A19&amp;"",lst_Jobs,0)),""))</f>
        <v/>
      </c>
      <c r="D19" s="14">
        <f>IF(A19="","",IFERROR(INDEX(tbl_Finance[Client],MATCH(A19&amp;"",tbl_Finance[Job Number],0)),""))</f>
        <v/>
      </c>
      <c r="E19" s="44">
        <f>IF(A19="","",COUNTIFS(tbl_Finance[Job Number],A19&amp;"",tbl_Finance[Ex GST],"&lt;&gt;"))</f>
        <v/>
      </c>
      <c r="F19" s="16">
        <f>IF(A19="","",SUMIFS(tbl_Finance[Ex GST],tbl_Finance[Job Number],A19&amp;""))</f>
        <v/>
      </c>
      <c r="G19" s="14">
        <f>IF(A19="","",IFERROR(INDEX(tbl_Finance[Cost Centre],MATCH(A19&amp;"",tbl_Finance[Job Number],0)),"not invoiced yet"))</f>
        <v/>
      </c>
      <c r="H19" s="11" t="n">
        <v>46234</v>
      </c>
      <c r="I19" s="13" t="inlineStr">
        <is>
          <t>6145</t>
        </is>
      </c>
      <c r="J19" s="13" t="inlineStr">
        <is>
          <t>26061701</t>
        </is>
      </c>
      <c r="K19" s="13" t="inlineStr">
        <is>
          <t>Y</t>
        </is>
      </c>
      <c r="L19" s="15" t="n"/>
      <c r="M19" s="16">
        <f>IF(A19="","",F19+N(L19))</f>
        <v/>
      </c>
      <c r="N19" s="46">
        <f>IFERROR(L19/M19,"")</f>
        <v/>
      </c>
      <c r="O19" s="15" t="n"/>
      <c r="P19" s="15" t="n"/>
      <c r="Q19" s="16">
        <f>IF(A19="","",N(O19)+N(P19))</f>
        <v/>
      </c>
      <c r="R19" s="16">
        <f>IF(A19="","",F19-Q19)</f>
        <v/>
      </c>
      <c r="S19" s="46">
        <f>IFERROR(R19/F19,"")</f>
        <v/>
      </c>
      <c r="T19" s="45" t="n"/>
      <c r="U19" s="45" t="n"/>
      <c r="V19" s="45" t="n"/>
      <c r="W19" s="45" t="n"/>
      <c r="X19" s="45" t="n"/>
      <c r="Y19" s="13" t="n"/>
    </row>
    <row r="20" ht="15" customHeight="1">
      <c r="A20" s="13" t="inlineStr">
        <is>
          <t>2512804</t>
        </is>
      </c>
      <c r="B20" s="14">
        <f>IF(A20="","",IF(COUNTIF(lst_Jobs,A20&amp;"")&gt;0,"OK","CHECK"))</f>
        <v/>
      </c>
      <c r="C20" s="14">
        <f>IF(A20="","",IFERROR(INDEX(lst_JobName,MATCH(A20&amp;"",lst_Jobs,0)),""))</f>
        <v/>
      </c>
      <c r="D20" s="14">
        <f>IF(A20="","",IFERROR(INDEX(tbl_Finance[Client],MATCH(A20&amp;"",tbl_Finance[Job Number],0)),""))</f>
        <v/>
      </c>
      <c r="E20" s="44">
        <f>IF(A20="","",COUNTIFS(tbl_Finance[Job Number],A20&amp;"",tbl_Finance[Ex GST],"&lt;&gt;"))</f>
        <v/>
      </c>
      <c r="F20" s="16">
        <f>IF(A20="","",SUMIFS(tbl_Finance[Ex GST],tbl_Finance[Job Number],A20&amp;""))</f>
        <v/>
      </c>
      <c r="G20" s="14">
        <f>IF(A20="","",IFERROR(INDEX(tbl_Finance[Cost Centre],MATCH(A20&amp;"",tbl_Finance[Job Number],0)),"not invoiced yet"))</f>
        <v/>
      </c>
      <c r="H20" s="11" t="n">
        <v>46239</v>
      </c>
      <c r="I20" s="13" t="inlineStr">
        <is>
          <t>5826</t>
        </is>
      </c>
      <c r="J20" s="13" t="inlineStr">
        <is>
          <t>2512804</t>
        </is>
      </c>
      <c r="K20" s="13" t="inlineStr">
        <is>
          <t>Y</t>
        </is>
      </c>
      <c r="L20" s="15" t="n">
        <v>334</v>
      </c>
      <c r="M20" s="16">
        <f>IF(A20="","",F20+N(L20))</f>
        <v/>
      </c>
      <c r="N20" s="46">
        <f>IFERROR(L20/M20,"")</f>
        <v/>
      </c>
      <c r="O20" s="15" t="n"/>
      <c r="P20" s="15" t="n"/>
      <c r="Q20" s="16">
        <f>IF(A20="","",N(O20)+N(P20))</f>
        <v/>
      </c>
      <c r="R20" s="16">
        <f>IF(A20="","",F20-Q20)</f>
        <v/>
      </c>
      <c r="S20" s="46">
        <f>IFERROR(R20/F20,"")</f>
        <v/>
      </c>
      <c r="T20" s="45" t="n">
        <v>4</v>
      </c>
      <c r="U20" s="45" t="n"/>
      <c r="V20" s="45" t="n"/>
      <c r="W20" s="45" t="n"/>
      <c r="X20" s="45" t="n">
        <v>12</v>
      </c>
      <c r="Y20" s="13" t="n"/>
    </row>
    <row r="21" ht="15" customHeight="1">
      <c r="A21" s="13" t="inlineStr">
        <is>
          <t>2607703</t>
        </is>
      </c>
      <c r="B21" s="14">
        <f>IF(A21="","",IF(COUNTIF(lst_Jobs,A21&amp;"")&gt;0,"OK","CHECK"))</f>
        <v/>
      </c>
      <c r="C21" s="14">
        <f>IF(A21="","",IFERROR(INDEX(lst_JobName,MATCH(A21&amp;"",lst_Jobs,0)),""))</f>
        <v/>
      </c>
      <c r="D21" s="14">
        <f>IF(A21="","",IFERROR(INDEX(tbl_Finance[Client],MATCH(A21&amp;"",tbl_Finance[Job Number],0)),""))</f>
        <v/>
      </c>
      <c r="E21" s="44">
        <f>IF(A21="","",COUNTIFS(tbl_Finance[Job Number],A21&amp;"",tbl_Finance[Ex GST],"&lt;&gt;"))</f>
        <v/>
      </c>
      <c r="F21" s="16">
        <f>IF(A21="","",SUMIFS(tbl_Finance[Ex GST],tbl_Finance[Job Number],A21&amp;""))</f>
        <v/>
      </c>
      <c r="G21" s="14">
        <f>IF(A21="","",IFERROR(INDEX(tbl_Finance[Cost Centre],MATCH(A21&amp;"",tbl_Finance[Job Number],0)),"not invoiced yet"))</f>
        <v/>
      </c>
      <c r="H21" s="11" t="n">
        <v>46240</v>
      </c>
      <c r="I21" s="13" t="inlineStr">
        <is>
          <t>6088</t>
        </is>
      </c>
      <c r="J21" s="13" t="inlineStr">
        <is>
          <t>2607703</t>
        </is>
      </c>
      <c r="K21" s="13" t="inlineStr">
        <is>
          <t>Y</t>
        </is>
      </c>
      <c r="L21" s="15" t="n"/>
      <c r="M21" s="16">
        <f>IF(A21="","",F21+N(L21))</f>
        <v/>
      </c>
      <c r="N21" s="46">
        <f>IFERROR(L21/M21,"")</f>
        <v/>
      </c>
      <c r="O21" s="15" t="n"/>
      <c r="P21" s="15" t="n"/>
      <c r="Q21" s="16">
        <f>IF(A21="","",N(O21)+N(P21))</f>
        <v/>
      </c>
      <c r="R21" s="16">
        <f>IF(A21="","",F21-Q21)</f>
        <v/>
      </c>
      <c r="S21" s="46">
        <f>IFERROR(R21/F21,"")</f>
        <v/>
      </c>
      <c r="T21" s="45" t="n"/>
      <c r="U21" s="45" t="n"/>
      <c r="V21" s="45" t="n"/>
      <c r="W21" s="45" t="n"/>
      <c r="X21" s="45" t="n">
        <v>11</v>
      </c>
      <c r="Y21" s="13" t="n"/>
    </row>
    <row r="22" ht="15" customHeight="1">
      <c r="A22" s="13" t="inlineStr">
        <is>
          <t>26072902</t>
        </is>
      </c>
      <c r="B22" s="14">
        <f>IF(A22="","",IF(COUNTIF(lst_Jobs,A22&amp;"")&gt;0,"OK","CHECK"))</f>
        <v/>
      </c>
      <c r="C22" s="14">
        <f>IF(A22="","",IFERROR(INDEX(lst_JobName,MATCH(A22&amp;"",lst_Jobs,0)),""))</f>
        <v/>
      </c>
      <c r="D22" s="14">
        <f>IF(A22="","",IFERROR(INDEX(tbl_Finance[Client],MATCH(A22&amp;"",tbl_Finance[Job Number],0)),""))</f>
        <v/>
      </c>
      <c r="E22" s="44">
        <f>IF(A22="","",COUNTIFS(tbl_Finance[Job Number],A22&amp;"",tbl_Finance[Ex GST],"&lt;&gt;"))</f>
        <v/>
      </c>
      <c r="F22" s="16">
        <f>IF(A22="","",SUMIFS(tbl_Finance[Ex GST],tbl_Finance[Job Number],A22&amp;""))</f>
        <v/>
      </c>
      <c r="G22" s="14">
        <f>IF(A22="","",IFERROR(INDEX(tbl_Finance[Cost Centre],MATCH(A22&amp;"",tbl_Finance[Job Number],0)),"not invoiced yet"))</f>
        <v/>
      </c>
      <c r="H22" s="11" t="n">
        <v>46240</v>
      </c>
      <c r="I22" s="13" t="inlineStr">
        <is>
          <t>6128</t>
        </is>
      </c>
      <c r="J22" s="13" t="inlineStr">
        <is>
          <t>26072902</t>
        </is>
      </c>
      <c r="K22" s="13" t="inlineStr">
        <is>
          <t>Y</t>
        </is>
      </c>
      <c r="L22" s="15" t="n"/>
      <c r="M22" s="16">
        <f>IF(A22="","",F22+N(L22))</f>
        <v/>
      </c>
      <c r="N22" s="46">
        <f>IFERROR(L22/M22,"")</f>
        <v/>
      </c>
      <c r="O22" s="15" t="n">
        <v>1092.36</v>
      </c>
      <c r="P22" s="15" t="n"/>
      <c r="Q22" s="16">
        <f>IF(A22="","",N(O22)+N(P22))</f>
        <v/>
      </c>
      <c r="R22" s="16">
        <f>IF(A22="","",F22-Q22)</f>
        <v/>
      </c>
      <c r="S22" s="46">
        <f>IFERROR(R22/F22,"")</f>
        <v/>
      </c>
      <c r="T22" s="45" t="n">
        <v>4</v>
      </c>
      <c r="U22" s="45" t="n"/>
      <c r="V22" s="45" t="n">
        <v>1</v>
      </c>
      <c r="W22" s="45" t="n"/>
      <c r="X22" s="45" t="n">
        <v>10</v>
      </c>
      <c r="Y22" s="13" t="n"/>
    </row>
    <row r="23" ht="15" customHeight="1">
      <c r="A23" s="13" t="inlineStr">
        <is>
          <t>26071901</t>
        </is>
      </c>
      <c r="B23" s="14">
        <f>IF(A23="","",IF(COUNTIF(lst_Jobs,A23&amp;"")&gt;0,"OK","CHECK"))</f>
        <v/>
      </c>
      <c r="C23" s="14">
        <f>IF(A23="","",IFERROR(INDEX(lst_JobName,MATCH(A23&amp;"",lst_Jobs,0)),""))</f>
        <v/>
      </c>
      <c r="D23" s="14">
        <f>IF(A23="","",IFERROR(INDEX(tbl_Finance[Client],MATCH(A23&amp;"",tbl_Finance[Job Number],0)),""))</f>
        <v/>
      </c>
      <c r="E23" s="44">
        <f>IF(A23="","",COUNTIFS(tbl_Finance[Job Number],A23&amp;"",tbl_Finance[Ex GST],"&lt;&gt;"))</f>
        <v/>
      </c>
      <c r="F23" s="16">
        <f>IF(A23="","",SUMIFS(tbl_Finance[Ex GST],tbl_Finance[Job Number],A23&amp;""))</f>
        <v/>
      </c>
      <c r="G23" s="14">
        <f>IF(A23="","",IFERROR(INDEX(tbl_Finance[Cost Centre],MATCH(A23&amp;"",tbl_Finance[Job Number],0)),"not invoiced yet"))</f>
        <v/>
      </c>
      <c r="H23" s="11" t="n">
        <v>46245</v>
      </c>
      <c r="I23" s="13" t="inlineStr">
        <is>
          <t>6127</t>
        </is>
      </c>
      <c r="J23" s="13" t="inlineStr">
        <is>
          <t>26071901</t>
        </is>
      </c>
      <c r="K23" s="13" t="inlineStr">
        <is>
          <t>Y</t>
        </is>
      </c>
      <c r="L23" s="15" t="n"/>
      <c r="M23" s="16">
        <f>IF(A23="","",F23+N(L23))</f>
        <v/>
      </c>
      <c r="N23" s="46">
        <f>IFERROR(L23/M23,"")</f>
        <v/>
      </c>
      <c r="O23" s="15" t="n"/>
      <c r="P23" s="15" t="n"/>
      <c r="Q23" s="16">
        <f>IF(A23="","",N(O23)+N(P23))</f>
        <v/>
      </c>
      <c r="R23" s="16">
        <f>IF(A23="","",F23-Q23)</f>
        <v/>
      </c>
      <c r="S23" s="46">
        <f>IFERROR(R23/F23,"")</f>
        <v/>
      </c>
      <c r="T23" s="45" t="n"/>
      <c r="U23" s="45" t="n"/>
      <c r="V23" s="45" t="n"/>
      <c r="W23" s="45" t="n"/>
      <c r="X23" s="45" t="n">
        <v>4</v>
      </c>
      <c r="Y23" s="13" t="n"/>
    </row>
    <row r="24" ht="15" customHeight="1">
      <c r="A24" s="13" t="inlineStr">
        <is>
          <t>26063002</t>
        </is>
      </c>
      <c r="B24" s="14">
        <f>IF(A24="","",IF(COUNTIF(lst_Jobs,A24&amp;"")&gt;0,"OK","CHECK"))</f>
        <v/>
      </c>
      <c r="C24" s="14">
        <f>IF(A24="","",IFERROR(INDEX(lst_JobName,MATCH(A24&amp;"",lst_Jobs,0)),""))</f>
        <v/>
      </c>
      <c r="D24" s="14">
        <f>IF(A24="","",IFERROR(INDEX(tbl_Finance[Client],MATCH(A24&amp;"",tbl_Finance[Job Number],0)),""))</f>
        <v/>
      </c>
      <c r="E24" s="44">
        <f>IF(A24="","",COUNTIFS(tbl_Finance[Job Number],A24&amp;"",tbl_Finance[Ex GST],"&lt;&gt;"))</f>
        <v/>
      </c>
      <c r="F24" s="16">
        <f>IF(A24="","",SUMIFS(tbl_Finance[Ex GST],tbl_Finance[Job Number],A24&amp;""))</f>
        <v/>
      </c>
      <c r="G24" s="14">
        <f>IF(A24="","",IFERROR(INDEX(tbl_Finance[Cost Centre],MATCH(A24&amp;"",tbl_Finance[Job Number],0)),"not invoiced yet"))</f>
        <v/>
      </c>
      <c r="H24" s="11" t="n">
        <v>46245</v>
      </c>
      <c r="I24" s="13" t="inlineStr">
        <is>
          <t>6084</t>
        </is>
      </c>
      <c r="J24" s="13" t="inlineStr">
        <is>
          <t>26063002</t>
        </is>
      </c>
      <c r="K24" s="13" t="inlineStr">
        <is>
          <t>Y</t>
        </is>
      </c>
      <c r="L24" s="15" t="n">
        <v>2104.4</v>
      </c>
      <c r="M24" s="16">
        <f>IF(A24="","",F24+N(L24))</f>
        <v/>
      </c>
      <c r="N24" s="46">
        <f>IFERROR(L24/M24,"")</f>
        <v/>
      </c>
      <c r="O24" s="15" t="n"/>
      <c r="P24" s="15" t="n"/>
      <c r="Q24" s="16">
        <f>IF(A24="","",N(O24)+N(P24))</f>
        <v/>
      </c>
      <c r="R24" s="16">
        <f>IF(A24="","",F24-Q24)</f>
        <v/>
      </c>
      <c r="S24" s="46">
        <f>IFERROR(R24/F24,"")</f>
        <v/>
      </c>
      <c r="T24" s="45" t="n">
        <v>7</v>
      </c>
      <c r="U24" s="45" t="n"/>
      <c r="V24" s="45" t="n">
        <v>2</v>
      </c>
      <c r="W24" s="45" t="n"/>
      <c r="X24" s="45" t="n">
        <v>37</v>
      </c>
      <c r="Y24" s="13" t="n"/>
    </row>
    <row r="25" ht="15" customHeight="1">
      <c r="A25" s="13" t="inlineStr">
        <is>
          <t>26072903</t>
        </is>
      </c>
      <c r="B25" s="14">
        <f>IF(A25="","",IF(COUNTIF(lst_Jobs,A25&amp;"")&gt;0,"OK","CHECK"))</f>
        <v/>
      </c>
      <c r="C25" s="14">
        <f>IF(A25="","",IFERROR(INDEX(lst_JobName,MATCH(A25&amp;"",lst_Jobs,0)),""))</f>
        <v/>
      </c>
      <c r="D25" s="14">
        <f>IF(A25="","",IFERROR(INDEX(tbl_Finance[Client],MATCH(A25&amp;"",tbl_Finance[Job Number],0)),""))</f>
        <v/>
      </c>
      <c r="E25" s="44">
        <f>IF(A25="","",COUNTIFS(tbl_Finance[Job Number],A25&amp;"",tbl_Finance[Ex GST],"&lt;&gt;"))</f>
        <v/>
      </c>
      <c r="F25" s="16">
        <f>IF(A25="","",SUMIFS(tbl_Finance[Ex GST],tbl_Finance[Job Number],A25&amp;""))</f>
        <v/>
      </c>
      <c r="G25" s="14">
        <f>IF(A25="","",IFERROR(INDEX(tbl_Finance[Cost Centre],MATCH(A25&amp;"",tbl_Finance[Job Number],0)),"not invoiced yet"))</f>
        <v/>
      </c>
      <c r="H25" s="11" t="n">
        <v>46245</v>
      </c>
      <c r="I25" s="13" t="inlineStr">
        <is>
          <t>6134</t>
        </is>
      </c>
      <c r="J25" s="13" t="inlineStr">
        <is>
          <t>26072903</t>
        </is>
      </c>
      <c r="K25" s="13" t="inlineStr">
        <is>
          <t>Y</t>
        </is>
      </c>
      <c r="L25" s="15" t="n"/>
      <c r="M25" s="16">
        <f>IF(A25="","",F25+N(L25))</f>
        <v/>
      </c>
      <c r="N25" s="46">
        <f>IFERROR(L25/M25,"")</f>
        <v/>
      </c>
      <c r="O25" s="15" t="n">
        <v>1092.36</v>
      </c>
      <c r="P25" s="15" t="n"/>
      <c r="Q25" s="16">
        <f>IF(A25="","",N(O25)+N(P25))</f>
        <v/>
      </c>
      <c r="R25" s="16">
        <f>IF(A25="","",F25-Q25)</f>
        <v/>
      </c>
      <c r="S25" s="46">
        <f>IFERROR(R25/F25,"")</f>
        <v/>
      </c>
      <c r="T25" s="45" t="n">
        <v>9</v>
      </c>
      <c r="U25" s="45" t="n"/>
      <c r="V25" s="45" t="n"/>
      <c r="W25" s="45" t="n"/>
      <c r="X25" s="45" t="n">
        <v>9</v>
      </c>
      <c r="Y25" s="13" t="n"/>
    </row>
    <row r="26" ht="15" customHeight="1">
      <c r="A26" s="13" t="inlineStr">
        <is>
          <t>26061104</t>
        </is>
      </c>
      <c r="B26" s="14">
        <f>IF(A26="","",IF(COUNTIF(lst_Jobs,A26&amp;"")&gt;0,"OK","CHECK"))</f>
        <v/>
      </c>
      <c r="C26" s="14">
        <f>IF(A26="","",IFERROR(INDEX(lst_JobName,MATCH(A26&amp;"",lst_Jobs,0)),""))</f>
        <v/>
      </c>
      <c r="D26" s="14">
        <f>IF(A26="","",IFERROR(INDEX(tbl_Finance[Client],MATCH(A26&amp;"",tbl_Finance[Job Number],0)),""))</f>
        <v/>
      </c>
      <c r="E26" s="44">
        <f>IF(A26="","",COUNTIFS(tbl_Finance[Job Number],A26&amp;"",tbl_Finance[Ex GST],"&lt;&gt;"))</f>
        <v/>
      </c>
      <c r="F26" s="16">
        <f>IF(A26="","",SUMIFS(tbl_Finance[Ex GST],tbl_Finance[Job Number],A26&amp;""))</f>
        <v/>
      </c>
      <c r="G26" s="14">
        <f>IF(A26="","",IFERROR(INDEX(tbl_Finance[Cost Centre],MATCH(A26&amp;"",tbl_Finance[Job Number],0)),"not invoiced yet"))</f>
        <v/>
      </c>
      <c r="H26" s="11" t="n">
        <v>46246</v>
      </c>
      <c r="I26" s="13" t="inlineStr">
        <is>
          <t>Proj: 0016</t>
        </is>
      </c>
      <c r="J26" s="13" t="inlineStr">
        <is>
          <t>26061104</t>
        </is>
      </c>
      <c r="K26" s="13" t="inlineStr">
        <is>
          <t>Y</t>
        </is>
      </c>
      <c r="L26" s="15" t="n">
        <v>5271.5</v>
      </c>
      <c r="M26" s="16">
        <f>IF(A26="","",F26+N(L26))</f>
        <v/>
      </c>
      <c r="N26" s="46">
        <f>IFERROR(L26/M26,"")</f>
        <v/>
      </c>
      <c r="O26" s="15" t="n">
        <v>980.16</v>
      </c>
      <c r="P26" s="15" t="n"/>
      <c r="Q26" s="16">
        <f>IF(A26="","",N(O26)+N(P26))</f>
        <v/>
      </c>
      <c r="R26" s="16">
        <f>IF(A26="","",F26-Q26)</f>
        <v/>
      </c>
      <c r="S26" s="46">
        <f>IFERROR(R26/F26,"")</f>
        <v/>
      </c>
      <c r="T26" s="45" t="n">
        <v>8</v>
      </c>
      <c r="U26" s="45" t="n"/>
      <c r="V26" s="45" t="n">
        <v>12</v>
      </c>
      <c r="W26" s="45" t="n"/>
      <c r="X26" s="45" t="n">
        <v>104</v>
      </c>
      <c r="Y26" s="13" t="n"/>
    </row>
    <row r="27" ht="15" customHeight="1">
      <c r="A27" s="13" t="inlineStr">
        <is>
          <t>26061105</t>
        </is>
      </c>
      <c r="B27" s="14">
        <f>IF(A27="","",IF(COUNTIF(lst_Jobs,A27&amp;"")&gt;0,"OK","CHECK"))</f>
        <v/>
      </c>
      <c r="C27" s="14">
        <f>IF(A27="","",IFERROR(INDEX(lst_JobName,MATCH(A27&amp;"",lst_Jobs,0)),""))</f>
        <v/>
      </c>
      <c r="D27" s="14">
        <f>IF(A27="","",IFERROR(INDEX(tbl_Finance[Client],MATCH(A27&amp;"",tbl_Finance[Job Number],0)),""))</f>
        <v/>
      </c>
      <c r="E27" s="44">
        <f>IF(A27="","",COUNTIFS(tbl_Finance[Job Number],A27&amp;"",tbl_Finance[Ex GST],"&lt;&gt;"))</f>
        <v/>
      </c>
      <c r="F27" s="16">
        <f>IF(A27="","",SUMIFS(tbl_Finance[Ex GST],tbl_Finance[Job Number],A27&amp;""))</f>
        <v/>
      </c>
      <c r="G27" s="14">
        <f>IF(A27="","",IFERROR(INDEX(tbl_Finance[Cost Centre],MATCH(A27&amp;"",tbl_Finance[Job Number],0)),"not invoiced yet"))</f>
        <v/>
      </c>
      <c r="H27" s="11" t="n">
        <v>46246</v>
      </c>
      <c r="I27" s="13" t="inlineStr">
        <is>
          <t>6093</t>
        </is>
      </c>
      <c r="J27" s="13" t="inlineStr">
        <is>
          <t>26061105</t>
        </is>
      </c>
      <c r="K27" s="13" t="inlineStr">
        <is>
          <t>Y</t>
        </is>
      </c>
      <c r="L27" s="15" t="n">
        <v>1680</v>
      </c>
      <c r="M27" s="16">
        <f>IF(A27="","",F27+N(L27))</f>
        <v/>
      </c>
      <c r="N27" s="46">
        <f>IFERROR(L27/M27,"")</f>
        <v/>
      </c>
      <c r="O27" s="15" t="n">
        <v>3111.2</v>
      </c>
      <c r="P27" s="15" t="n"/>
      <c r="Q27" s="16">
        <f>IF(A27="","",N(O27)+N(P27))</f>
        <v/>
      </c>
      <c r="R27" s="16">
        <f>IF(A27="","",F27-Q27)</f>
        <v/>
      </c>
      <c r="S27" s="46">
        <f>IFERROR(R27/F27,"")</f>
        <v/>
      </c>
      <c r="T27" s="45" t="n"/>
      <c r="U27" s="45" t="n"/>
      <c r="V27" s="45" t="n"/>
      <c r="W27" s="45" t="n"/>
      <c r="X27" s="45" t="n">
        <v>16</v>
      </c>
      <c r="Y27" s="13" t="n"/>
    </row>
    <row r="28" ht="15" customHeight="1">
      <c r="A28" s="13" t="inlineStr">
        <is>
          <t>2605401</t>
        </is>
      </c>
      <c r="B28" s="14">
        <f>IF(A28="","",IF(COUNTIF(lst_Jobs,A28&amp;"")&gt;0,"OK","CHECK"))</f>
        <v/>
      </c>
      <c r="C28" s="14">
        <f>IF(A28="","",IFERROR(INDEX(lst_JobName,MATCH(A28&amp;"",lst_Jobs,0)),""))</f>
        <v/>
      </c>
      <c r="D28" s="14">
        <f>IF(A28="","",IFERROR(INDEX(tbl_Finance[Client],MATCH(A28&amp;"",tbl_Finance[Job Number],0)),""))</f>
        <v/>
      </c>
      <c r="E28" s="44">
        <f>IF(A28="","",COUNTIFS(tbl_Finance[Job Number],A28&amp;"",tbl_Finance[Ex GST],"&lt;&gt;"))</f>
        <v/>
      </c>
      <c r="F28" s="16">
        <f>IF(A28="","",SUMIFS(tbl_Finance[Ex GST],tbl_Finance[Job Number],A28&amp;""))</f>
        <v/>
      </c>
      <c r="G28" s="14">
        <f>IF(A28="","",IFERROR(INDEX(tbl_Finance[Cost Centre],MATCH(A28&amp;"",tbl_Finance[Job Number],0)),"not invoiced yet"))</f>
        <v/>
      </c>
      <c r="H28" s="11" t="n">
        <v>46246</v>
      </c>
      <c r="I28" s="13" t="inlineStr">
        <is>
          <t>Proj: 0019</t>
        </is>
      </c>
      <c r="J28" s="13" t="inlineStr">
        <is>
          <t>2605401</t>
        </is>
      </c>
      <c r="K28" s="13" t="inlineStr">
        <is>
          <t>Y</t>
        </is>
      </c>
      <c r="L28" s="15" t="n">
        <v>2351.5</v>
      </c>
      <c r="M28" s="16">
        <f>IF(A28="","",F28+N(L28))</f>
        <v/>
      </c>
      <c r="N28" s="46">
        <f>IFERROR(L28/M28,"")</f>
        <v/>
      </c>
      <c r="O28" s="15" t="n">
        <v>3520.25</v>
      </c>
      <c r="P28" s="15" t="n"/>
      <c r="Q28" s="16">
        <f>IF(A28="","",N(O28)+N(P28))</f>
        <v/>
      </c>
      <c r="R28" s="16">
        <f>IF(A28="","",F28-Q28)</f>
        <v/>
      </c>
      <c r="S28" s="46">
        <f>IFERROR(R28/F28,"")</f>
        <v/>
      </c>
      <c r="T28" s="45" t="n"/>
      <c r="U28" s="45" t="n">
        <v>8</v>
      </c>
      <c r="V28" s="45" t="n"/>
      <c r="W28" s="45" t="n"/>
      <c r="X28" s="45" t="n">
        <v>18</v>
      </c>
      <c r="Y28" s="13" t="n"/>
    </row>
    <row r="29" ht="15" customHeight="1">
      <c r="A29" s="13" t="inlineStr">
        <is>
          <t>2605402</t>
        </is>
      </c>
      <c r="B29" s="14">
        <f>IF(A29="","",IF(COUNTIF(lst_Jobs,A29&amp;"")&gt;0,"OK","CHECK"))</f>
        <v/>
      </c>
      <c r="C29" s="14">
        <f>IF(A29="","",IFERROR(INDEX(lst_JobName,MATCH(A29&amp;"",lst_Jobs,0)),""))</f>
        <v/>
      </c>
      <c r="D29" s="14">
        <f>IF(A29="","",IFERROR(INDEX(tbl_Finance[Client],MATCH(A29&amp;"",tbl_Finance[Job Number],0)),""))</f>
        <v/>
      </c>
      <c r="E29" s="44">
        <f>IF(A29="","",COUNTIFS(tbl_Finance[Job Number],A29&amp;"",tbl_Finance[Ex GST],"&lt;&gt;"))</f>
        <v/>
      </c>
      <c r="F29" s="16">
        <f>IF(A29="","",SUMIFS(tbl_Finance[Ex GST],tbl_Finance[Job Number],A29&amp;""))</f>
        <v/>
      </c>
      <c r="G29" s="14">
        <f>IF(A29="","",IFERROR(INDEX(tbl_Finance[Cost Centre],MATCH(A29&amp;"",tbl_Finance[Job Number],0)),"not invoiced yet"))</f>
        <v/>
      </c>
      <c r="H29" s="11" t="n">
        <v>46246</v>
      </c>
      <c r="I29" s="13" t="inlineStr">
        <is>
          <t>Proj: 0019</t>
        </is>
      </c>
      <c r="J29" s="13" t="inlineStr">
        <is>
          <t>2605402</t>
        </is>
      </c>
      <c r="K29" s="13" t="inlineStr">
        <is>
          <t>Y</t>
        </is>
      </c>
      <c r="L29" s="15" t="n">
        <v>1309.25</v>
      </c>
      <c r="M29" s="16">
        <f>IF(A29="","",F29+N(L29))</f>
        <v/>
      </c>
      <c r="N29" s="46">
        <f>IFERROR(L29/M29,"")</f>
        <v/>
      </c>
      <c r="O29" s="15" t="n">
        <v>706.67</v>
      </c>
      <c r="P29" s="15" t="n"/>
      <c r="Q29" s="16">
        <f>IF(A29="","",N(O29)+N(P29))</f>
        <v/>
      </c>
      <c r="R29" s="16">
        <f>IF(A29="","",F29-Q29)</f>
        <v/>
      </c>
      <c r="S29" s="46">
        <f>IFERROR(R29/F29,"")</f>
        <v/>
      </c>
      <c r="T29" s="45" t="n">
        <v>4</v>
      </c>
      <c r="U29" s="45" t="n"/>
      <c r="V29" s="45" t="n"/>
      <c r="W29" s="45" t="n"/>
      <c r="X29" s="45" t="n">
        <v>31</v>
      </c>
      <c r="Y29" s="13" t="n"/>
    </row>
    <row r="30" ht="15" customHeight="1">
      <c r="A30" s="13" t="inlineStr">
        <is>
          <t>2608604</t>
        </is>
      </c>
      <c r="B30" s="14">
        <f>IF(A30="","",IF(COUNTIF(lst_Jobs,A30&amp;"")&gt;0,"OK","CHECK"))</f>
        <v/>
      </c>
      <c r="C30" s="14">
        <f>IF(A30="","",IFERROR(INDEX(lst_JobName,MATCH(A30&amp;"",lst_Jobs,0)),""))</f>
        <v/>
      </c>
      <c r="D30" s="14">
        <f>IF(A30="","",IFERROR(INDEX(tbl_Finance[Client],MATCH(A30&amp;"",tbl_Finance[Job Number],0)),""))</f>
        <v/>
      </c>
      <c r="E30" s="44">
        <f>IF(A30="","",COUNTIFS(tbl_Finance[Job Number],A30&amp;"",tbl_Finance[Ex GST],"&lt;&gt;"))</f>
        <v/>
      </c>
      <c r="F30" s="16">
        <f>IF(A30="","",SUMIFS(tbl_Finance[Ex GST],tbl_Finance[Job Number],A30&amp;""))</f>
        <v/>
      </c>
      <c r="G30" s="14">
        <f>IF(A30="","",IFERROR(INDEX(tbl_Finance[Cost Centre],MATCH(A30&amp;"",tbl_Finance[Job Number],0)),"not invoiced yet"))</f>
        <v/>
      </c>
      <c r="H30" s="11" t="n">
        <v>46247</v>
      </c>
      <c r="I30" s="13" t="inlineStr">
        <is>
          <t>6138</t>
        </is>
      </c>
      <c r="J30" s="13" t="inlineStr">
        <is>
          <t>2608604</t>
        </is>
      </c>
      <c r="K30" s="13" t="inlineStr">
        <is>
          <t>Y</t>
        </is>
      </c>
      <c r="L30" s="15" t="n">
        <v>25</v>
      </c>
      <c r="M30" s="16">
        <f>IF(A30="","",F30+N(L30))</f>
        <v/>
      </c>
      <c r="N30" s="46">
        <f>IFERROR(L30/M30,"")</f>
        <v/>
      </c>
      <c r="O30" s="15" t="n"/>
      <c r="P30" s="15" t="n"/>
      <c r="Q30" s="16">
        <f>IF(A30="","",N(O30)+N(P30))</f>
        <v/>
      </c>
      <c r="R30" s="16">
        <f>IF(A30="","",F30-Q30)</f>
        <v/>
      </c>
      <c r="S30" s="46">
        <f>IFERROR(R30/F30,"")</f>
        <v/>
      </c>
      <c r="T30" s="45" t="n">
        <v>4</v>
      </c>
      <c r="U30" s="45" t="n"/>
      <c r="V30" s="45" t="n">
        <v>2</v>
      </c>
      <c r="W30" s="45" t="n"/>
      <c r="X30" s="45" t="n">
        <v>6</v>
      </c>
      <c r="Y30" s="13" t="n"/>
    </row>
    <row r="31" ht="15" customHeight="1">
      <c r="A31" s="13" t="inlineStr">
        <is>
          <t>26052702</t>
        </is>
      </c>
      <c r="B31" s="14">
        <f>IF(A31="","",IF(COUNTIF(lst_Jobs,A31&amp;"")&gt;0,"OK","CHECK"))</f>
        <v/>
      </c>
      <c r="C31" s="14">
        <f>IF(A31="","",IFERROR(INDEX(lst_JobName,MATCH(A31&amp;"",lst_Jobs,0)),""))</f>
        <v/>
      </c>
      <c r="D31" s="14">
        <f>IF(A31="","",IFERROR(INDEX(tbl_Finance[Client],MATCH(A31&amp;"",tbl_Finance[Job Number],0)),""))</f>
        <v/>
      </c>
      <c r="E31" s="44">
        <f>IF(A31="","",COUNTIFS(tbl_Finance[Job Number],A31&amp;"",tbl_Finance[Ex GST],"&lt;&gt;"))</f>
        <v/>
      </c>
      <c r="F31" s="16">
        <f>IF(A31="","",SUMIFS(tbl_Finance[Ex GST],tbl_Finance[Job Number],A31&amp;""))</f>
        <v/>
      </c>
      <c r="G31" s="14">
        <f>IF(A31="","",IFERROR(INDEX(tbl_Finance[Cost Centre],MATCH(A31&amp;"",tbl_Finance[Job Number],0)),"not invoiced yet"))</f>
        <v/>
      </c>
      <c r="H31" s="11" t="n">
        <v>46247</v>
      </c>
      <c r="I31" s="13" t="inlineStr">
        <is>
          <t>6045</t>
        </is>
      </c>
      <c r="J31" s="13" t="inlineStr">
        <is>
          <t>26052702</t>
        </is>
      </c>
      <c r="K31" s="13" t="inlineStr">
        <is>
          <t>Y</t>
        </is>
      </c>
      <c r="L31" s="15" t="n">
        <v>2181</v>
      </c>
      <c r="M31" s="16">
        <f>IF(A31="","",F31+N(L31))</f>
        <v/>
      </c>
      <c r="N31" s="46">
        <f>IFERROR(L31/M31,"")</f>
        <v/>
      </c>
      <c r="O31" s="15" t="n">
        <v>5005.78</v>
      </c>
      <c r="P31" s="15" t="n"/>
      <c r="Q31" s="16">
        <f>IF(A31="","",N(O31)+N(P31))</f>
        <v/>
      </c>
      <c r="R31" s="16">
        <f>IF(A31="","",F31-Q31)</f>
        <v/>
      </c>
      <c r="S31" s="46">
        <f>IFERROR(R31/F31,"")</f>
        <v/>
      </c>
      <c r="T31" s="45" t="n"/>
      <c r="U31" s="45" t="n"/>
      <c r="V31" s="45" t="n">
        <v>6</v>
      </c>
      <c r="W31" s="45" t="n"/>
      <c r="X31" s="45" t="n">
        <v>78</v>
      </c>
      <c r="Y31" s="13" t="n"/>
    </row>
    <row r="32" ht="15" customHeight="1">
      <c r="A32" s="13" t="inlineStr">
        <is>
          <t>26072906</t>
        </is>
      </c>
      <c r="B32" s="14">
        <f>IF(A32="","",IF(COUNTIF(lst_Jobs,A32&amp;"")&gt;0,"OK","CHECK"))</f>
        <v/>
      </c>
      <c r="C32" s="14">
        <f>IF(A32="","",IFERROR(INDEX(lst_JobName,MATCH(A32&amp;"",lst_Jobs,0)),""))</f>
        <v/>
      </c>
      <c r="D32" s="14">
        <f>IF(A32="","",IFERROR(INDEX(tbl_Finance[Client],MATCH(A32&amp;"",tbl_Finance[Job Number],0)),""))</f>
        <v/>
      </c>
      <c r="E32" s="44">
        <f>IF(A32="","",COUNTIFS(tbl_Finance[Job Number],A32&amp;"",tbl_Finance[Ex GST],"&lt;&gt;"))</f>
        <v/>
      </c>
      <c r="F32" s="16">
        <f>IF(A32="","",SUMIFS(tbl_Finance[Ex GST],tbl_Finance[Job Number],A32&amp;""))</f>
        <v/>
      </c>
      <c r="G32" s="14">
        <f>IF(A32="","",IFERROR(INDEX(tbl_Finance[Cost Centre],MATCH(A32&amp;"",tbl_Finance[Job Number],0)),"not invoiced yet"))</f>
        <v/>
      </c>
      <c r="H32" s="11" t="n">
        <v>46252</v>
      </c>
      <c r="I32" s="13" t="inlineStr">
        <is>
          <t>6130</t>
        </is>
      </c>
      <c r="J32" s="13" t="inlineStr">
        <is>
          <t>26072906</t>
        </is>
      </c>
      <c r="K32" s="13" t="inlineStr">
        <is>
          <t>Y</t>
        </is>
      </c>
      <c r="L32" s="15" t="n">
        <v>148.8</v>
      </c>
      <c r="M32" s="16">
        <f>IF(A32="","",F32+N(L32))</f>
        <v/>
      </c>
      <c r="N32" s="46">
        <f>IFERROR(L32/M32,"")</f>
        <v/>
      </c>
      <c r="O32" s="15" t="n"/>
      <c r="P32" s="15" t="n"/>
      <c r="Q32" s="16">
        <f>IF(A32="","",N(O32)+N(P32))</f>
        <v/>
      </c>
      <c r="R32" s="16">
        <f>IF(A32="","",F32-Q32)</f>
        <v/>
      </c>
      <c r="S32" s="46">
        <f>IFERROR(R32/F32,"")</f>
        <v/>
      </c>
      <c r="T32" s="45" t="n">
        <v>8</v>
      </c>
      <c r="U32" s="45" t="n">
        <v>8</v>
      </c>
      <c r="V32" s="45" t="n"/>
      <c r="W32" s="45" t="n"/>
      <c r="X32" s="45" t="n">
        <v>8</v>
      </c>
      <c r="Y32" s="13" t="n"/>
    </row>
    <row r="33" ht="15" customHeight="1">
      <c r="A33" s="13" t="inlineStr">
        <is>
          <t>2603104</t>
        </is>
      </c>
      <c r="B33" s="14">
        <f>IF(A33="","",IF(COUNTIF(lst_Jobs,A33&amp;"")&gt;0,"OK","CHECK"))</f>
        <v/>
      </c>
      <c r="C33" s="14">
        <f>IF(A33="","",IFERROR(INDEX(lst_JobName,MATCH(A33&amp;"",lst_Jobs,0)),""))</f>
        <v/>
      </c>
      <c r="D33" s="14">
        <f>IF(A33="","",IFERROR(INDEX(tbl_Finance[Client],MATCH(A33&amp;"",tbl_Finance[Job Number],0)),""))</f>
        <v/>
      </c>
      <c r="E33" s="44">
        <f>IF(A33="","",COUNTIFS(tbl_Finance[Job Number],A33&amp;"",tbl_Finance[Ex GST],"&lt;&gt;"))</f>
        <v/>
      </c>
      <c r="F33" s="16">
        <f>IF(A33="","",SUMIFS(tbl_Finance[Ex GST],tbl_Finance[Job Number],A33&amp;""))</f>
        <v/>
      </c>
      <c r="G33" s="14">
        <f>IF(A33="","",IFERROR(INDEX(tbl_Finance[Cost Centre],MATCH(A33&amp;"",tbl_Finance[Job Number],0)),"not invoiced yet"))</f>
        <v/>
      </c>
      <c r="H33" s="11" t="n">
        <v>46252</v>
      </c>
      <c r="I33" s="13" t="inlineStr">
        <is>
          <t>6091</t>
        </is>
      </c>
      <c r="J33" s="13" t="inlineStr">
        <is>
          <t>2603104</t>
        </is>
      </c>
      <c r="K33" s="13" t="inlineStr">
        <is>
          <t>Y</t>
        </is>
      </c>
      <c r="L33" s="15" t="n">
        <v>2984.5</v>
      </c>
      <c r="M33" s="16">
        <f>IF(A33="","",F33+N(L33))</f>
        <v/>
      </c>
      <c r="N33" s="46">
        <f>IFERROR(L33/M33,"")</f>
        <v/>
      </c>
      <c r="O33" s="15" t="n">
        <v>2166.76</v>
      </c>
      <c r="P33" s="15" t="n"/>
      <c r="Q33" s="16">
        <f>IF(A33="","",N(O33)+N(P33))</f>
        <v/>
      </c>
      <c r="R33" s="16">
        <f>IF(A33="","",F33-Q33)</f>
        <v/>
      </c>
      <c r="S33" s="46">
        <f>IFERROR(R33/F33,"")</f>
        <v/>
      </c>
      <c r="T33" s="45" t="n">
        <v>8</v>
      </c>
      <c r="U33" s="45" t="n"/>
      <c r="V33" s="45" t="n"/>
      <c r="W33" s="45" t="n"/>
      <c r="X33" s="45" t="n">
        <v>18</v>
      </c>
      <c r="Y33" s="13" t="n"/>
    </row>
    <row r="34" ht="15" customHeight="1">
      <c r="A34" s="13" t="inlineStr">
        <is>
          <t>26072802</t>
        </is>
      </c>
      <c r="B34" s="14">
        <f>IF(A34="","",IF(COUNTIF(lst_Jobs,A34&amp;"")&gt;0,"OK","CHECK"))</f>
        <v/>
      </c>
      <c r="C34" s="14">
        <f>IF(A34="","",IFERROR(INDEX(lst_JobName,MATCH(A34&amp;"",lst_Jobs,0)),""))</f>
        <v/>
      </c>
      <c r="D34" s="14">
        <f>IF(A34="","",IFERROR(INDEX(tbl_Finance[Client],MATCH(A34&amp;"",tbl_Finance[Job Number],0)),""))</f>
        <v/>
      </c>
      <c r="E34" s="44">
        <f>IF(A34="","",COUNTIFS(tbl_Finance[Job Number],A34&amp;"",tbl_Finance[Ex GST],"&lt;&gt;"))</f>
        <v/>
      </c>
      <c r="F34" s="16">
        <f>IF(A34="","",SUMIFS(tbl_Finance[Ex GST],tbl_Finance[Job Number],A34&amp;""))</f>
        <v/>
      </c>
      <c r="G34" s="14">
        <f>IF(A34="","",IFERROR(INDEX(tbl_Finance[Cost Centre],MATCH(A34&amp;"",tbl_Finance[Job Number],0)),"not invoiced yet"))</f>
        <v/>
      </c>
      <c r="H34" s="11" t="n">
        <v>46252</v>
      </c>
      <c r="I34" s="13" t="inlineStr">
        <is>
          <t>6131</t>
        </is>
      </c>
      <c r="J34" s="13" t="inlineStr">
        <is>
          <t>26072802</t>
        </is>
      </c>
      <c r="K34" s="13" t="inlineStr">
        <is>
          <t>Y</t>
        </is>
      </c>
      <c r="L34" s="15" t="n">
        <v>95</v>
      </c>
      <c r="M34" s="16">
        <f>IF(A34="","",F34+N(L34))</f>
        <v/>
      </c>
      <c r="N34" s="46">
        <f>IFERROR(L34/M34,"")</f>
        <v/>
      </c>
      <c r="O34" s="15" t="n"/>
      <c r="P34" s="15" t="n"/>
      <c r="Q34" s="16">
        <f>IF(A34="","",N(O34)+N(P34))</f>
        <v/>
      </c>
      <c r="R34" s="16">
        <f>IF(A34="","",F34-Q34)</f>
        <v/>
      </c>
      <c r="S34" s="46">
        <f>IFERROR(R34/F34,"")</f>
        <v/>
      </c>
      <c r="T34" s="45" t="n"/>
      <c r="U34" s="45" t="n"/>
      <c r="V34" s="45" t="n"/>
      <c r="W34" s="45" t="n"/>
      <c r="X34" s="45" t="n">
        <v>6.5</v>
      </c>
      <c r="Y34" s="13" t="n"/>
    </row>
    <row r="35" ht="15" customHeight="1">
      <c r="A35" s="13" t="inlineStr">
        <is>
          <t>26081402</t>
        </is>
      </c>
      <c r="B35" s="14">
        <f>IF(A35="","",IF(COUNTIF(lst_Jobs,A35&amp;"")&gt;0,"OK","CHECK"))</f>
        <v/>
      </c>
      <c r="C35" s="14">
        <f>IF(A35="","",IFERROR(INDEX(lst_JobName,MATCH(A35&amp;"",lst_Jobs,0)),""))</f>
        <v/>
      </c>
      <c r="D35" s="14">
        <f>IF(A35="","",IFERROR(INDEX(tbl_Finance[Client],MATCH(A35&amp;"",tbl_Finance[Job Number],0)),""))</f>
        <v/>
      </c>
      <c r="E35" s="44">
        <f>IF(A35="","",COUNTIFS(tbl_Finance[Job Number],A35&amp;"",tbl_Finance[Ex GST],"&lt;&gt;"))</f>
        <v/>
      </c>
      <c r="F35" s="16">
        <f>IF(A35="","",SUMIFS(tbl_Finance[Ex GST],tbl_Finance[Job Number],A35&amp;""))</f>
        <v/>
      </c>
      <c r="G35" s="14">
        <f>IF(A35="","",IFERROR(INDEX(tbl_Finance[Cost Centre],MATCH(A35&amp;"",tbl_Finance[Job Number],0)),"not invoiced yet"))</f>
        <v/>
      </c>
      <c r="H35" s="11" t="n">
        <v>46253</v>
      </c>
      <c r="I35" s="13" t="inlineStr">
        <is>
          <t>6153</t>
        </is>
      </c>
      <c r="J35" s="13" t="inlineStr">
        <is>
          <t>26081402</t>
        </is>
      </c>
      <c r="K35" s="13" t="inlineStr">
        <is>
          <t>Y</t>
        </is>
      </c>
      <c r="L35" s="15" t="n"/>
      <c r="M35" s="16">
        <f>IF(A35="","",F35+N(L35))</f>
        <v/>
      </c>
      <c r="N35" s="46">
        <f>IFERROR(L35/M35,"")</f>
        <v/>
      </c>
      <c r="O35" s="15" t="n"/>
      <c r="P35" s="15" t="n"/>
      <c r="Q35" s="16">
        <f>IF(A35="","",N(O35)+N(P35))</f>
        <v/>
      </c>
      <c r="R35" s="16">
        <f>IF(A35="","",F35-Q35)</f>
        <v/>
      </c>
      <c r="S35" s="46">
        <f>IFERROR(R35/F35,"")</f>
        <v/>
      </c>
      <c r="T35" s="45" t="n"/>
      <c r="U35" s="45" t="n"/>
      <c r="V35" s="45" t="n"/>
      <c r="W35" s="45" t="n"/>
      <c r="X35" s="45" t="n">
        <v>4</v>
      </c>
      <c r="Y35" s="13" t="n"/>
    </row>
    <row r="36" ht="15" customHeight="1">
      <c r="A36" s="13" t="inlineStr">
        <is>
          <t>26061106</t>
        </is>
      </c>
      <c r="B36" s="14">
        <f>IF(A36="","",IF(COUNTIF(lst_Jobs,A36&amp;"")&gt;0,"OK","CHECK"))</f>
        <v/>
      </c>
      <c r="C36" s="14">
        <f>IF(A36="","",IFERROR(INDEX(lst_JobName,MATCH(A36&amp;"",lst_Jobs,0)),""))</f>
        <v/>
      </c>
      <c r="D36" s="14">
        <f>IF(A36="","",IFERROR(INDEX(tbl_Finance[Client],MATCH(A36&amp;"",tbl_Finance[Job Number],0)),""))</f>
        <v/>
      </c>
      <c r="E36" s="44">
        <f>IF(A36="","",COUNTIFS(tbl_Finance[Job Number],A36&amp;"",tbl_Finance[Ex GST],"&lt;&gt;"))</f>
        <v/>
      </c>
      <c r="F36" s="16">
        <f>IF(A36="","",SUMIFS(tbl_Finance[Ex GST],tbl_Finance[Job Number],A36&amp;""))</f>
        <v/>
      </c>
      <c r="G36" s="14">
        <f>IF(A36="","",IFERROR(INDEX(tbl_Finance[Cost Centre],MATCH(A36&amp;"",tbl_Finance[Job Number],0)),"not invoiced yet"))</f>
        <v/>
      </c>
      <c r="H36" s="11" t="n">
        <v>46253</v>
      </c>
      <c r="I36" s="13" t="inlineStr">
        <is>
          <t>5853</t>
        </is>
      </c>
      <c r="J36" s="13" t="inlineStr">
        <is>
          <t>26061106</t>
        </is>
      </c>
      <c r="K36" s="13" t="inlineStr">
        <is>
          <t>Y</t>
        </is>
      </c>
      <c r="L36" s="15" t="n">
        <v>611.5</v>
      </c>
      <c r="M36" s="16">
        <f>IF(A36="","",F36+N(L36))</f>
        <v/>
      </c>
      <c r="N36" s="46">
        <f>IFERROR(L36/M36,"")</f>
        <v/>
      </c>
      <c r="O36" s="15" t="n">
        <v>4272.26</v>
      </c>
      <c r="P36" s="15" t="n"/>
      <c r="Q36" s="16">
        <f>IF(A36="","",N(O36)+N(P36))</f>
        <v/>
      </c>
      <c r="R36" s="16">
        <f>IF(A36="","",F36-Q36)</f>
        <v/>
      </c>
      <c r="S36" s="46">
        <f>IFERROR(R36/F36,"")</f>
        <v/>
      </c>
      <c r="T36" s="45" t="n"/>
      <c r="U36" s="45" t="n">
        <v>4</v>
      </c>
      <c r="V36" s="45" t="n">
        <v>2</v>
      </c>
      <c r="W36" s="45" t="n"/>
      <c r="X36" s="45" t="n">
        <v>25</v>
      </c>
      <c r="Y36" s="13" t="n"/>
    </row>
    <row r="37" ht="15" customHeight="1">
      <c r="A37" s="13" t="inlineStr">
        <is>
          <t>26061107</t>
        </is>
      </c>
      <c r="B37" s="14">
        <f>IF(A37="","",IF(COUNTIF(lst_Jobs,A37&amp;"")&gt;0,"OK","CHECK"))</f>
        <v/>
      </c>
      <c r="C37" s="14">
        <f>IF(A37="","",IFERROR(INDEX(lst_JobName,MATCH(A37&amp;"",lst_Jobs,0)),""))</f>
        <v/>
      </c>
      <c r="D37" s="14">
        <f>IF(A37="","",IFERROR(INDEX(tbl_Finance[Client],MATCH(A37&amp;"",tbl_Finance[Job Number],0)),""))</f>
        <v/>
      </c>
      <c r="E37" s="44">
        <f>IF(A37="","",COUNTIFS(tbl_Finance[Job Number],A37&amp;"",tbl_Finance[Ex GST],"&lt;&gt;"))</f>
        <v/>
      </c>
      <c r="F37" s="16">
        <f>IF(A37="","",SUMIFS(tbl_Finance[Ex GST],tbl_Finance[Job Number],A37&amp;""))</f>
        <v/>
      </c>
      <c r="G37" s="14">
        <f>IF(A37="","",IFERROR(INDEX(tbl_Finance[Cost Centre],MATCH(A37&amp;"",tbl_Finance[Job Number],0)),"not invoiced yet"))</f>
        <v/>
      </c>
      <c r="H37" s="11" t="n">
        <v>46254</v>
      </c>
      <c r="I37" s="13" t="inlineStr">
        <is>
          <t>6092</t>
        </is>
      </c>
      <c r="J37" s="13" t="inlineStr">
        <is>
          <t>26061107</t>
        </is>
      </c>
      <c r="K37" s="13" t="inlineStr">
        <is>
          <t>Y</t>
        </is>
      </c>
      <c r="L37" s="15" t="n">
        <v>885.75</v>
      </c>
      <c r="M37" s="16">
        <f>IF(A37="","",F37+N(L37))</f>
        <v/>
      </c>
      <c r="N37" s="46">
        <f>IFERROR(L37/M37,"")</f>
        <v/>
      </c>
      <c r="O37" s="15" t="n">
        <v>1221.04</v>
      </c>
      <c r="P37" s="15" t="n"/>
      <c r="Q37" s="16">
        <f>IF(A37="","",N(O37)+N(P37))</f>
        <v/>
      </c>
      <c r="R37" s="16">
        <f>IF(A37="","",F37-Q37)</f>
        <v/>
      </c>
      <c r="S37" s="46">
        <f>IFERROR(R37/F37,"")</f>
        <v/>
      </c>
      <c r="T37" s="45" t="n"/>
      <c r="U37" s="45" t="n"/>
      <c r="V37" s="45" t="n">
        <v>3</v>
      </c>
      <c r="W37" s="45" t="n"/>
      <c r="X37" s="45" t="n">
        <v>18</v>
      </c>
      <c r="Y37" s="13" t="n"/>
    </row>
    <row r="38" ht="15" customHeight="1">
      <c r="A38" s="13" t="inlineStr">
        <is>
          <t>26073110</t>
        </is>
      </c>
      <c r="B38" s="14">
        <f>IF(A38="","",IF(COUNTIF(lst_Jobs,A38&amp;"")&gt;0,"OK","CHECK"))</f>
        <v/>
      </c>
      <c r="C38" s="14">
        <f>IF(A38="","",IFERROR(INDEX(lst_JobName,MATCH(A38&amp;"",lst_Jobs,0)),""))</f>
        <v/>
      </c>
      <c r="D38" s="14">
        <f>IF(A38="","",IFERROR(INDEX(tbl_Finance[Client],MATCH(A38&amp;"",tbl_Finance[Job Number],0)),""))</f>
        <v/>
      </c>
      <c r="E38" s="44">
        <f>IF(A38="","",COUNTIFS(tbl_Finance[Job Number],A38&amp;"",tbl_Finance[Ex GST],"&lt;&gt;"))</f>
        <v/>
      </c>
      <c r="F38" s="16">
        <f>IF(A38="","",SUMIFS(tbl_Finance[Ex GST],tbl_Finance[Job Number],A38&amp;""))</f>
        <v/>
      </c>
      <c r="G38" s="14">
        <f>IF(A38="","",IFERROR(INDEX(tbl_Finance[Cost Centre],MATCH(A38&amp;"",tbl_Finance[Job Number],0)),"not invoiced yet"))</f>
        <v/>
      </c>
      <c r="H38" s="11" t="n">
        <v>46254</v>
      </c>
      <c r="I38" s="13" t="inlineStr">
        <is>
          <t>6117</t>
        </is>
      </c>
      <c r="J38" s="13" t="inlineStr">
        <is>
          <t>26073110</t>
        </is>
      </c>
      <c r="K38" s="13" t="inlineStr">
        <is>
          <t>Y</t>
        </is>
      </c>
      <c r="L38" s="15" t="n"/>
      <c r="M38" s="16">
        <f>IF(A38="","",F38+N(L38))</f>
        <v/>
      </c>
      <c r="N38" s="46">
        <f>IFERROR(L38/M38,"")</f>
        <v/>
      </c>
      <c r="O38" s="15" t="n"/>
      <c r="P38" s="15" t="n"/>
      <c r="Q38" s="16">
        <f>IF(A38="","",N(O38)+N(P38))</f>
        <v/>
      </c>
      <c r="R38" s="16">
        <f>IF(A38="","",F38-Q38)</f>
        <v/>
      </c>
      <c r="S38" s="46">
        <f>IFERROR(R38/F38,"")</f>
        <v/>
      </c>
      <c r="T38" s="45" t="n"/>
      <c r="U38" s="45" t="n"/>
      <c r="V38" s="45" t="n">
        <v>1</v>
      </c>
      <c r="W38" s="45" t="n"/>
      <c r="X38" s="45" t="n">
        <v>8</v>
      </c>
      <c r="Y38" s="13" t="n"/>
    </row>
    <row r="39" ht="15" customHeight="1">
      <c r="A39" s="13" t="inlineStr">
        <is>
          <t>25121208</t>
        </is>
      </c>
      <c r="B39" s="14">
        <f>IF(A39="","",IF(COUNTIF(lst_Jobs,A39&amp;"")&gt;0,"OK","CHECK"))</f>
        <v/>
      </c>
      <c r="C39" s="14">
        <f>IF(A39="","",IFERROR(INDEX(lst_JobName,MATCH(A39&amp;"",lst_Jobs,0)),""))</f>
        <v/>
      </c>
      <c r="D39" s="14">
        <f>IF(A39="","",IFERROR(INDEX(tbl_Finance[Client],MATCH(A39&amp;"",tbl_Finance[Job Number],0)),""))</f>
        <v/>
      </c>
      <c r="E39" s="44">
        <f>IF(A39="","",COUNTIFS(tbl_Finance[Job Number],A39&amp;"",tbl_Finance[Ex GST],"&lt;&gt;"))</f>
        <v/>
      </c>
      <c r="F39" s="16">
        <f>IF(A39="","",SUMIFS(tbl_Finance[Ex GST],tbl_Finance[Job Number],A39&amp;""))</f>
        <v/>
      </c>
      <c r="G39" s="14">
        <f>IF(A39="","",IFERROR(INDEX(tbl_Finance[Cost Centre],MATCH(A39&amp;"",tbl_Finance[Job Number],0)),"not invoiced yet"))</f>
        <v/>
      </c>
      <c r="H39" s="11" t="n">
        <v>46254</v>
      </c>
      <c r="I39" s="13" t="inlineStr">
        <is>
          <t>5821</t>
        </is>
      </c>
      <c r="J39" s="13" t="inlineStr">
        <is>
          <t>25121208</t>
        </is>
      </c>
      <c r="K39" s="13" t="inlineStr">
        <is>
          <t>Y</t>
        </is>
      </c>
      <c r="L39" s="15" t="n">
        <v>3652.5</v>
      </c>
      <c r="M39" s="16">
        <f>IF(A39="","",F39+N(L39))</f>
        <v/>
      </c>
      <c r="N39" s="46">
        <f>IFERROR(L39/M39,"")</f>
        <v/>
      </c>
      <c r="O39" s="15" t="n">
        <v>1805.72</v>
      </c>
      <c r="P39" s="15" t="n"/>
      <c r="Q39" s="16">
        <f>IF(A39="","",N(O39)+N(P39))</f>
        <v/>
      </c>
      <c r="R39" s="16">
        <f>IF(A39="","",F39-Q39)</f>
        <v/>
      </c>
      <c r="S39" s="46">
        <f>IFERROR(R39/F39,"")</f>
        <v/>
      </c>
      <c r="T39" s="45" t="n"/>
      <c r="U39" s="45" t="n"/>
      <c r="V39" s="45" t="n">
        <v>2</v>
      </c>
      <c r="W39" s="45" t="n"/>
      <c r="X39" s="45" t="n">
        <v>20</v>
      </c>
      <c r="Y39" s="13" t="n"/>
    </row>
    <row r="40" ht="15" customHeight="1">
      <c r="A40" s="13" t="inlineStr">
        <is>
          <t>26061108</t>
        </is>
      </c>
      <c r="B40" s="14">
        <f>IF(A40="","",IF(COUNTIF(lst_Jobs,A40&amp;"")&gt;0,"OK","CHECK"))</f>
        <v/>
      </c>
      <c r="C40" s="14">
        <f>IF(A40="","",IFERROR(INDEX(lst_JobName,MATCH(A40&amp;"",lst_Jobs,0)),""))</f>
        <v/>
      </c>
      <c r="D40" s="14">
        <f>IF(A40="","",IFERROR(INDEX(tbl_Finance[Client],MATCH(A40&amp;"",tbl_Finance[Job Number],0)),""))</f>
        <v/>
      </c>
      <c r="E40" s="44">
        <f>IF(A40="","",COUNTIFS(tbl_Finance[Job Number],A40&amp;"",tbl_Finance[Ex GST],"&lt;&gt;"))</f>
        <v/>
      </c>
      <c r="F40" s="16">
        <f>IF(A40="","",SUMIFS(tbl_Finance[Ex GST],tbl_Finance[Job Number],A40&amp;""))</f>
        <v/>
      </c>
      <c r="G40" s="14">
        <f>IF(A40="","",IFERROR(INDEX(tbl_Finance[Cost Centre],MATCH(A40&amp;"",tbl_Finance[Job Number],0)),"not invoiced yet"))</f>
        <v/>
      </c>
      <c r="H40" s="11" t="n">
        <v>46254</v>
      </c>
      <c r="I40" s="13" t="inlineStr">
        <is>
          <t>6073</t>
        </is>
      </c>
      <c r="J40" s="13" t="inlineStr">
        <is>
          <t>26061108</t>
        </is>
      </c>
      <c r="K40" s="13" t="inlineStr">
        <is>
          <t>Y</t>
        </is>
      </c>
      <c r="L40" s="15" t="n">
        <v>1651.4</v>
      </c>
      <c r="M40" s="16">
        <f>IF(A40="","",F40+N(L40))</f>
        <v/>
      </c>
      <c r="N40" s="46">
        <f>IFERROR(L40/M40,"")</f>
        <v/>
      </c>
      <c r="O40" s="15" t="n"/>
      <c r="P40" s="15" t="n"/>
      <c r="Q40" s="16">
        <f>IF(A40="","",N(O40)+N(P40))</f>
        <v/>
      </c>
      <c r="R40" s="16">
        <f>IF(A40="","",F40-Q40)</f>
        <v/>
      </c>
      <c r="S40" s="46">
        <f>IFERROR(R40/F40,"")</f>
        <v/>
      </c>
      <c r="T40" s="45" t="n">
        <v>5</v>
      </c>
      <c r="U40" s="45" t="n"/>
      <c r="V40" s="45" t="n">
        <v>6</v>
      </c>
      <c r="W40" s="45" t="n"/>
      <c r="X40" s="45" t="n">
        <v>45</v>
      </c>
      <c r="Y40" s="13" t="n"/>
    </row>
    <row r="41" ht="15" customHeight="1">
      <c r="A41" s="13" t="inlineStr">
        <is>
          <t>26061109</t>
        </is>
      </c>
      <c r="B41" s="14">
        <f>IF(A41="","",IF(COUNTIF(lst_Jobs,A41&amp;"")&gt;0,"OK","CHECK"))</f>
        <v/>
      </c>
      <c r="C41" s="14">
        <f>IF(A41="","",IFERROR(INDEX(lst_JobName,MATCH(A41&amp;"",lst_Jobs,0)),""))</f>
        <v/>
      </c>
      <c r="D41" s="14">
        <f>IF(A41="","",IFERROR(INDEX(tbl_Finance[Client],MATCH(A41&amp;"",tbl_Finance[Job Number],0)),""))</f>
        <v/>
      </c>
      <c r="E41" s="44">
        <f>IF(A41="","",COUNTIFS(tbl_Finance[Job Number],A41&amp;"",tbl_Finance[Ex GST],"&lt;&gt;"))</f>
        <v/>
      </c>
      <c r="F41" s="16">
        <f>IF(A41="","",SUMIFS(tbl_Finance[Ex GST],tbl_Finance[Job Number],A41&amp;""))</f>
        <v/>
      </c>
      <c r="G41" s="14">
        <f>IF(A41="","",IFERROR(INDEX(tbl_Finance[Cost Centre],MATCH(A41&amp;"",tbl_Finance[Job Number],0)),"not invoiced yet"))</f>
        <v/>
      </c>
      <c r="H41" s="11" t="n">
        <v>46258</v>
      </c>
      <c r="I41" s="13" t="inlineStr">
        <is>
          <t>6095</t>
        </is>
      </c>
      <c r="J41" s="13" t="inlineStr">
        <is>
          <t>26061109</t>
        </is>
      </c>
      <c r="K41" s="13" t="inlineStr">
        <is>
          <t>Y</t>
        </is>
      </c>
      <c r="L41" s="15" t="n">
        <v>524.5</v>
      </c>
      <c r="M41" s="16">
        <f>IF(A41="","",F41+N(L41))</f>
        <v/>
      </c>
      <c r="N41" s="46">
        <f>IFERROR(L41/M41,"")</f>
        <v/>
      </c>
      <c r="O41" s="15" t="n">
        <v>1350</v>
      </c>
      <c r="P41" s="15" t="n"/>
      <c r="Q41" s="16">
        <f>IF(A41="","",N(O41)+N(P41))</f>
        <v/>
      </c>
      <c r="R41" s="16">
        <f>IF(A41="","",F41-Q41)</f>
        <v/>
      </c>
      <c r="S41" s="46">
        <f>IFERROR(R41/F41,"")</f>
        <v/>
      </c>
      <c r="T41" s="45" t="n">
        <v>4</v>
      </c>
      <c r="U41" s="45" t="n"/>
      <c r="V41" s="45" t="n"/>
      <c r="W41" s="45" t="n"/>
      <c r="X41" s="45" t="n">
        <v>41</v>
      </c>
      <c r="Y41" s="13" t="n"/>
    </row>
    <row r="42" ht="15" customHeight="1">
      <c r="A42" s="13" t="inlineStr">
        <is>
          <t>26071501</t>
        </is>
      </c>
      <c r="B42" s="14">
        <f>IF(A42="","",IF(COUNTIF(lst_Jobs,A42&amp;"")&gt;0,"OK","CHECK"))</f>
        <v/>
      </c>
      <c r="C42" s="14">
        <f>IF(A42="","",IFERROR(INDEX(lst_JobName,MATCH(A42&amp;"",lst_Jobs,0)),""))</f>
        <v/>
      </c>
      <c r="D42" s="14">
        <f>IF(A42="","",IFERROR(INDEX(tbl_Finance[Client],MATCH(A42&amp;"",tbl_Finance[Job Number],0)),""))</f>
        <v/>
      </c>
      <c r="E42" s="44">
        <f>IF(A42="","",COUNTIFS(tbl_Finance[Job Number],A42&amp;"",tbl_Finance[Ex GST],"&lt;&gt;"))</f>
        <v/>
      </c>
      <c r="F42" s="16">
        <f>IF(A42="","",SUMIFS(tbl_Finance[Ex GST],tbl_Finance[Job Number],A42&amp;""))</f>
        <v/>
      </c>
      <c r="G42" s="14">
        <f>IF(A42="","",IFERROR(INDEX(tbl_Finance[Cost Centre],MATCH(A42&amp;"",tbl_Finance[Job Number],0)),"not invoiced yet"))</f>
        <v/>
      </c>
      <c r="H42" s="11" t="n">
        <v>46258</v>
      </c>
      <c r="I42" s="13" t="inlineStr">
        <is>
          <t>6094</t>
        </is>
      </c>
      <c r="J42" s="13" t="inlineStr">
        <is>
          <t>26071501</t>
        </is>
      </c>
      <c r="K42" s="13" t="inlineStr">
        <is>
          <t>Y</t>
        </is>
      </c>
      <c r="L42" s="15" t="n">
        <v>495</v>
      </c>
      <c r="M42" s="16">
        <f>IF(A42="","",F42+N(L42))</f>
        <v/>
      </c>
      <c r="N42" s="46">
        <f>IFERROR(L42/M42,"")</f>
        <v/>
      </c>
      <c r="O42" s="15" t="n">
        <v>2303.09</v>
      </c>
      <c r="P42" s="15" t="n"/>
      <c r="Q42" s="16">
        <f>IF(A42="","",N(O42)+N(P42))</f>
        <v/>
      </c>
      <c r="R42" s="16">
        <f>IF(A42="","",F42-Q42)</f>
        <v/>
      </c>
      <c r="S42" s="46">
        <f>IFERROR(R42/F42,"")</f>
        <v/>
      </c>
      <c r="T42" s="45" t="n"/>
      <c r="U42" s="45" t="n"/>
      <c r="V42" s="45" t="n"/>
      <c r="W42" s="45" t="n"/>
      <c r="X42" s="45" t="n">
        <v>11</v>
      </c>
      <c r="Y42" s="13" t="n"/>
    </row>
    <row r="43" ht="15" customHeight="1">
      <c r="A43" s="13" t="inlineStr">
        <is>
          <t>26073111</t>
        </is>
      </c>
      <c r="B43" s="14">
        <f>IF(A43="","",IF(COUNTIF(lst_Jobs,A43&amp;"")&gt;0,"OK","CHECK"))</f>
        <v/>
      </c>
      <c r="C43" s="14">
        <f>IF(A43="","",IFERROR(INDEX(lst_JobName,MATCH(A43&amp;"",lst_Jobs,0)),""))</f>
        <v/>
      </c>
      <c r="D43" s="14">
        <f>IF(A43="","",IFERROR(INDEX(tbl_Finance[Client],MATCH(A43&amp;"",tbl_Finance[Job Number],0)),""))</f>
        <v/>
      </c>
      <c r="E43" s="44">
        <f>IF(A43="","",COUNTIFS(tbl_Finance[Job Number],A43&amp;"",tbl_Finance[Ex GST],"&lt;&gt;"))</f>
        <v/>
      </c>
      <c r="F43" s="16">
        <f>IF(A43="","",SUMIFS(tbl_Finance[Ex GST],tbl_Finance[Job Number],A43&amp;""))</f>
        <v/>
      </c>
      <c r="G43" s="14">
        <f>IF(A43="","",IFERROR(INDEX(tbl_Finance[Cost Centre],MATCH(A43&amp;"",tbl_Finance[Job Number],0)),"not invoiced yet"))</f>
        <v/>
      </c>
      <c r="H43" s="11" t="n">
        <v>46259</v>
      </c>
      <c r="I43" s="13" t="inlineStr">
        <is>
          <t>6144</t>
        </is>
      </c>
      <c r="J43" s="13" t="inlineStr">
        <is>
          <t>26073111</t>
        </is>
      </c>
      <c r="K43" s="13" t="inlineStr">
        <is>
          <t>Y</t>
        </is>
      </c>
      <c r="L43" s="15" t="n">
        <v>2281.25</v>
      </c>
      <c r="M43" s="16">
        <f>IF(A43="","",F43+N(L43))</f>
        <v/>
      </c>
      <c r="N43" s="46">
        <f>IFERROR(L43/M43,"")</f>
        <v/>
      </c>
      <c r="O43" s="15" t="n">
        <v>14754.3</v>
      </c>
      <c r="P43" s="15" t="n"/>
      <c r="Q43" s="16">
        <f>IF(A43="","",N(O43)+N(P43))</f>
        <v/>
      </c>
      <c r="R43" s="16">
        <f>IF(A43="","",F43-Q43)</f>
        <v/>
      </c>
      <c r="S43" s="46">
        <f>IFERROR(R43/F43,"")</f>
        <v/>
      </c>
      <c r="T43" s="45" t="n">
        <v>5</v>
      </c>
      <c r="U43" s="45" t="n"/>
      <c r="V43" s="45" t="n">
        <v>3</v>
      </c>
      <c r="W43" s="45" t="n"/>
      <c r="X43" s="45" t="n">
        <v>37</v>
      </c>
      <c r="Y43" s="13" t="n"/>
    </row>
    <row r="44" ht="15" customHeight="1">
      <c r="A44" s="13" t="inlineStr">
        <is>
          <t>2606904</t>
        </is>
      </c>
      <c r="B44" s="14">
        <f>IF(A44="","",IF(COUNTIF(lst_Jobs,A44&amp;"")&gt;0,"OK","CHECK"))</f>
        <v/>
      </c>
      <c r="C44" s="14">
        <f>IF(A44="","",IFERROR(INDEX(lst_JobName,MATCH(A44&amp;"",lst_Jobs,0)),""))</f>
        <v/>
      </c>
      <c r="D44" s="14">
        <f>IF(A44="","",IFERROR(INDEX(tbl_Finance[Client],MATCH(A44&amp;"",tbl_Finance[Job Number],0)),""))</f>
        <v/>
      </c>
      <c r="E44" s="44">
        <f>IF(A44="","",COUNTIFS(tbl_Finance[Job Number],A44&amp;"",tbl_Finance[Ex GST],"&lt;&gt;"))</f>
        <v/>
      </c>
      <c r="F44" s="16">
        <f>IF(A44="","",SUMIFS(tbl_Finance[Ex GST],tbl_Finance[Job Number],A44&amp;""))</f>
        <v/>
      </c>
      <c r="G44" s="14">
        <f>IF(A44="","",IFERROR(INDEX(tbl_Finance[Cost Centre],MATCH(A44&amp;"",tbl_Finance[Job Number],0)),"not invoiced yet"))</f>
        <v/>
      </c>
      <c r="H44" s="11" t="n">
        <v>46259</v>
      </c>
      <c r="I44" s="13" t="inlineStr">
        <is>
          <t>6044</t>
        </is>
      </c>
      <c r="J44" s="13" t="inlineStr">
        <is>
          <t>2606904</t>
        </is>
      </c>
      <c r="K44" s="13" t="inlineStr">
        <is>
          <t>Y</t>
        </is>
      </c>
      <c r="L44" s="15" t="n">
        <v>3563</v>
      </c>
      <c r="M44" s="16">
        <f>IF(A44="","",F44+N(L44))</f>
        <v/>
      </c>
      <c r="N44" s="46">
        <f>IFERROR(L44/M44,"")</f>
        <v/>
      </c>
      <c r="O44" s="15" t="n">
        <v>1874</v>
      </c>
      <c r="P44" s="15" t="n"/>
      <c r="Q44" s="16">
        <f>IF(A44="","",N(O44)+N(P44))</f>
        <v/>
      </c>
      <c r="R44" s="16">
        <f>IF(A44="","",F44-Q44)</f>
        <v/>
      </c>
      <c r="S44" s="46">
        <f>IFERROR(R44/F44,"")</f>
        <v/>
      </c>
      <c r="T44" s="45" t="n"/>
      <c r="U44" s="45" t="n"/>
      <c r="V44" s="45" t="n">
        <v>2</v>
      </c>
      <c r="W44" s="45" t="n"/>
      <c r="X44" s="45" t="n">
        <v>22</v>
      </c>
      <c r="Y44" s="13" t="n"/>
    </row>
    <row r="45" ht="15" customHeight="1">
      <c r="A45" s="13" t="inlineStr">
        <is>
          <t>26061001</t>
        </is>
      </c>
      <c r="B45" s="14">
        <f>IF(A45="","",IF(COUNTIF(lst_Jobs,A45&amp;"")&gt;0,"OK","CHECK"))</f>
        <v/>
      </c>
      <c r="C45" s="14">
        <f>IF(A45="","",IFERROR(INDEX(lst_JobName,MATCH(A45&amp;"",lst_Jobs,0)),""))</f>
        <v/>
      </c>
      <c r="D45" s="14">
        <f>IF(A45="","",IFERROR(INDEX(tbl_Finance[Client],MATCH(A45&amp;"",tbl_Finance[Job Number],0)),""))</f>
        <v/>
      </c>
      <c r="E45" s="44">
        <f>IF(A45="","",COUNTIFS(tbl_Finance[Job Number],A45&amp;"",tbl_Finance[Ex GST],"&lt;&gt;"))</f>
        <v/>
      </c>
      <c r="F45" s="16">
        <f>IF(A45="","",SUMIFS(tbl_Finance[Ex GST],tbl_Finance[Job Number],A45&amp;""))</f>
        <v/>
      </c>
      <c r="G45" s="14">
        <f>IF(A45="","",IFERROR(INDEX(tbl_Finance[Cost Centre],MATCH(A45&amp;"",tbl_Finance[Job Number],0)),"not invoiced yet"))</f>
        <v/>
      </c>
      <c r="H45" s="11" t="n">
        <v>46259</v>
      </c>
      <c r="I45" s="13" t="inlineStr">
        <is>
          <t>6055</t>
        </is>
      </c>
      <c r="J45" s="13" t="inlineStr">
        <is>
          <t>26061001</t>
        </is>
      </c>
      <c r="K45" s="13" t="inlineStr">
        <is>
          <t>Y</t>
        </is>
      </c>
      <c r="L45" s="15" t="n">
        <v>90</v>
      </c>
      <c r="M45" s="16">
        <f>IF(A45="","",F45+N(L45))</f>
        <v/>
      </c>
      <c r="N45" s="46">
        <f>IFERROR(L45/M45,"")</f>
        <v/>
      </c>
      <c r="O45" s="15" t="n"/>
      <c r="P45" s="15" t="n"/>
      <c r="Q45" s="16">
        <f>IF(A45="","",N(O45)+N(P45))</f>
        <v/>
      </c>
      <c r="R45" s="16">
        <f>IF(A45="","",F45-Q45)</f>
        <v/>
      </c>
      <c r="S45" s="46">
        <f>IFERROR(R45/F45,"")</f>
        <v/>
      </c>
      <c r="T45" s="45" t="n"/>
      <c r="U45" s="45" t="n"/>
      <c r="V45" s="45" t="n">
        <v>1</v>
      </c>
      <c r="W45" s="45" t="n"/>
      <c r="X45" s="45" t="n">
        <v>4</v>
      </c>
      <c r="Y45" s="13" t="n"/>
    </row>
    <row r="46" ht="15" customHeight="1">
      <c r="A46" s="13" t="inlineStr">
        <is>
          <t>26073105</t>
        </is>
      </c>
      <c r="B46" s="14">
        <f>IF(A46="","",IF(COUNTIF(lst_Jobs,A46&amp;"")&gt;0,"OK","CHECK"))</f>
        <v/>
      </c>
      <c r="C46" s="14">
        <f>IF(A46="","",IFERROR(INDEX(lst_JobName,MATCH(A46&amp;"",lst_Jobs,0)),""))</f>
        <v/>
      </c>
      <c r="D46" s="14">
        <f>IF(A46="","",IFERROR(INDEX(tbl_Finance[Client],MATCH(A46&amp;"",tbl_Finance[Job Number],0)),""))</f>
        <v/>
      </c>
      <c r="E46" s="44">
        <f>IF(A46="","",COUNTIFS(tbl_Finance[Job Number],A46&amp;"",tbl_Finance[Ex GST],"&lt;&gt;"))</f>
        <v/>
      </c>
      <c r="F46" s="16">
        <f>IF(A46="","",SUMIFS(tbl_Finance[Ex GST],tbl_Finance[Job Number],A46&amp;""))</f>
        <v/>
      </c>
      <c r="G46" s="14">
        <f>IF(A46="","",IFERROR(INDEX(tbl_Finance[Cost Centre],MATCH(A46&amp;"",tbl_Finance[Job Number],0)),"not invoiced yet"))</f>
        <v/>
      </c>
      <c r="H46" s="11" t="n">
        <v>46259</v>
      </c>
      <c r="I46" s="13" t="inlineStr">
        <is>
          <t>6129</t>
        </is>
      </c>
      <c r="J46" s="13" t="inlineStr">
        <is>
          <t>26073105</t>
        </is>
      </c>
      <c r="K46" s="13" t="inlineStr">
        <is>
          <t>Y</t>
        </is>
      </c>
      <c r="L46" s="15" t="n"/>
      <c r="M46" s="16">
        <f>IF(A46="","",F46+N(L46))</f>
        <v/>
      </c>
      <c r="N46" s="46">
        <f>IFERROR(L46/M46,"")</f>
        <v/>
      </c>
      <c r="O46" s="15" t="n"/>
      <c r="P46" s="15" t="n"/>
      <c r="Q46" s="16">
        <f>IF(A46="","",N(O46)+N(P46))</f>
        <v/>
      </c>
      <c r="R46" s="16">
        <f>IF(A46="","",F46-Q46)</f>
        <v/>
      </c>
      <c r="S46" s="46">
        <f>IFERROR(R46/F46,"")</f>
        <v/>
      </c>
      <c r="T46" s="45" t="n"/>
      <c r="U46" s="45" t="n"/>
      <c r="V46" s="45" t="n"/>
      <c r="W46" s="45" t="n"/>
      <c r="X46" s="45" t="n">
        <v>4</v>
      </c>
      <c r="Y46" s="13" t="n"/>
    </row>
    <row r="47" ht="15" customHeight="1">
      <c r="A47" s="13" t="inlineStr">
        <is>
          <t>2608702</t>
        </is>
      </c>
      <c r="B47" s="14">
        <f>IF(A47="","",IF(COUNTIF(lst_Jobs,A47&amp;"")&gt;0,"OK","CHECK"))</f>
        <v/>
      </c>
      <c r="C47" s="14">
        <f>IF(A47="","",IFERROR(INDEX(lst_JobName,MATCH(A47&amp;"",lst_Jobs,0)),""))</f>
        <v/>
      </c>
      <c r="D47" s="14">
        <f>IF(A47="","",IFERROR(INDEX(tbl_Finance[Client],MATCH(A47&amp;"",tbl_Finance[Job Number],0)),""))</f>
        <v/>
      </c>
      <c r="E47" s="44">
        <f>IF(A47="","",COUNTIFS(tbl_Finance[Job Number],A47&amp;"",tbl_Finance[Ex GST],"&lt;&gt;"))</f>
        <v/>
      </c>
      <c r="F47" s="16">
        <f>IF(A47="","",SUMIFS(tbl_Finance[Ex GST],tbl_Finance[Job Number],A47&amp;""))</f>
        <v/>
      </c>
      <c r="G47" s="14">
        <f>IF(A47="","",IFERROR(INDEX(tbl_Finance[Cost Centre],MATCH(A47&amp;"",tbl_Finance[Job Number],0)),"not invoiced yet"))</f>
        <v/>
      </c>
      <c r="H47" s="11" t="n">
        <v>46260</v>
      </c>
      <c r="I47" s="13" t="inlineStr">
        <is>
          <t>6149</t>
        </is>
      </c>
      <c r="J47" s="13" t="inlineStr">
        <is>
          <t>2608702</t>
        </is>
      </c>
      <c r="K47" s="13" t="inlineStr">
        <is>
          <t>Y</t>
        </is>
      </c>
      <c r="L47" s="15" t="n"/>
      <c r="M47" s="16">
        <f>IF(A47="","",F47+N(L47))</f>
        <v/>
      </c>
      <c r="N47" s="46">
        <f>IFERROR(L47/M47,"")</f>
        <v/>
      </c>
      <c r="O47" s="15" t="n">
        <v>784.5</v>
      </c>
      <c r="P47" s="15" t="n"/>
      <c r="Q47" s="16">
        <f>IF(A47="","",N(O47)+N(P47))</f>
        <v/>
      </c>
      <c r="R47" s="16">
        <f>IF(A47="","",F47-Q47)</f>
        <v/>
      </c>
      <c r="S47" s="46">
        <f>IFERROR(R47/F47,"")</f>
        <v/>
      </c>
      <c r="T47" s="45" t="n"/>
      <c r="U47" s="45" t="n"/>
      <c r="V47" s="45" t="n"/>
      <c r="W47" s="45" t="n"/>
      <c r="X47" s="45" t="n"/>
      <c r="Y47" s="13" t="n"/>
    </row>
    <row r="48" ht="15" customHeight="1">
      <c r="A48" s="13" t="inlineStr">
        <is>
          <t>2606903</t>
        </is>
      </c>
      <c r="B48" s="14">
        <f>IF(A48="","",IF(COUNTIF(lst_Jobs,A48&amp;"")&gt;0,"OK","CHECK"))</f>
        <v/>
      </c>
      <c r="C48" s="14">
        <f>IF(A48="","",IFERROR(INDEX(lst_JobName,MATCH(A48&amp;"",lst_Jobs,0)),""))</f>
        <v/>
      </c>
      <c r="D48" s="14">
        <f>IF(A48="","",IFERROR(INDEX(tbl_Finance[Client],MATCH(A48&amp;"",tbl_Finance[Job Number],0)),""))</f>
        <v/>
      </c>
      <c r="E48" s="44">
        <f>IF(A48="","",COUNTIFS(tbl_Finance[Job Number],A48&amp;"",tbl_Finance[Ex GST],"&lt;&gt;"))</f>
        <v/>
      </c>
      <c r="F48" s="16">
        <f>IF(A48="","",SUMIFS(tbl_Finance[Ex GST],tbl_Finance[Job Number],A48&amp;""))</f>
        <v/>
      </c>
      <c r="G48" s="14">
        <f>IF(A48="","",IFERROR(INDEX(tbl_Finance[Cost Centre],MATCH(A48&amp;"",tbl_Finance[Job Number],0)),"not invoiced yet"))</f>
        <v/>
      </c>
      <c r="H48" s="11" t="n">
        <v>46262</v>
      </c>
      <c r="I48" s="13" t="inlineStr">
        <is>
          <t>6024</t>
        </is>
      </c>
      <c r="J48" s="13" t="inlineStr">
        <is>
          <t>2606903</t>
        </is>
      </c>
      <c r="K48" s="13" t="inlineStr">
        <is>
          <t>Y</t>
        </is>
      </c>
      <c r="L48" s="15" t="n">
        <v>3530.5</v>
      </c>
      <c r="M48" s="16">
        <f>IF(A48="","",F48+N(L48))</f>
        <v/>
      </c>
      <c r="N48" s="46">
        <f>IFERROR(L48/M48,"")</f>
        <v/>
      </c>
      <c r="O48" s="15" t="n">
        <v>4749.88</v>
      </c>
      <c r="P48" s="15" t="n"/>
      <c r="Q48" s="16">
        <f>IF(A48="","",N(O48)+N(P48))</f>
        <v/>
      </c>
      <c r="R48" s="16">
        <f>IF(A48="","",F48-Q48)</f>
        <v/>
      </c>
      <c r="S48" s="46">
        <f>IFERROR(R48/F48,"")</f>
        <v/>
      </c>
      <c r="T48" s="45" t="n"/>
      <c r="U48" s="45" t="n"/>
      <c r="V48" s="45" t="n">
        <v>4</v>
      </c>
      <c r="W48" s="45" t="n"/>
      <c r="X48" s="45" t="n">
        <v>23</v>
      </c>
      <c r="Y48" s="13" t="n"/>
    </row>
    <row r="49" ht="15" customHeight="1">
      <c r="A49" s="13" t="inlineStr">
        <is>
          <t>26072003</t>
        </is>
      </c>
      <c r="B49" s="14">
        <f>IF(A49="","",IF(COUNTIF(lst_Jobs,A49&amp;"")&gt;0,"OK","CHECK"))</f>
        <v/>
      </c>
      <c r="C49" s="14">
        <f>IF(A49="","",IFERROR(INDEX(lst_JobName,MATCH(A49&amp;"",lst_Jobs,0)),""))</f>
        <v/>
      </c>
      <c r="D49" s="14">
        <f>IF(A49="","",IFERROR(INDEX(tbl_Finance[Client],MATCH(A49&amp;"",tbl_Finance[Job Number],0)),""))</f>
        <v/>
      </c>
      <c r="E49" s="44">
        <f>IF(A49="","",COUNTIFS(tbl_Finance[Job Number],A49&amp;"",tbl_Finance[Ex GST],"&lt;&gt;"))</f>
        <v/>
      </c>
      <c r="F49" s="16">
        <f>IF(A49="","",SUMIFS(tbl_Finance[Ex GST],tbl_Finance[Job Number],A49&amp;""))</f>
        <v/>
      </c>
      <c r="G49" s="14">
        <f>IF(A49="","",IFERROR(INDEX(tbl_Finance[Cost Centre],MATCH(A49&amp;"",tbl_Finance[Job Number],0)),"not invoiced yet"))</f>
        <v/>
      </c>
      <c r="H49" s="11" t="n">
        <v>46265</v>
      </c>
      <c r="I49" s="13" t="inlineStr">
        <is>
          <t>6169</t>
        </is>
      </c>
      <c r="J49" s="13" t="inlineStr">
        <is>
          <t>26072003</t>
        </is>
      </c>
      <c r="K49" s="13" t="inlineStr">
        <is>
          <t>Y</t>
        </is>
      </c>
      <c r="L49" s="15" t="n"/>
      <c r="M49" s="16">
        <f>IF(A49="","",F49+N(L49))</f>
        <v/>
      </c>
      <c r="N49" s="46">
        <f>IFERROR(L49/M49,"")</f>
        <v/>
      </c>
      <c r="O49" s="15" t="n"/>
      <c r="P49" s="15" t="n"/>
      <c r="Q49" s="16">
        <f>IF(A49="","",N(O49)+N(P49))</f>
        <v/>
      </c>
      <c r="R49" s="16">
        <f>IF(A49="","",F49-Q49)</f>
        <v/>
      </c>
      <c r="S49" s="46">
        <f>IFERROR(R49/F49,"")</f>
        <v/>
      </c>
      <c r="T49" s="45" t="n"/>
      <c r="U49" s="45" t="n"/>
      <c r="V49" s="45" t="n"/>
      <c r="W49" s="45" t="n"/>
      <c r="X49" s="45" t="n">
        <v>56</v>
      </c>
      <c r="Y49" s="13" t="n"/>
    </row>
    <row r="50" ht="15" customHeight="1">
      <c r="A50" s="13" t="inlineStr">
        <is>
          <t>26061609/26061608/26061607/26061108</t>
        </is>
      </c>
      <c r="B50" s="14">
        <f>IF(A50="","",IF(COUNTIF(lst_Jobs,A50&amp;"")&gt;0,"OK","CHECK"))</f>
        <v/>
      </c>
      <c r="C50" s="14">
        <f>IF(A50="","",IFERROR(INDEX(lst_JobName,MATCH(A50&amp;"",lst_Jobs,0)),""))</f>
        <v/>
      </c>
      <c r="D50" s="14">
        <f>IF(A50="","",IFERROR(INDEX(tbl_Finance[Client],MATCH(A50&amp;"",tbl_Finance[Job Number],0)),""))</f>
        <v/>
      </c>
      <c r="E50" s="44">
        <f>IF(A50="","",COUNTIFS(tbl_Finance[Job Number],A50&amp;"",tbl_Finance[Ex GST],"&lt;&gt;"))</f>
        <v/>
      </c>
      <c r="F50" s="16">
        <f>IF(A50="","",SUMIFS(tbl_Finance[Ex GST],tbl_Finance[Job Number],A50&amp;""))</f>
        <v/>
      </c>
      <c r="G50" s="14">
        <f>IF(A50="","",IFERROR(INDEX(tbl_Finance[Cost Centre],MATCH(A50&amp;"",tbl_Finance[Job Number],0)),"not invoiced yet"))</f>
        <v/>
      </c>
      <c r="H50" s="11" t="inlineStr">
        <is>
          <t>N/A</t>
        </is>
      </c>
      <c r="I50" s="13" t="inlineStr">
        <is>
          <t>Proj: 0017</t>
        </is>
      </c>
      <c r="J50" s="13" t="inlineStr">
        <is>
          <t>26061609</t>
        </is>
      </c>
      <c r="K50" s="13" t="inlineStr">
        <is>
          <t>Y</t>
        </is>
      </c>
      <c r="L50" s="15" t="n"/>
      <c r="M50" s="16">
        <f>IF(A50="","",F50+N(L50))</f>
        <v/>
      </c>
      <c r="N50" s="46">
        <f>IFERROR(L50/M50,"")</f>
        <v/>
      </c>
      <c r="O50" s="15" t="n"/>
      <c r="P50" s="15" t="n"/>
      <c r="Q50" s="16">
        <f>IF(A50="","",N(O50)+N(P50))</f>
        <v/>
      </c>
      <c r="R50" s="16">
        <f>IF(A50="","",F50-Q50)</f>
        <v/>
      </c>
      <c r="S50" s="46">
        <f>IFERROR(R50/F50,"")</f>
        <v/>
      </c>
      <c r="T50" s="45" t="n"/>
      <c r="U50" s="45" t="n"/>
      <c r="V50" s="45" t="n"/>
      <c r="W50" s="45" t="n"/>
      <c r="X50" s="45" t="n"/>
      <c r="Y50" s="13" t="n"/>
    </row>
    <row r="51" ht="15" customHeight="1">
      <c r="A51" s="13" t="inlineStr">
        <is>
          <t>9100</t>
        </is>
      </c>
      <c r="B51" s="14">
        <f>IF(A51="","",IF(COUNTIF(lst_Jobs,A51&amp;"")&gt;0,"OK","CHECK"))</f>
        <v/>
      </c>
      <c r="C51" s="14">
        <f>IF(A51="","",IFERROR(INDEX(lst_JobName,MATCH(A51&amp;"",lst_Jobs,0)),""))</f>
        <v/>
      </c>
      <c r="D51" s="14">
        <f>IF(A51="","",IFERROR(INDEX(tbl_Finance[Client],MATCH(A51&amp;"",tbl_Finance[Job Number],0)),""))</f>
        <v/>
      </c>
      <c r="E51" s="44">
        <f>IF(A51="","",COUNTIFS(tbl_Finance[Job Number],A51&amp;"",tbl_Finance[Ex GST],"&lt;&gt;"))</f>
        <v/>
      </c>
      <c r="F51" s="16">
        <f>IF(A51="","",SUMIFS(tbl_Finance[Ex GST],tbl_Finance[Job Number],A51&amp;""))</f>
        <v/>
      </c>
      <c r="G51" s="14">
        <f>IF(A51="","",IFERROR(INDEX(tbl_Finance[Cost Centre],MATCH(A51&amp;"",tbl_Finance[Job Number],0)),"not invoiced yet"))</f>
        <v/>
      </c>
      <c r="H51" s="11" t="inlineStr">
        <is>
          <t>N/A</t>
        </is>
      </c>
      <c r="I51" s="13" t="n"/>
      <c r="J51" s="13" t="inlineStr">
        <is>
          <t>N/A</t>
        </is>
      </c>
      <c r="K51" s="13" t="inlineStr">
        <is>
          <t>Y</t>
        </is>
      </c>
      <c r="L51" s="15" t="n"/>
      <c r="M51" s="16">
        <f>IF(A51="","",F51+N(L51))</f>
        <v/>
      </c>
      <c r="N51" s="46">
        <f>IFERROR(L51/M51,"")</f>
        <v/>
      </c>
      <c r="O51" s="15" t="n"/>
      <c r="P51" s="15" t="n"/>
      <c r="Q51" s="16">
        <f>IF(A51="","",N(O51)+N(P51))</f>
        <v/>
      </c>
      <c r="R51" s="16">
        <f>IF(A51="","",F51-Q51)</f>
        <v/>
      </c>
      <c r="S51" s="46">
        <f>IFERROR(R51/F51,"")</f>
        <v/>
      </c>
      <c r="T51" s="45" t="n"/>
      <c r="U51" s="45" t="n"/>
      <c r="V51" s="45" t="n"/>
      <c r="W51" s="45" t="n"/>
      <c r="X51" s="45" t="n"/>
      <c r="Y51" s="13" t="n"/>
    </row>
    <row r="52" ht="15" customHeight="1">
      <c r="A52" s="13" t="inlineStr">
        <is>
          <t>26061602</t>
        </is>
      </c>
      <c r="B52" s="14">
        <f>IF(A52="","",IF(COUNTIF(lst_Jobs,A52&amp;"")&gt;0,"OK","CHECK"))</f>
        <v/>
      </c>
      <c r="C52" s="14">
        <f>IF(A52="","",IFERROR(INDEX(lst_JobName,MATCH(A52&amp;"",lst_Jobs,0)),""))</f>
        <v/>
      </c>
      <c r="D52" s="14">
        <f>IF(A52="","",IFERROR(INDEX(tbl_Finance[Client],MATCH(A52&amp;"",tbl_Finance[Job Number],0)),""))</f>
        <v/>
      </c>
      <c r="E52" s="44">
        <f>IF(A52="","",COUNTIFS(tbl_Finance[Job Number],A52&amp;"",tbl_Finance[Ex GST],"&lt;&gt;"))</f>
        <v/>
      </c>
      <c r="F52" s="16">
        <f>IF(A52="","",SUMIFS(tbl_Finance[Ex GST],tbl_Finance[Job Number],A52&amp;""))</f>
        <v/>
      </c>
      <c r="G52" s="14">
        <f>IF(A52="","",IFERROR(INDEX(tbl_Finance[Cost Centre],MATCH(A52&amp;"",tbl_Finance[Job Number],0)),"not invoiced yet"))</f>
        <v/>
      </c>
      <c r="H52" s="11" t="n">
        <v>46266</v>
      </c>
      <c r="I52" s="13" t="inlineStr">
        <is>
          <t>5849</t>
        </is>
      </c>
      <c r="J52" s="13" t="inlineStr">
        <is>
          <t>26061602</t>
        </is>
      </c>
      <c r="K52" s="13" t="inlineStr">
        <is>
          <t>Y</t>
        </is>
      </c>
      <c r="L52" s="15" t="n">
        <v>261</v>
      </c>
      <c r="M52" s="16">
        <f>IF(A52="","",F52+N(L52))</f>
        <v/>
      </c>
      <c r="N52" s="46">
        <f>IFERROR(L52/M52,"")</f>
        <v/>
      </c>
      <c r="O52" s="15" t="n"/>
      <c r="P52" s="15" t="n"/>
      <c r="Q52" s="16">
        <f>IF(A52="","",N(O52)+N(P52))</f>
        <v/>
      </c>
      <c r="R52" s="16">
        <f>IF(A52="","",F52-Q52)</f>
        <v/>
      </c>
      <c r="S52" s="46">
        <f>IFERROR(R52/F52,"")</f>
        <v/>
      </c>
      <c r="T52" s="45" t="n"/>
      <c r="U52" s="45" t="n">
        <v>9</v>
      </c>
      <c r="V52" s="45" t="n"/>
      <c r="W52" s="45" t="n"/>
      <c r="X52" s="45" t="n">
        <v>16</v>
      </c>
      <c r="Y52" s="13" t="n"/>
    </row>
    <row r="53" ht="15" customHeight="1">
      <c r="A53" s="13" t="inlineStr">
        <is>
          <t>26071701</t>
        </is>
      </c>
      <c r="B53" s="14">
        <f>IF(A53="","",IF(COUNTIF(lst_Jobs,A53&amp;"")&gt;0,"OK","CHECK"))</f>
        <v/>
      </c>
      <c r="C53" s="14">
        <f>IF(A53="","",IFERROR(INDEX(lst_JobName,MATCH(A53&amp;"",lst_Jobs,0)),""))</f>
        <v/>
      </c>
      <c r="D53" s="14">
        <f>IF(A53="","",IFERROR(INDEX(tbl_Finance[Client],MATCH(A53&amp;"",tbl_Finance[Job Number],0)),""))</f>
        <v/>
      </c>
      <c r="E53" s="44">
        <f>IF(A53="","",COUNTIFS(tbl_Finance[Job Number],A53&amp;"",tbl_Finance[Ex GST],"&lt;&gt;"))</f>
        <v/>
      </c>
      <c r="F53" s="16">
        <f>IF(A53="","",SUMIFS(tbl_Finance[Ex GST],tbl_Finance[Job Number],A53&amp;""))</f>
        <v/>
      </c>
      <c r="G53" s="14">
        <f>IF(A53="","",IFERROR(INDEX(tbl_Finance[Cost Centre],MATCH(A53&amp;"",tbl_Finance[Job Number],0)),"not invoiced yet"))</f>
        <v/>
      </c>
      <c r="H53" s="11" t="n">
        <v>46266</v>
      </c>
      <c r="I53" s="13" t="inlineStr">
        <is>
          <t>6143</t>
        </is>
      </c>
      <c r="J53" s="13" t="inlineStr">
        <is>
          <t>26071701</t>
        </is>
      </c>
      <c r="K53" s="13" t="inlineStr">
        <is>
          <t>Y</t>
        </is>
      </c>
      <c r="L53" s="15" t="n">
        <v>180</v>
      </c>
      <c r="M53" s="16">
        <f>IF(A53="","",F53+N(L53))</f>
        <v/>
      </c>
      <c r="N53" s="46">
        <f>IFERROR(L53/M53,"")</f>
        <v/>
      </c>
      <c r="O53" s="15" t="n"/>
      <c r="P53" s="15" t="n"/>
      <c r="Q53" s="16">
        <f>IF(A53="","",N(O53)+N(P53))</f>
        <v/>
      </c>
      <c r="R53" s="16">
        <f>IF(A53="","",F53-Q53)</f>
        <v/>
      </c>
      <c r="S53" s="46">
        <f>IFERROR(R53/F53,"")</f>
        <v/>
      </c>
      <c r="T53" s="45" t="n">
        <v>4</v>
      </c>
      <c r="U53" s="45" t="n"/>
      <c r="V53" s="45" t="n"/>
      <c r="W53" s="45" t="n"/>
      <c r="X53" s="45" t="n">
        <v>31</v>
      </c>
      <c r="Y53" s="13" t="n"/>
    </row>
    <row r="54" ht="15" customHeight="1">
      <c r="A54" s="13" t="inlineStr">
        <is>
          <t>2608404</t>
        </is>
      </c>
      <c r="B54" s="14">
        <f>IF(A54="","",IF(COUNTIF(lst_Jobs,A54&amp;"")&gt;0,"OK","CHECK"))</f>
        <v/>
      </c>
      <c r="C54" s="14">
        <f>IF(A54="","",IFERROR(INDEX(lst_JobName,MATCH(A54&amp;"",lst_Jobs,0)),""))</f>
        <v/>
      </c>
      <c r="D54" s="14">
        <f>IF(A54="","",IFERROR(INDEX(tbl_Finance[Client],MATCH(A54&amp;"",tbl_Finance[Job Number],0)),""))</f>
        <v/>
      </c>
      <c r="E54" s="44">
        <f>IF(A54="","",COUNTIFS(tbl_Finance[Job Number],A54&amp;"",tbl_Finance[Ex GST],"&lt;&gt;"))</f>
        <v/>
      </c>
      <c r="F54" s="16">
        <f>IF(A54="","",SUMIFS(tbl_Finance[Ex GST],tbl_Finance[Job Number],A54&amp;""))</f>
        <v/>
      </c>
      <c r="G54" s="14">
        <f>IF(A54="","",IFERROR(INDEX(tbl_Finance[Cost Centre],MATCH(A54&amp;"",tbl_Finance[Job Number],0)),"not invoiced yet"))</f>
        <v/>
      </c>
      <c r="H54" s="11" t="n">
        <v>46267</v>
      </c>
      <c r="I54" s="13" t="inlineStr">
        <is>
          <t>6115</t>
        </is>
      </c>
      <c r="J54" s="13" t="inlineStr">
        <is>
          <t>2608404</t>
        </is>
      </c>
      <c r="K54" s="13" t="inlineStr">
        <is>
          <t>Y</t>
        </is>
      </c>
      <c r="L54" s="15" t="n"/>
      <c r="M54" s="16">
        <f>IF(A54="","",F54+N(L54))</f>
        <v/>
      </c>
      <c r="N54" s="46">
        <f>IFERROR(L54/M54,"")</f>
        <v/>
      </c>
      <c r="O54" s="15" t="n"/>
      <c r="P54" s="15" t="n"/>
      <c r="Q54" s="16">
        <f>IF(A54="","",N(O54)+N(P54))</f>
        <v/>
      </c>
      <c r="R54" s="16">
        <f>IF(A54="","",F54-Q54)</f>
        <v/>
      </c>
      <c r="S54" s="46">
        <f>IFERROR(R54/F54,"")</f>
        <v/>
      </c>
      <c r="T54" s="45" t="n"/>
      <c r="U54" s="45" t="n">
        <v>1</v>
      </c>
      <c r="V54" s="45" t="n">
        <v>1</v>
      </c>
      <c r="W54" s="45" t="n"/>
      <c r="X54" s="45" t="n">
        <v>4</v>
      </c>
      <c r="Y54" s="13" t="n"/>
    </row>
    <row r="55" ht="15" customHeight="1">
      <c r="A55" s="13" t="inlineStr">
        <is>
          <t>26081904</t>
        </is>
      </c>
      <c r="B55" s="14">
        <f>IF(A55="","",IF(COUNTIF(lst_Jobs,A55&amp;"")&gt;0,"OK","CHECK"))</f>
        <v/>
      </c>
      <c r="C55" s="14">
        <f>IF(A55="","",IFERROR(INDEX(lst_JobName,MATCH(A55&amp;"",lst_Jobs,0)),""))</f>
        <v/>
      </c>
      <c r="D55" s="14">
        <f>IF(A55="","",IFERROR(INDEX(tbl_Finance[Client],MATCH(A55&amp;"",tbl_Finance[Job Number],0)),""))</f>
        <v/>
      </c>
      <c r="E55" s="44">
        <f>IF(A55="","",COUNTIFS(tbl_Finance[Job Number],A55&amp;"",tbl_Finance[Ex GST],"&lt;&gt;"))</f>
        <v/>
      </c>
      <c r="F55" s="16">
        <f>IF(A55="","",SUMIFS(tbl_Finance[Ex GST],tbl_Finance[Job Number],A55&amp;""))</f>
        <v/>
      </c>
      <c r="G55" s="14">
        <f>IF(A55="","",IFERROR(INDEX(tbl_Finance[Cost Centre],MATCH(A55&amp;"",tbl_Finance[Job Number],0)),"not invoiced yet"))</f>
        <v/>
      </c>
      <c r="H55" s="11" t="n">
        <v>46267</v>
      </c>
      <c r="I55" s="13" t="inlineStr">
        <is>
          <t>6160</t>
        </is>
      </c>
      <c r="J55" s="13" t="inlineStr">
        <is>
          <t>26081904</t>
        </is>
      </c>
      <c r="K55" s="13" t="inlineStr">
        <is>
          <t>Y</t>
        </is>
      </c>
      <c r="L55" s="15" t="n">
        <v>90</v>
      </c>
      <c r="M55" s="16">
        <f>IF(A55="","",F55+N(L55))</f>
        <v/>
      </c>
      <c r="N55" s="46">
        <f>IFERROR(L55/M55,"")</f>
        <v/>
      </c>
      <c r="O55" s="15" t="n"/>
      <c r="P55" s="15" t="n"/>
      <c r="Q55" s="16">
        <f>IF(A55="","",N(O55)+N(P55))</f>
        <v/>
      </c>
      <c r="R55" s="16">
        <f>IF(A55="","",F55-Q55)</f>
        <v/>
      </c>
      <c r="S55" s="46">
        <f>IFERROR(R55/F55,"")</f>
        <v/>
      </c>
      <c r="T55" s="45" t="n"/>
      <c r="U55" s="45" t="n">
        <v>1</v>
      </c>
      <c r="V55" s="45" t="n">
        <v>1</v>
      </c>
      <c r="W55" s="45" t="n"/>
      <c r="X55" s="45" t="n">
        <v>5</v>
      </c>
      <c r="Y55" s="13" t="n"/>
    </row>
    <row r="56" ht="15" customHeight="1">
      <c r="A56" s="13" t="inlineStr">
        <is>
          <t>26032302</t>
        </is>
      </c>
      <c r="B56" s="14">
        <f>IF(A56="","",IF(COUNTIF(lst_Jobs,A56&amp;"")&gt;0,"OK","CHECK"))</f>
        <v/>
      </c>
      <c r="C56" s="14">
        <f>IF(A56="","",IFERROR(INDEX(lst_JobName,MATCH(A56&amp;"",lst_Jobs,0)),""))</f>
        <v/>
      </c>
      <c r="D56" s="14">
        <f>IF(A56="","",IFERROR(INDEX(tbl_Finance[Client],MATCH(A56&amp;"",tbl_Finance[Job Number],0)),""))</f>
        <v/>
      </c>
      <c r="E56" s="44">
        <f>IF(A56="","",COUNTIFS(tbl_Finance[Job Number],A56&amp;"",tbl_Finance[Ex GST],"&lt;&gt;"))</f>
        <v/>
      </c>
      <c r="F56" s="16">
        <f>IF(A56="","",SUMIFS(tbl_Finance[Ex GST],tbl_Finance[Job Number],A56&amp;""))</f>
        <v/>
      </c>
      <c r="G56" s="14">
        <f>IF(A56="","",IFERROR(INDEX(tbl_Finance[Cost Centre],MATCH(A56&amp;"",tbl_Finance[Job Number],0)),"not invoiced yet"))</f>
        <v/>
      </c>
      <c r="H56" s="11" t="n">
        <v>46267</v>
      </c>
      <c r="I56" s="13" t="inlineStr">
        <is>
          <t>5925</t>
        </is>
      </c>
      <c r="J56" s="13" t="inlineStr">
        <is>
          <t>26032302</t>
        </is>
      </c>
      <c r="K56" s="13" t="inlineStr">
        <is>
          <t>Y</t>
        </is>
      </c>
      <c r="L56" s="15" t="n">
        <v>334</v>
      </c>
      <c r="M56" s="16">
        <f>IF(A56="","",F56+N(L56))</f>
        <v/>
      </c>
      <c r="N56" s="46">
        <f>IFERROR(L56/M56,"")</f>
        <v/>
      </c>
      <c r="O56" s="15" t="n"/>
      <c r="P56" s="15" t="n"/>
      <c r="Q56" s="16">
        <f>IF(A56="","",N(O56)+N(P56))</f>
        <v/>
      </c>
      <c r="R56" s="16">
        <f>IF(A56="","",F56-Q56)</f>
        <v/>
      </c>
      <c r="S56" s="46">
        <f>IFERROR(R56/F56,"")</f>
        <v/>
      </c>
      <c r="T56" s="45" t="n">
        <v>4</v>
      </c>
      <c r="U56" s="45" t="n"/>
      <c r="V56" s="45" t="n"/>
      <c r="W56" s="45" t="n"/>
      <c r="X56" s="45" t="n">
        <v>12</v>
      </c>
      <c r="Y56" s="13" t="n"/>
    </row>
    <row r="57" ht="15" customHeight="1">
      <c r="A57" s="13" t="inlineStr">
        <is>
          <t>26072102</t>
        </is>
      </c>
      <c r="B57" s="14">
        <f>IF(A57="","",IF(COUNTIF(lst_Jobs,A57&amp;"")&gt;0,"OK","CHECK"))</f>
        <v/>
      </c>
      <c r="C57" s="14">
        <f>IF(A57="","",IFERROR(INDEX(lst_JobName,MATCH(A57&amp;"",lst_Jobs,0)),""))</f>
        <v/>
      </c>
      <c r="D57" s="14">
        <f>IF(A57="","",IFERROR(INDEX(tbl_Finance[Client],MATCH(A57&amp;"",tbl_Finance[Job Number],0)),""))</f>
        <v/>
      </c>
      <c r="E57" s="44">
        <f>IF(A57="","",COUNTIFS(tbl_Finance[Job Number],A57&amp;"",tbl_Finance[Ex GST],"&lt;&gt;"))</f>
        <v/>
      </c>
      <c r="F57" s="16">
        <f>IF(A57="","",SUMIFS(tbl_Finance[Ex GST],tbl_Finance[Job Number],A57&amp;""))</f>
        <v/>
      </c>
      <c r="G57" s="14">
        <f>IF(A57="","",IFERROR(INDEX(tbl_Finance[Cost Centre],MATCH(A57&amp;"",tbl_Finance[Job Number],0)),"not invoiced yet"))</f>
        <v/>
      </c>
      <c r="H57" s="11" t="n">
        <v>46275</v>
      </c>
      <c r="I57" s="13" t="inlineStr">
        <is>
          <t>6122</t>
        </is>
      </c>
      <c r="J57" s="13" t="inlineStr">
        <is>
          <t>26072102</t>
        </is>
      </c>
      <c r="K57" s="13" t="inlineStr">
        <is>
          <t>Y</t>
        </is>
      </c>
      <c r="L57" s="15" t="n">
        <v>2005.65</v>
      </c>
      <c r="M57" s="16">
        <f>IF(A57="","",F57+N(L57))</f>
        <v/>
      </c>
      <c r="N57" s="46">
        <f>IFERROR(L57/M57,"")</f>
        <v/>
      </c>
      <c r="O57" s="15" t="n"/>
      <c r="P57" s="15" t="n"/>
      <c r="Q57" s="16">
        <f>IF(A57="","",N(O57)+N(P57))</f>
        <v/>
      </c>
      <c r="R57" s="16">
        <f>IF(A57="","",F57-Q57)</f>
        <v/>
      </c>
      <c r="S57" s="46">
        <f>IFERROR(R57/F57,"")</f>
        <v/>
      </c>
      <c r="T57" s="45" t="n">
        <v>4</v>
      </c>
      <c r="U57" s="45" t="n"/>
      <c r="V57" s="45" t="n"/>
      <c r="W57" s="45" t="n"/>
      <c r="X57" s="45" t="n">
        <v>28</v>
      </c>
      <c r="Y57" s="13" t="n"/>
    </row>
    <row r="58" ht="15" customHeight="1">
      <c r="A58" s="13" t="inlineStr">
        <is>
          <t>26082703</t>
        </is>
      </c>
      <c r="B58" s="14">
        <f>IF(A58="","",IF(COUNTIF(lst_Jobs,A58&amp;"")&gt;0,"OK","CHECK"))</f>
        <v/>
      </c>
      <c r="C58" s="14">
        <f>IF(A58="","",IFERROR(INDEX(lst_JobName,MATCH(A58&amp;"",lst_Jobs,0)),""))</f>
        <v/>
      </c>
      <c r="D58" s="14">
        <f>IF(A58="","",IFERROR(INDEX(tbl_Finance[Client],MATCH(A58&amp;"",tbl_Finance[Job Number],0)),""))</f>
        <v/>
      </c>
      <c r="E58" s="44">
        <f>IF(A58="","",COUNTIFS(tbl_Finance[Job Number],A58&amp;"",tbl_Finance[Ex GST],"&lt;&gt;"))</f>
        <v/>
      </c>
      <c r="F58" s="16">
        <f>IF(A58="","",SUMIFS(tbl_Finance[Ex GST],tbl_Finance[Job Number],A58&amp;""))</f>
        <v/>
      </c>
      <c r="G58" s="14">
        <f>IF(A58="","",IFERROR(INDEX(tbl_Finance[Cost Centre],MATCH(A58&amp;"",tbl_Finance[Job Number],0)),"not invoiced yet"))</f>
        <v/>
      </c>
      <c r="H58" s="11" t="n">
        <v>46275</v>
      </c>
      <c r="I58" s="13" t="inlineStr">
        <is>
          <t>6168</t>
        </is>
      </c>
      <c r="J58" s="13" t="inlineStr">
        <is>
          <t>26082703</t>
        </is>
      </c>
      <c r="K58" s="13" t="inlineStr">
        <is>
          <t>Y</t>
        </is>
      </c>
      <c r="L58" s="15" t="n"/>
      <c r="M58" s="16">
        <f>IF(A58="","",F58+N(L58))</f>
        <v/>
      </c>
      <c r="N58" s="46">
        <f>IFERROR(L58/M58,"")</f>
        <v/>
      </c>
      <c r="O58" s="15" t="n"/>
      <c r="P58" s="15" t="n"/>
      <c r="Q58" s="16">
        <f>IF(A58="","",N(O58)+N(P58))</f>
        <v/>
      </c>
      <c r="R58" s="16">
        <f>IF(A58="","",F58-Q58)</f>
        <v/>
      </c>
      <c r="S58" s="46">
        <f>IFERROR(R58/F58,"")</f>
        <v/>
      </c>
      <c r="T58" s="45" t="n"/>
      <c r="U58" s="45" t="n"/>
      <c r="V58" s="45" t="n"/>
      <c r="W58" s="45" t="n"/>
      <c r="X58" s="45" t="n">
        <v>6</v>
      </c>
      <c r="Y58" s="13" t="n"/>
    </row>
    <row r="59" ht="15" customHeight="1">
      <c r="A59" s="13" t="inlineStr">
        <is>
          <t>2608701</t>
        </is>
      </c>
      <c r="B59" s="14">
        <f>IF(A59="","",IF(COUNTIF(lst_Jobs,A59&amp;"")&gt;0,"OK","CHECK"))</f>
        <v/>
      </c>
      <c r="C59" s="14">
        <f>IF(A59="","",IFERROR(INDEX(lst_JobName,MATCH(A59&amp;"",lst_Jobs,0)),""))</f>
        <v/>
      </c>
      <c r="D59" s="14">
        <f>IF(A59="","",IFERROR(INDEX(tbl_Finance[Client],MATCH(A59&amp;"",tbl_Finance[Job Number],0)),""))</f>
        <v/>
      </c>
      <c r="E59" s="44">
        <f>IF(A59="","",COUNTIFS(tbl_Finance[Job Number],A59&amp;"",tbl_Finance[Ex GST],"&lt;&gt;"))</f>
        <v/>
      </c>
      <c r="F59" s="16">
        <f>IF(A59="","",SUMIFS(tbl_Finance[Ex GST],tbl_Finance[Job Number],A59&amp;""))</f>
        <v/>
      </c>
      <c r="G59" s="14">
        <f>IF(A59="","",IFERROR(INDEX(tbl_Finance[Cost Centre],MATCH(A59&amp;"",tbl_Finance[Job Number],0)),"not invoiced yet"))</f>
        <v/>
      </c>
      <c r="H59" s="11" t="n">
        <v>46275</v>
      </c>
      <c r="I59" s="13" t="inlineStr">
        <is>
          <t>6148</t>
        </is>
      </c>
      <c r="J59" s="13" t="inlineStr">
        <is>
          <t>2608701</t>
        </is>
      </c>
      <c r="K59" s="13" t="inlineStr">
        <is>
          <t>Y</t>
        </is>
      </c>
      <c r="L59" s="15" t="n"/>
      <c r="M59" s="16">
        <f>IF(A59="","",F59+N(L59))</f>
        <v/>
      </c>
      <c r="N59" s="46">
        <f>IFERROR(L59/M59,"")</f>
        <v/>
      </c>
      <c r="O59" s="15" t="n"/>
      <c r="P59" s="15" t="n"/>
      <c r="Q59" s="16">
        <f>IF(A59="","",N(O59)+N(P59))</f>
        <v/>
      </c>
      <c r="R59" s="16">
        <f>IF(A59="","",F59-Q59)</f>
        <v/>
      </c>
      <c r="S59" s="46">
        <f>IFERROR(R59/F59,"")</f>
        <v/>
      </c>
      <c r="T59" s="45" t="n"/>
      <c r="U59" s="45" t="n"/>
      <c r="V59" s="45" t="n"/>
      <c r="W59" s="45" t="n"/>
      <c r="X59" s="45" t="n">
        <v>4</v>
      </c>
      <c r="Y59" s="13" t="n"/>
    </row>
    <row r="60" ht="15" customHeight="1">
      <c r="A60" s="13" t="inlineStr">
        <is>
          <t>2609801</t>
        </is>
      </c>
      <c r="B60" s="14">
        <f>IF(A60="","",IF(COUNTIF(lst_Jobs,A60&amp;"")&gt;0,"OK","CHECK"))</f>
        <v/>
      </c>
      <c r="C60" s="14">
        <f>IF(A60="","",IFERROR(INDEX(lst_JobName,MATCH(A60&amp;"",lst_Jobs,0)),""))</f>
        <v/>
      </c>
      <c r="D60" s="14">
        <f>IF(A60="","",IFERROR(INDEX(tbl_Finance[Client],MATCH(A60&amp;"",tbl_Finance[Job Number],0)),""))</f>
        <v/>
      </c>
      <c r="E60" s="44">
        <f>IF(A60="","",COUNTIFS(tbl_Finance[Job Number],A60&amp;"",tbl_Finance[Ex GST],"&lt;&gt;"))</f>
        <v/>
      </c>
      <c r="F60" s="16">
        <f>IF(A60="","",SUMIFS(tbl_Finance[Ex GST],tbl_Finance[Job Number],A60&amp;""))</f>
        <v/>
      </c>
      <c r="G60" s="14">
        <f>IF(A60="","",IFERROR(INDEX(tbl_Finance[Cost Centre],MATCH(A60&amp;"",tbl_Finance[Job Number],0)),"not invoiced yet"))</f>
        <v/>
      </c>
      <c r="H60" s="11" t="n">
        <v>46281</v>
      </c>
      <c r="I60" s="13" t="inlineStr">
        <is>
          <t>6175</t>
        </is>
      </c>
      <c r="J60" s="13" t="inlineStr">
        <is>
          <t>2609801</t>
        </is>
      </c>
      <c r="K60" s="13" t="inlineStr">
        <is>
          <t>Y</t>
        </is>
      </c>
      <c r="L60" s="15" t="n"/>
      <c r="M60" s="16">
        <f>IF(A60="","",F60+N(L60))</f>
        <v/>
      </c>
      <c r="N60" s="46">
        <f>IFERROR(L60/M60,"")</f>
        <v/>
      </c>
      <c r="O60" s="15" t="n"/>
      <c r="P60" s="15" t="n"/>
      <c r="Q60" s="16">
        <f>IF(A60="","",N(O60)+N(P60))</f>
        <v/>
      </c>
      <c r="R60" s="16">
        <f>IF(A60="","",F60-Q60)</f>
        <v/>
      </c>
      <c r="S60" s="46">
        <f>IFERROR(R60/F60,"")</f>
        <v/>
      </c>
      <c r="T60" s="45" t="n"/>
      <c r="U60" s="45" t="n"/>
      <c r="V60" s="45" t="n"/>
      <c r="W60" s="45" t="n"/>
      <c r="X60" s="45" t="n">
        <v>4</v>
      </c>
      <c r="Y60" s="13" t="n"/>
    </row>
    <row r="61" ht="15" customHeight="1">
      <c r="A61" s="13" t="inlineStr">
        <is>
          <t>26082502</t>
        </is>
      </c>
      <c r="B61" s="14">
        <f>IF(A61="","",IF(COUNTIF(lst_Jobs,A61&amp;"")&gt;0,"OK","CHECK"))</f>
        <v/>
      </c>
      <c r="C61" s="14">
        <f>IF(A61="","",IFERROR(INDEX(lst_JobName,MATCH(A61&amp;"",lst_Jobs,0)),""))</f>
        <v/>
      </c>
      <c r="D61" s="14">
        <f>IF(A61="","",IFERROR(INDEX(tbl_Finance[Client],MATCH(A61&amp;"",tbl_Finance[Job Number],0)),""))</f>
        <v/>
      </c>
      <c r="E61" s="44">
        <f>IF(A61="","",COUNTIFS(tbl_Finance[Job Number],A61&amp;"",tbl_Finance[Ex GST],"&lt;&gt;"))</f>
        <v/>
      </c>
      <c r="F61" s="16">
        <f>IF(A61="","",SUMIFS(tbl_Finance[Ex GST],tbl_Finance[Job Number],A61&amp;""))</f>
        <v/>
      </c>
      <c r="G61" s="14">
        <f>IF(A61="","",IFERROR(INDEX(tbl_Finance[Cost Centre],MATCH(A61&amp;"",tbl_Finance[Job Number],0)),"not invoiced yet"))</f>
        <v/>
      </c>
      <c r="H61" s="11" t="n">
        <v>46271</v>
      </c>
      <c r="I61" s="13" t="inlineStr">
        <is>
          <t>6186</t>
        </is>
      </c>
      <c r="J61" s="13" t="inlineStr">
        <is>
          <t>26082502</t>
        </is>
      </c>
      <c r="K61" s="13" t="inlineStr">
        <is>
          <t>Y</t>
        </is>
      </c>
      <c r="L61" s="15" t="n"/>
      <c r="M61" s="16">
        <f>IF(A61="","",F61+N(L61))</f>
        <v/>
      </c>
      <c r="N61" s="46">
        <f>IFERROR(L61/M61,"")</f>
        <v/>
      </c>
      <c r="O61" s="15" t="n"/>
      <c r="P61" s="15" t="n"/>
      <c r="Q61" s="16">
        <f>IF(A61="","",N(O61)+N(P61))</f>
        <v/>
      </c>
      <c r="R61" s="16">
        <f>IF(A61="","",F61-Q61)</f>
        <v/>
      </c>
      <c r="S61" s="46">
        <f>IFERROR(R61/F61,"")</f>
        <v/>
      </c>
      <c r="T61" s="45" t="n"/>
      <c r="U61" s="45" t="n"/>
      <c r="V61" s="45" t="n"/>
      <c r="W61" s="45" t="n"/>
      <c r="X61" s="45" t="n">
        <v>55</v>
      </c>
      <c r="Y61" s="13" t="n"/>
    </row>
    <row r="62" ht="15" customHeight="1">
      <c r="A62" s="13" t="inlineStr">
        <is>
          <t>26082503</t>
        </is>
      </c>
      <c r="B62" s="14">
        <f>IF(A62="","",IF(COUNTIF(lst_Jobs,A62&amp;"")&gt;0,"OK","CHECK"))</f>
        <v/>
      </c>
      <c r="C62" s="14">
        <f>IF(A62="","",IFERROR(INDEX(lst_JobName,MATCH(A62&amp;"",lst_Jobs,0)),""))</f>
        <v/>
      </c>
      <c r="D62" s="14">
        <f>IF(A62="","",IFERROR(INDEX(tbl_Finance[Client],MATCH(A62&amp;"",tbl_Finance[Job Number],0)),""))</f>
        <v/>
      </c>
      <c r="E62" s="44">
        <f>IF(A62="","",COUNTIFS(tbl_Finance[Job Number],A62&amp;"",tbl_Finance[Ex GST],"&lt;&gt;"))</f>
        <v/>
      </c>
      <c r="F62" s="16">
        <f>IF(A62="","",SUMIFS(tbl_Finance[Ex GST],tbl_Finance[Job Number],A62&amp;""))</f>
        <v/>
      </c>
      <c r="G62" s="14">
        <f>IF(A62="","",IFERROR(INDEX(tbl_Finance[Cost Centre],MATCH(A62&amp;"",tbl_Finance[Job Number],0)),"not invoiced yet"))</f>
        <v/>
      </c>
      <c r="H62" s="11" t="n">
        <v>46279</v>
      </c>
      <c r="I62" s="13" t="inlineStr">
        <is>
          <t>6187</t>
        </is>
      </c>
      <c r="J62" s="13" t="inlineStr">
        <is>
          <t>26082502</t>
        </is>
      </c>
      <c r="K62" s="13" t="inlineStr">
        <is>
          <t>Y</t>
        </is>
      </c>
      <c r="L62" s="15" t="n"/>
      <c r="M62" s="16">
        <f>IF(A62="","",F62+N(L62))</f>
        <v/>
      </c>
      <c r="N62" s="46">
        <f>IFERROR(L62/M62,"")</f>
        <v/>
      </c>
      <c r="O62" s="15" t="n"/>
      <c r="P62" s="15" t="n"/>
      <c r="Q62" s="16">
        <f>IF(A62="","",N(O62)+N(P62))</f>
        <v/>
      </c>
      <c r="R62" s="16">
        <f>IF(A62="","",F62-Q62)</f>
        <v/>
      </c>
      <c r="S62" s="46">
        <f>IFERROR(R62/F62,"")</f>
        <v/>
      </c>
      <c r="T62" s="45" t="n"/>
      <c r="U62" s="45" t="n"/>
      <c r="V62" s="45" t="n"/>
      <c r="W62" s="45" t="n"/>
      <c r="X62" s="45" t="n">
        <v>10.5</v>
      </c>
      <c r="Y62" s="13" t="n"/>
    </row>
    <row r="63" ht="15" customHeight="1">
      <c r="A63" s="13" t="n"/>
      <c r="B63" s="14">
        <f>IF(A63="","",IF(COUNTIF(lst_Jobs,A63&amp;"")&gt;0,"OK","CHECK"))</f>
        <v/>
      </c>
      <c r="C63" s="14">
        <f>IF(A63="","",IFERROR(INDEX(lst_JobName,MATCH(A63&amp;"",lst_Jobs,0)),""))</f>
        <v/>
      </c>
      <c r="D63" s="14">
        <f>IF(A63="","",IFERROR(INDEX(tbl_Finance[Client],MATCH(A63&amp;"",tbl_Finance[Job Number],0)),""))</f>
        <v/>
      </c>
      <c r="E63" s="44">
        <f>IF(A63="","",COUNTIFS(tbl_Finance[Job Number],A63&amp;"",tbl_Finance[Ex GST],"&lt;&gt;"))</f>
        <v/>
      </c>
      <c r="F63" s="16">
        <f>IF(A63="","",SUMIFS(tbl_Finance[Ex GST],tbl_Finance[Job Number],A63&amp;""))</f>
        <v/>
      </c>
      <c r="G63" s="14">
        <f>IF(A63="","",IFERROR(INDEX(tbl_Finance[Cost Centre],MATCH(A63&amp;"",tbl_Finance[Job Number],0)),"not invoiced yet"))</f>
        <v/>
      </c>
      <c r="H63" s="11" t="n"/>
      <c r="I63" s="13" t="n"/>
      <c r="J63" s="13" t="n"/>
      <c r="K63" s="13" t="n"/>
      <c r="L63" s="15" t="n"/>
      <c r="M63" s="16">
        <f>IF(A63="","",F63+N(L63))</f>
        <v/>
      </c>
      <c r="N63" s="46">
        <f>IFERROR(L63/M63,"")</f>
        <v/>
      </c>
      <c r="O63" s="15" t="n"/>
      <c r="P63" s="15" t="n"/>
      <c r="Q63" s="16">
        <f>IF(A63="","",N(O63)+N(P63))</f>
        <v/>
      </c>
      <c r="R63" s="16">
        <f>IF(A63="","",F63-Q63)</f>
        <v/>
      </c>
      <c r="S63" s="46">
        <f>IFERROR(R63/F63,"")</f>
        <v/>
      </c>
      <c r="T63" s="45" t="n"/>
      <c r="U63" s="45" t="n"/>
      <c r="V63" s="45" t="n"/>
      <c r="W63" s="45" t="n"/>
      <c r="X63" s="45" t="n"/>
      <c r="Y63" s="13" t="n"/>
    </row>
    <row r="64" ht="15" customHeight="1">
      <c r="A64" s="13" t="n"/>
      <c r="B64" s="14">
        <f>IF(A64="","",IF(COUNTIF(lst_Jobs,A64&amp;"")&gt;0,"OK","CHECK"))</f>
        <v/>
      </c>
      <c r="C64" s="14">
        <f>IF(A64="","",IFERROR(INDEX(lst_JobName,MATCH(A64&amp;"",lst_Jobs,0)),""))</f>
        <v/>
      </c>
      <c r="D64" s="14">
        <f>IF(A64="","",IFERROR(INDEX(tbl_Finance[Client],MATCH(A64&amp;"",tbl_Finance[Job Number],0)),""))</f>
        <v/>
      </c>
      <c r="E64" s="44">
        <f>IF(A64="","",COUNTIFS(tbl_Finance[Job Number],A64&amp;"",tbl_Finance[Ex GST],"&lt;&gt;"))</f>
        <v/>
      </c>
      <c r="F64" s="16">
        <f>IF(A64="","",SUMIFS(tbl_Finance[Ex GST],tbl_Finance[Job Number],A64&amp;""))</f>
        <v/>
      </c>
      <c r="G64" s="14">
        <f>IF(A64="","",IFERROR(INDEX(tbl_Finance[Cost Centre],MATCH(A64&amp;"",tbl_Finance[Job Number],0)),"not invoiced yet"))</f>
        <v/>
      </c>
      <c r="H64" s="11" t="n"/>
      <c r="I64" s="13" t="n"/>
      <c r="J64" s="13" t="n"/>
      <c r="K64" s="13" t="n"/>
      <c r="L64" s="15" t="n"/>
      <c r="M64" s="16">
        <f>IF(A64="","",F64+N(L64))</f>
        <v/>
      </c>
      <c r="N64" s="46">
        <f>IFERROR(L64/M64,"")</f>
        <v/>
      </c>
      <c r="O64" s="15" t="n"/>
      <c r="P64" s="15" t="n"/>
      <c r="Q64" s="16">
        <f>IF(A64="","",N(O64)+N(P64))</f>
        <v/>
      </c>
      <c r="R64" s="16">
        <f>IF(A64="","",F64-Q64)</f>
        <v/>
      </c>
      <c r="S64" s="46">
        <f>IFERROR(R64/F64,"")</f>
        <v/>
      </c>
      <c r="T64" s="45" t="n"/>
      <c r="U64" s="45" t="n"/>
      <c r="V64" s="45" t="n"/>
      <c r="W64" s="45" t="n"/>
      <c r="X64" s="45" t="n"/>
      <c r="Y64" s="13" t="n"/>
    </row>
    <row r="65" ht="15" customHeight="1">
      <c r="A65" s="13" t="n"/>
      <c r="B65" s="14">
        <f>IF(A65="","",IF(COUNTIF(lst_Jobs,A65&amp;"")&gt;0,"OK","CHECK"))</f>
        <v/>
      </c>
      <c r="C65" s="14">
        <f>IF(A65="","",IFERROR(INDEX(lst_JobName,MATCH(A65&amp;"",lst_Jobs,0)),""))</f>
        <v/>
      </c>
      <c r="D65" s="14">
        <f>IF(A65="","",IFERROR(INDEX(tbl_Finance[Client],MATCH(A65&amp;"",tbl_Finance[Job Number],0)),""))</f>
        <v/>
      </c>
      <c r="E65" s="44">
        <f>IF(A65="","",COUNTIFS(tbl_Finance[Job Number],A65&amp;"",tbl_Finance[Ex GST],"&lt;&gt;"))</f>
        <v/>
      </c>
      <c r="F65" s="16">
        <f>IF(A65="","",SUMIFS(tbl_Finance[Ex GST],tbl_Finance[Job Number],A65&amp;""))</f>
        <v/>
      </c>
      <c r="G65" s="14">
        <f>IF(A65="","",IFERROR(INDEX(tbl_Finance[Cost Centre],MATCH(A65&amp;"",tbl_Finance[Job Number],0)),"not invoiced yet"))</f>
        <v/>
      </c>
      <c r="H65" s="11" t="n"/>
      <c r="I65" s="13" t="n"/>
      <c r="J65" s="13" t="n"/>
      <c r="K65" s="13" t="n"/>
      <c r="L65" s="15" t="n"/>
      <c r="M65" s="16">
        <f>IF(A65="","",F65+N(L65))</f>
        <v/>
      </c>
      <c r="N65" s="46">
        <f>IFERROR(L65/M65,"")</f>
        <v/>
      </c>
      <c r="O65" s="15" t="n"/>
      <c r="P65" s="15" t="n"/>
      <c r="Q65" s="16">
        <f>IF(A65="","",N(O65)+N(P65))</f>
        <v/>
      </c>
      <c r="R65" s="16">
        <f>IF(A65="","",F65-Q65)</f>
        <v/>
      </c>
      <c r="S65" s="46">
        <f>IFERROR(R65/F65,"")</f>
        <v/>
      </c>
      <c r="T65" s="45" t="n"/>
      <c r="U65" s="45" t="n"/>
      <c r="V65" s="45" t="n"/>
      <c r="W65" s="45" t="n"/>
      <c r="X65" s="45" t="n"/>
      <c r="Y65" s="13" t="n"/>
    </row>
    <row r="66" ht="15" customHeight="1">
      <c r="A66" s="13" t="n"/>
      <c r="B66" s="14">
        <f>IF(A66="","",IF(COUNTIF(lst_Jobs,A66&amp;"")&gt;0,"OK","CHECK"))</f>
        <v/>
      </c>
      <c r="C66" s="14">
        <f>IF(A66="","",IFERROR(INDEX(lst_JobName,MATCH(A66&amp;"",lst_Jobs,0)),""))</f>
        <v/>
      </c>
      <c r="D66" s="14">
        <f>IF(A66="","",IFERROR(INDEX(tbl_Finance[Client],MATCH(A66&amp;"",tbl_Finance[Job Number],0)),""))</f>
        <v/>
      </c>
      <c r="E66" s="44">
        <f>IF(A66="","",COUNTIFS(tbl_Finance[Job Number],A66&amp;"",tbl_Finance[Ex GST],"&lt;&gt;"))</f>
        <v/>
      </c>
      <c r="F66" s="16">
        <f>IF(A66="","",SUMIFS(tbl_Finance[Ex GST],tbl_Finance[Job Number],A66&amp;""))</f>
        <v/>
      </c>
      <c r="G66" s="14">
        <f>IF(A66="","",IFERROR(INDEX(tbl_Finance[Cost Centre],MATCH(A66&amp;"",tbl_Finance[Job Number],0)),"not invoiced yet"))</f>
        <v/>
      </c>
      <c r="H66" s="11" t="n"/>
      <c r="I66" s="13" t="n"/>
      <c r="J66" s="13" t="n"/>
      <c r="K66" s="13" t="n"/>
      <c r="L66" s="15" t="n"/>
      <c r="M66" s="16">
        <f>IF(A66="","",F66+N(L66))</f>
        <v/>
      </c>
      <c r="N66" s="46">
        <f>IFERROR(L66/M66,"")</f>
        <v/>
      </c>
      <c r="O66" s="15" t="n"/>
      <c r="P66" s="15" t="n"/>
      <c r="Q66" s="16">
        <f>IF(A66="","",N(O66)+N(P66))</f>
        <v/>
      </c>
      <c r="R66" s="16">
        <f>IF(A66="","",F66-Q66)</f>
        <v/>
      </c>
      <c r="S66" s="46">
        <f>IFERROR(R66/F66,"")</f>
        <v/>
      </c>
      <c r="T66" s="45" t="n"/>
      <c r="U66" s="45" t="n"/>
      <c r="V66" s="45" t="n"/>
      <c r="W66" s="45" t="n"/>
      <c r="X66" s="45" t="n"/>
      <c r="Y66" s="13" t="n"/>
    </row>
    <row r="67" ht="15" customHeight="1">
      <c r="A67" s="13" t="n"/>
      <c r="B67" s="14">
        <f>IF(A67="","",IF(COUNTIF(lst_Jobs,A67&amp;"")&gt;0,"OK","CHECK"))</f>
        <v/>
      </c>
      <c r="C67" s="14">
        <f>IF(A67="","",IFERROR(INDEX(lst_JobName,MATCH(A67&amp;"",lst_Jobs,0)),""))</f>
        <v/>
      </c>
      <c r="D67" s="14">
        <f>IF(A67="","",IFERROR(INDEX(tbl_Finance[Client],MATCH(A67&amp;"",tbl_Finance[Job Number],0)),""))</f>
        <v/>
      </c>
      <c r="E67" s="44">
        <f>IF(A67="","",COUNTIFS(tbl_Finance[Job Number],A67&amp;"",tbl_Finance[Ex GST],"&lt;&gt;"))</f>
        <v/>
      </c>
      <c r="F67" s="16">
        <f>IF(A67="","",SUMIFS(tbl_Finance[Ex GST],tbl_Finance[Job Number],A67&amp;""))</f>
        <v/>
      </c>
      <c r="G67" s="14">
        <f>IF(A67="","",IFERROR(INDEX(tbl_Finance[Cost Centre],MATCH(A67&amp;"",tbl_Finance[Job Number],0)),"not invoiced yet"))</f>
        <v/>
      </c>
      <c r="H67" s="11" t="n"/>
      <c r="I67" s="13" t="n"/>
      <c r="J67" s="13" t="n"/>
      <c r="K67" s="13" t="n"/>
      <c r="L67" s="15" t="n"/>
      <c r="M67" s="16">
        <f>IF(A67="","",F67+N(L67))</f>
        <v/>
      </c>
      <c r="N67" s="46">
        <f>IFERROR(L67/M67,"")</f>
        <v/>
      </c>
      <c r="O67" s="15" t="n"/>
      <c r="P67" s="15" t="n"/>
      <c r="Q67" s="16">
        <f>IF(A67="","",N(O67)+N(P67))</f>
        <v/>
      </c>
      <c r="R67" s="16">
        <f>IF(A67="","",F67-Q67)</f>
        <v/>
      </c>
      <c r="S67" s="46">
        <f>IFERROR(R67/F67,"")</f>
        <v/>
      </c>
      <c r="T67" s="45" t="n"/>
      <c r="U67" s="45" t="n"/>
      <c r="V67" s="45" t="n"/>
      <c r="W67" s="45" t="n"/>
      <c r="X67" s="45" t="n"/>
      <c r="Y67" s="13" t="n"/>
    </row>
    <row r="68" ht="15" customHeight="1">
      <c r="A68" s="13" t="n"/>
      <c r="B68" s="14">
        <f>IF(A68="","",IF(COUNTIF(lst_Jobs,A68&amp;"")&gt;0,"OK","CHECK"))</f>
        <v/>
      </c>
      <c r="C68" s="14">
        <f>IF(A68="","",IFERROR(INDEX(lst_JobName,MATCH(A68&amp;"",lst_Jobs,0)),""))</f>
        <v/>
      </c>
      <c r="D68" s="14">
        <f>IF(A68="","",IFERROR(INDEX(tbl_Finance[Client],MATCH(A68&amp;"",tbl_Finance[Job Number],0)),""))</f>
        <v/>
      </c>
      <c r="E68" s="44">
        <f>IF(A68="","",COUNTIFS(tbl_Finance[Job Number],A68&amp;"",tbl_Finance[Ex GST],"&lt;&gt;"))</f>
        <v/>
      </c>
      <c r="F68" s="16">
        <f>IF(A68="","",SUMIFS(tbl_Finance[Ex GST],tbl_Finance[Job Number],A68&amp;""))</f>
        <v/>
      </c>
      <c r="G68" s="14">
        <f>IF(A68="","",IFERROR(INDEX(tbl_Finance[Cost Centre],MATCH(A68&amp;"",tbl_Finance[Job Number],0)),"not invoiced yet"))</f>
        <v/>
      </c>
      <c r="H68" s="11" t="n"/>
      <c r="I68" s="13" t="n"/>
      <c r="J68" s="13" t="n"/>
      <c r="K68" s="13" t="n"/>
      <c r="L68" s="15" t="n"/>
      <c r="M68" s="16">
        <f>IF(A68="","",F68+N(L68))</f>
        <v/>
      </c>
      <c r="N68" s="46">
        <f>IFERROR(L68/M68,"")</f>
        <v/>
      </c>
      <c r="O68" s="15" t="n"/>
      <c r="P68" s="15" t="n"/>
      <c r="Q68" s="16">
        <f>IF(A68="","",N(O68)+N(P68))</f>
        <v/>
      </c>
      <c r="R68" s="16">
        <f>IF(A68="","",F68-Q68)</f>
        <v/>
      </c>
      <c r="S68" s="46">
        <f>IFERROR(R68/F68,"")</f>
        <v/>
      </c>
      <c r="T68" s="45" t="n"/>
      <c r="U68" s="45" t="n"/>
      <c r="V68" s="45" t="n"/>
      <c r="W68" s="45" t="n"/>
      <c r="X68" s="45" t="n"/>
      <c r="Y68" s="13" t="n"/>
    </row>
    <row r="69" ht="15" customHeight="1">
      <c r="A69" s="13" t="n"/>
      <c r="B69" s="14">
        <f>IF(A69="","",IF(COUNTIF(lst_Jobs,A69&amp;"")&gt;0,"OK","CHECK"))</f>
        <v/>
      </c>
      <c r="C69" s="14">
        <f>IF(A69="","",IFERROR(INDEX(lst_JobName,MATCH(A69&amp;"",lst_Jobs,0)),""))</f>
        <v/>
      </c>
      <c r="D69" s="14">
        <f>IF(A69="","",IFERROR(INDEX(tbl_Finance[Client],MATCH(A69&amp;"",tbl_Finance[Job Number],0)),""))</f>
        <v/>
      </c>
      <c r="E69" s="44">
        <f>IF(A69="","",COUNTIFS(tbl_Finance[Job Number],A69&amp;"",tbl_Finance[Ex GST],"&lt;&gt;"))</f>
        <v/>
      </c>
      <c r="F69" s="16">
        <f>IF(A69="","",SUMIFS(tbl_Finance[Ex GST],tbl_Finance[Job Number],A69&amp;""))</f>
        <v/>
      </c>
      <c r="G69" s="14">
        <f>IF(A69="","",IFERROR(INDEX(tbl_Finance[Cost Centre],MATCH(A69&amp;"",tbl_Finance[Job Number],0)),"not invoiced yet"))</f>
        <v/>
      </c>
      <c r="H69" s="11" t="n"/>
      <c r="I69" s="13" t="n"/>
      <c r="J69" s="13" t="n"/>
      <c r="K69" s="13" t="n"/>
      <c r="L69" s="15" t="n"/>
      <c r="M69" s="16">
        <f>IF(A69="","",F69+N(L69))</f>
        <v/>
      </c>
      <c r="N69" s="46">
        <f>IFERROR(L69/M69,"")</f>
        <v/>
      </c>
      <c r="O69" s="15" t="n"/>
      <c r="P69" s="15" t="n"/>
      <c r="Q69" s="16">
        <f>IF(A69="","",N(O69)+N(P69))</f>
        <v/>
      </c>
      <c r="R69" s="16">
        <f>IF(A69="","",F69-Q69)</f>
        <v/>
      </c>
      <c r="S69" s="46">
        <f>IFERROR(R69/F69,"")</f>
        <v/>
      </c>
      <c r="T69" s="45" t="n"/>
      <c r="U69" s="45" t="n"/>
      <c r="V69" s="45" t="n"/>
      <c r="W69" s="45" t="n"/>
      <c r="X69" s="45" t="n"/>
      <c r="Y69" s="13" t="n"/>
    </row>
    <row r="70" ht="15" customHeight="1">
      <c r="A70" s="13" t="n"/>
      <c r="B70" s="14">
        <f>IF(A70="","",IF(COUNTIF(lst_Jobs,A70&amp;"")&gt;0,"OK","CHECK"))</f>
        <v/>
      </c>
      <c r="C70" s="14">
        <f>IF(A70="","",IFERROR(INDEX(lst_JobName,MATCH(A70&amp;"",lst_Jobs,0)),""))</f>
        <v/>
      </c>
      <c r="D70" s="14">
        <f>IF(A70="","",IFERROR(INDEX(tbl_Finance[Client],MATCH(A70&amp;"",tbl_Finance[Job Number],0)),""))</f>
        <v/>
      </c>
      <c r="E70" s="44">
        <f>IF(A70="","",COUNTIFS(tbl_Finance[Job Number],A70&amp;"",tbl_Finance[Ex GST],"&lt;&gt;"))</f>
        <v/>
      </c>
      <c r="F70" s="16">
        <f>IF(A70="","",SUMIFS(tbl_Finance[Ex GST],tbl_Finance[Job Number],A70&amp;""))</f>
        <v/>
      </c>
      <c r="G70" s="14">
        <f>IF(A70="","",IFERROR(INDEX(tbl_Finance[Cost Centre],MATCH(A70&amp;"",tbl_Finance[Job Number],0)),"not invoiced yet"))</f>
        <v/>
      </c>
      <c r="H70" s="11" t="n"/>
      <c r="I70" s="13" t="n"/>
      <c r="J70" s="13" t="n"/>
      <c r="K70" s="13" t="n"/>
      <c r="L70" s="15" t="n"/>
      <c r="M70" s="16">
        <f>IF(A70="","",F70+N(L70))</f>
        <v/>
      </c>
      <c r="N70" s="46">
        <f>IFERROR(L70/M70,"")</f>
        <v/>
      </c>
      <c r="O70" s="15" t="n"/>
      <c r="P70" s="15" t="n"/>
      <c r="Q70" s="16">
        <f>IF(A70="","",N(O70)+N(P70))</f>
        <v/>
      </c>
      <c r="R70" s="16">
        <f>IF(A70="","",F70-Q70)</f>
        <v/>
      </c>
      <c r="S70" s="46">
        <f>IFERROR(R70/F70,"")</f>
        <v/>
      </c>
      <c r="T70" s="45" t="n"/>
      <c r="U70" s="45" t="n"/>
      <c r="V70" s="45" t="n"/>
      <c r="W70" s="45" t="n"/>
      <c r="X70" s="45" t="n"/>
      <c r="Y70" s="13" t="n"/>
    </row>
    <row r="71" ht="15" customHeight="1">
      <c r="A71" s="13" t="n"/>
      <c r="B71" s="14">
        <f>IF(A71="","",IF(COUNTIF(lst_Jobs,A71&amp;"")&gt;0,"OK","CHECK"))</f>
        <v/>
      </c>
      <c r="C71" s="14">
        <f>IF(A71="","",IFERROR(INDEX(lst_JobName,MATCH(A71&amp;"",lst_Jobs,0)),""))</f>
        <v/>
      </c>
      <c r="D71" s="14">
        <f>IF(A71="","",IFERROR(INDEX(tbl_Finance[Client],MATCH(A71&amp;"",tbl_Finance[Job Number],0)),""))</f>
        <v/>
      </c>
      <c r="E71" s="44">
        <f>IF(A71="","",COUNTIFS(tbl_Finance[Job Number],A71&amp;"",tbl_Finance[Ex GST],"&lt;&gt;"))</f>
        <v/>
      </c>
      <c r="F71" s="16">
        <f>IF(A71="","",SUMIFS(tbl_Finance[Ex GST],tbl_Finance[Job Number],A71&amp;""))</f>
        <v/>
      </c>
      <c r="G71" s="14">
        <f>IF(A71="","",IFERROR(INDEX(tbl_Finance[Cost Centre],MATCH(A71&amp;"",tbl_Finance[Job Number],0)),"not invoiced yet"))</f>
        <v/>
      </c>
      <c r="H71" s="11" t="n"/>
      <c r="I71" s="13" t="n"/>
      <c r="J71" s="13" t="n"/>
      <c r="K71" s="13" t="n"/>
      <c r="L71" s="15" t="n"/>
      <c r="M71" s="16">
        <f>IF(A71="","",F71+N(L71))</f>
        <v/>
      </c>
      <c r="N71" s="46">
        <f>IFERROR(L71/M71,"")</f>
        <v/>
      </c>
      <c r="O71" s="15" t="n"/>
      <c r="P71" s="15" t="n"/>
      <c r="Q71" s="16">
        <f>IF(A71="","",N(O71)+N(P71))</f>
        <v/>
      </c>
      <c r="R71" s="16">
        <f>IF(A71="","",F71-Q71)</f>
        <v/>
      </c>
      <c r="S71" s="46">
        <f>IFERROR(R71/F71,"")</f>
        <v/>
      </c>
      <c r="T71" s="45" t="n"/>
      <c r="U71" s="45" t="n"/>
      <c r="V71" s="45" t="n"/>
      <c r="W71" s="45" t="n"/>
      <c r="X71" s="45" t="n"/>
      <c r="Y71" s="13" t="n"/>
    </row>
    <row r="72" ht="15" customHeight="1">
      <c r="A72" s="13" t="n"/>
      <c r="B72" s="14">
        <f>IF(A72="","",IF(COUNTIF(lst_Jobs,A72&amp;"")&gt;0,"OK","CHECK"))</f>
        <v/>
      </c>
      <c r="C72" s="14">
        <f>IF(A72="","",IFERROR(INDEX(lst_JobName,MATCH(A72&amp;"",lst_Jobs,0)),""))</f>
        <v/>
      </c>
      <c r="D72" s="14">
        <f>IF(A72="","",IFERROR(INDEX(tbl_Finance[Client],MATCH(A72&amp;"",tbl_Finance[Job Number],0)),""))</f>
        <v/>
      </c>
      <c r="E72" s="44">
        <f>IF(A72="","",COUNTIFS(tbl_Finance[Job Number],A72&amp;"",tbl_Finance[Ex GST],"&lt;&gt;"))</f>
        <v/>
      </c>
      <c r="F72" s="16">
        <f>IF(A72="","",SUMIFS(tbl_Finance[Ex GST],tbl_Finance[Job Number],A72&amp;""))</f>
        <v/>
      </c>
      <c r="G72" s="14">
        <f>IF(A72="","",IFERROR(INDEX(tbl_Finance[Cost Centre],MATCH(A72&amp;"",tbl_Finance[Job Number],0)),"not invoiced yet"))</f>
        <v/>
      </c>
      <c r="H72" s="11" t="n"/>
      <c r="I72" s="13" t="n"/>
      <c r="J72" s="13" t="n"/>
      <c r="K72" s="13" t="n"/>
      <c r="L72" s="15" t="n"/>
      <c r="M72" s="16">
        <f>IF(A72="","",F72+N(L72))</f>
        <v/>
      </c>
      <c r="N72" s="46">
        <f>IFERROR(L72/M72,"")</f>
        <v/>
      </c>
      <c r="O72" s="15" t="n"/>
      <c r="P72" s="15" t="n"/>
      <c r="Q72" s="16">
        <f>IF(A72="","",N(O72)+N(P72))</f>
        <v/>
      </c>
      <c r="R72" s="16">
        <f>IF(A72="","",F72-Q72)</f>
        <v/>
      </c>
      <c r="S72" s="46">
        <f>IFERROR(R72/F72,"")</f>
        <v/>
      </c>
      <c r="T72" s="45" t="n"/>
      <c r="U72" s="45" t="n"/>
      <c r="V72" s="45" t="n"/>
      <c r="W72" s="45" t="n"/>
      <c r="X72" s="45" t="n"/>
      <c r="Y72" s="13" t="n"/>
    </row>
    <row r="73" ht="15" customHeight="1">
      <c r="A73" s="13" t="n"/>
      <c r="B73" s="14">
        <f>IF(A73="","",IF(COUNTIF(lst_Jobs,A73&amp;"")&gt;0,"OK","CHECK"))</f>
        <v/>
      </c>
      <c r="C73" s="14">
        <f>IF(A73="","",IFERROR(INDEX(lst_JobName,MATCH(A73&amp;"",lst_Jobs,0)),""))</f>
        <v/>
      </c>
      <c r="D73" s="14">
        <f>IF(A73="","",IFERROR(INDEX(tbl_Finance[Client],MATCH(A73&amp;"",tbl_Finance[Job Number],0)),""))</f>
        <v/>
      </c>
      <c r="E73" s="44">
        <f>IF(A73="","",COUNTIFS(tbl_Finance[Job Number],A73&amp;"",tbl_Finance[Ex GST],"&lt;&gt;"))</f>
        <v/>
      </c>
      <c r="F73" s="16">
        <f>IF(A73="","",SUMIFS(tbl_Finance[Ex GST],tbl_Finance[Job Number],A73&amp;""))</f>
        <v/>
      </c>
      <c r="G73" s="14">
        <f>IF(A73="","",IFERROR(INDEX(tbl_Finance[Cost Centre],MATCH(A73&amp;"",tbl_Finance[Job Number],0)),"not invoiced yet"))</f>
        <v/>
      </c>
      <c r="H73" s="11" t="n"/>
      <c r="I73" s="13" t="n"/>
      <c r="J73" s="13" t="n"/>
      <c r="K73" s="13" t="n"/>
      <c r="L73" s="15" t="n"/>
      <c r="M73" s="16">
        <f>IF(A73="","",F73+N(L73))</f>
        <v/>
      </c>
      <c r="N73" s="46">
        <f>IFERROR(L73/M73,"")</f>
        <v/>
      </c>
      <c r="O73" s="15" t="n"/>
      <c r="P73" s="15" t="n"/>
      <c r="Q73" s="16">
        <f>IF(A73="","",N(O73)+N(P73))</f>
        <v/>
      </c>
      <c r="R73" s="16">
        <f>IF(A73="","",F73-Q73)</f>
        <v/>
      </c>
      <c r="S73" s="46">
        <f>IFERROR(R73/F73,"")</f>
        <v/>
      </c>
      <c r="T73" s="45" t="n"/>
      <c r="U73" s="45" t="n"/>
      <c r="V73" s="45" t="n"/>
      <c r="W73" s="45" t="n"/>
      <c r="X73" s="45" t="n"/>
      <c r="Y73" s="13" t="n"/>
    </row>
    <row r="74" ht="15" customHeight="1">
      <c r="A74" s="13" t="n"/>
      <c r="B74" s="14">
        <f>IF(A74="","",IF(COUNTIF(lst_Jobs,A74&amp;"")&gt;0,"OK","CHECK"))</f>
        <v/>
      </c>
      <c r="C74" s="14">
        <f>IF(A74="","",IFERROR(INDEX(lst_JobName,MATCH(A74&amp;"",lst_Jobs,0)),""))</f>
        <v/>
      </c>
      <c r="D74" s="14">
        <f>IF(A74="","",IFERROR(INDEX(tbl_Finance[Client],MATCH(A74&amp;"",tbl_Finance[Job Number],0)),""))</f>
        <v/>
      </c>
      <c r="E74" s="44">
        <f>IF(A74="","",COUNTIFS(tbl_Finance[Job Number],A74&amp;"",tbl_Finance[Ex GST],"&lt;&gt;"))</f>
        <v/>
      </c>
      <c r="F74" s="16">
        <f>IF(A74="","",SUMIFS(tbl_Finance[Ex GST],tbl_Finance[Job Number],A74&amp;""))</f>
        <v/>
      </c>
      <c r="G74" s="14">
        <f>IF(A74="","",IFERROR(INDEX(tbl_Finance[Cost Centre],MATCH(A74&amp;"",tbl_Finance[Job Number],0)),"not invoiced yet"))</f>
        <v/>
      </c>
      <c r="H74" s="11" t="n"/>
      <c r="I74" s="13" t="n"/>
      <c r="J74" s="13" t="n"/>
      <c r="K74" s="13" t="n"/>
      <c r="L74" s="15" t="n"/>
      <c r="M74" s="16">
        <f>IF(A74="","",F74+N(L74))</f>
        <v/>
      </c>
      <c r="N74" s="46">
        <f>IFERROR(L74/M74,"")</f>
        <v/>
      </c>
      <c r="O74" s="15" t="n"/>
      <c r="P74" s="15" t="n"/>
      <c r="Q74" s="16">
        <f>IF(A74="","",N(O74)+N(P74))</f>
        <v/>
      </c>
      <c r="R74" s="16">
        <f>IF(A74="","",F74-Q74)</f>
        <v/>
      </c>
      <c r="S74" s="46">
        <f>IFERROR(R74/F74,"")</f>
        <v/>
      </c>
      <c r="T74" s="45" t="n"/>
      <c r="U74" s="45" t="n"/>
      <c r="V74" s="45" t="n"/>
      <c r="W74" s="45" t="n"/>
      <c r="X74" s="45" t="n"/>
      <c r="Y74" s="13" t="n"/>
    </row>
    <row r="75" ht="15" customHeight="1">
      <c r="A75" s="13" t="n"/>
      <c r="B75" s="14">
        <f>IF(A75="","",IF(COUNTIF(lst_Jobs,A75&amp;"")&gt;0,"OK","CHECK"))</f>
        <v/>
      </c>
      <c r="C75" s="14">
        <f>IF(A75="","",IFERROR(INDEX(lst_JobName,MATCH(A75&amp;"",lst_Jobs,0)),""))</f>
        <v/>
      </c>
      <c r="D75" s="14">
        <f>IF(A75="","",IFERROR(INDEX(tbl_Finance[Client],MATCH(A75&amp;"",tbl_Finance[Job Number],0)),""))</f>
        <v/>
      </c>
      <c r="E75" s="44">
        <f>IF(A75="","",COUNTIFS(tbl_Finance[Job Number],A75&amp;"",tbl_Finance[Ex GST],"&lt;&gt;"))</f>
        <v/>
      </c>
      <c r="F75" s="16">
        <f>IF(A75="","",SUMIFS(tbl_Finance[Ex GST],tbl_Finance[Job Number],A75&amp;""))</f>
        <v/>
      </c>
      <c r="G75" s="14">
        <f>IF(A75="","",IFERROR(INDEX(tbl_Finance[Cost Centre],MATCH(A75&amp;"",tbl_Finance[Job Number],0)),"not invoiced yet"))</f>
        <v/>
      </c>
      <c r="H75" s="11" t="n"/>
      <c r="I75" s="13" t="n"/>
      <c r="J75" s="13" t="n"/>
      <c r="K75" s="13" t="n"/>
      <c r="L75" s="15" t="n"/>
      <c r="M75" s="16">
        <f>IF(A75="","",F75+N(L75))</f>
        <v/>
      </c>
      <c r="N75" s="46">
        <f>IFERROR(L75/M75,"")</f>
        <v/>
      </c>
      <c r="O75" s="15" t="n"/>
      <c r="P75" s="15" t="n"/>
      <c r="Q75" s="16">
        <f>IF(A75="","",N(O75)+N(P75))</f>
        <v/>
      </c>
      <c r="R75" s="16">
        <f>IF(A75="","",F75-Q75)</f>
        <v/>
      </c>
      <c r="S75" s="46">
        <f>IFERROR(R75/F75,"")</f>
        <v/>
      </c>
      <c r="T75" s="45" t="n"/>
      <c r="U75" s="45" t="n"/>
      <c r="V75" s="45" t="n"/>
      <c r="W75" s="45" t="n"/>
      <c r="X75" s="45" t="n"/>
      <c r="Y75" s="13" t="n"/>
    </row>
    <row r="76" ht="15" customHeight="1">
      <c r="A76" s="13" t="n"/>
      <c r="B76" s="14">
        <f>IF(A76="","",IF(COUNTIF(lst_Jobs,A76&amp;"")&gt;0,"OK","CHECK"))</f>
        <v/>
      </c>
      <c r="C76" s="14">
        <f>IF(A76="","",IFERROR(INDEX(lst_JobName,MATCH(A76&amp;"",lst_Jobs,0)),""))</f>
        <v/>
      </c>
      <c r="D76" s="14">
        <f>IF(A76="","",IFERROR(INDEX(tbl_Finance[Client],MATCH(A76&amp;"",tbl_Finance[Job Number],0)),""))</f>
        <v/>
      </c>
      <c r="E76" s="44">
        <f>IF(A76="","",COUNTIFS(tbl_Finance[Job Number],A76&amp;"",tbl_Finance[Ex GST],"&lt;&gt;"))</f>
        <v/>
      </c>
      <c r="F76" s="16">
        <f>IF(A76="","",SUMIFS(tbl_Finance[Ex GST],tbl_Finance[Job Number],A76&amp;""))</f>
        <v/>
      </c>
      <c r="G76" s="14">
        <f>IF(A76="","",IFERROR(INDEX(tbl_Finance[Cost Centre],MATCH(A76&amp;"",tbl_Finance[Job Number],0)),"not invoiced yet"))</f>
        <v/>
      </c>
      <c r="H76" s="11" t="n"/>
      <c r="I76" s="13" t="n"/>
      <c r="J76" s="13" t="n"/>
      <c r="K76" s="13" t="n"/>
      <c r="L76" s="15" t="n"/>
      <c r="M76" s="16">
        <f>IF(A76="","",F76+N(L76))</f>
        <v/>
      </c>
      <c r="N76" s="46">
        <f>IFERROR(L76/M76,"")</f>
        <v/>
      </c>
      <c r="O76" s="15" t="n"/>
      <c r="P76" s="15" t="n"/>
      <c r="Q76" s="16">
        <f>IF(A76="","",N(O76)+N(P76))</f>
        <v/>
      </c>
      <c r="R76" s="16">
        <f>IF(A76="","",F76-Q76)</f>
        <v/>
      </c>
      <c r="S76" s="46">
        <f>IFERROR(R76/F76,"")</f>
        <v/>
      </c>
      <c r="T76" s="45" t="n"/>
      <c r="U76" s="45" t="n"/>
      <c r="V76" s="45" t="n"/>
      <c r="W76" s="45" t="n"/>
      <c r="X76" s="45" t="n"/>
      <c r="Y76" s="13" t="n"/>
    </row>
    <row r="77" ht="15" customHeight="1">
      <c r="A77" s="13" t="n"/>
      <c r="B77" s="14">
        <f>IF(A77="","",IF(COUNTIF(lst_Jobs,A77&amp;"")&gt;0,"OK","CHECK"))</f>
        <v/>
      </c>
      <c r="C77" s="14">
        <f>IF(A77="","",IFERROR(INDEX(lst_JobName,MATCH(A77&amp;"",lst_Jobs,0)),""))</f>
        <v/>
      </c>
      <c r="D77" s="14">
        <f>IF(A77="","",IFERROR(INDEX(tbl_Finance[Client],MATCH(A77&amp;"",tbl_Finance[Job Number],0)),""))</f>
        <v/>
      </c>
      <c r="E77" s="44">
        <f>IF(A77="","",COUNTIFS(tbl_Finance[Job Number],A77&amp;"",tbl_Finance[Ex GST],"&lt;&gt;"))</f>
        <v/>
      </c>
      <c r="F77" s="16">
        <f>IF(A77="","",SUMIFS(tbl_Finance[Ex GST],tbl_Finance[Job Number],A77&amp;""))</f>
        <v/>
      </c>
      <c r="G77" s="14">
        <f>IF(A77="","",IFERROR(INDEX(tbl_Finance[Cost Centre],MATCH(A77&amp;"",tbl_Finance[Job Number],0)),"not invoiced yet"))</f>
        <v/>
      </c>
      <c r="H77" s="11" t="n"/>
      <c r="I77" s="13" t="n"/>
      <c r="J77" s="13" t="n"/>
      <c r="K77" s="13" t="n"/>
      <c r="L77" s="15" t="n"/>
      <c r="M77" s="16">
        <f>IF(A77="","",F77+N(L77))</f>
        <v/>
      </c>
      <c r="N77" s="46">
        <f>IFERROR(L77/M77,"")</f>
        <v/>
      </c>
      <c r="O77" s="15" t="n"/>
      <c r="P77" s="15" t="n"/>
      <c r="Q77" s="16">
        <f>IF(A77="","",N(O77)+N(P77))</f>
        <v/>
      </c>
      <c r="R77" s="16">
        <f>IF(A77="","",F77-Q77)</f>
        <v/>
      </c>
      <c r="S77" s="46">
        <f>IFERROR(R77/F77,"")</f>
        <v/>
      </c>
      <c r="T77" s="45" t="n"/>
      <c r="U77" s="45" t="n"/>
      <c r="V77" s="45" t="n"/>
      <c r="W77" s="45" t="n"/>
      <c r="X77" s="45" t="n"/>
      <c r="Y77" s="13" t="n"/>
    </row>
    <row r="78" ht="15" customHeight="1">
      <c r="A78" s="13" t="n"/>
      <c r="B78" s="14">
        <f>IF(A78="","",IF(COUNTIF(lst_Jobs,A78&amp;"")&gt;0,"OK","CHECK"))</f>
        <v/>
      </c>
      <c r="C78" s="14">
        <f>IF(A78="","",IFERROR(INDEX(lst_JobName,MATCH(A78&amp;"",lst_Jobs,0)),""))</f>
        <v/>
      </c>
      <c r="D78" s="14">
        <f>IF(A78="","",IFERROR(INDEX(tbl_Finance[Client],MATCH(A78&amp;"",tbl_Finance[Job Number],0)),""))</f>
        <v/>
      </c>
      <c r="E78" s="44">
        <f>IF(A78="","",COUNTIFS(tbl_Finance[Job Number],A78&amp;"",tbl_Finance[Ex GST],"&lt;&gt;"))</f>
        <v/>
      </c>
      <c r="F78" s="16">
        <f>IF(A78="","",SUMIFS(tbl_Finance[Ex GST],tbl_Finance[Job Number],A78&amp;""))</f>
        <v/>
      </c>
      <c r="G78" s="14">
        <f>IF(A78="","",IFERROR(INDEX(tbl_Finance[Cost Centre],MATCH(A78&amp;"",tbl_Finance[Job Number],0)),"not invoiced yet"))</f>
        <v/>
      </c>
      <c r="H78" s="11" t="n"/>
      <c r="I78" s="13" t="n"/>
      <c r="J78" s="13" t="n"/>
      <c r="K78" s="13" t="n"/>
      <c r="L78" s="15" t="n"/>
      <c r="M78" s="16">
        <f>IF(A78="","",F78+N(L78))</f>
        <v/>
      </c>
      <c r="N78" s="46">
        <f>IFERROR(L78/M78,"")</f>
        <v/>
      </c>
      <c r="O78" s="15" t="n"/>
      <c r="P78" s="15" t="n"/>
      <c r="Q78" s="16">
        <f>IF(A78="","",N(O78)+N(P78))</f>
        <v/>
      </c>
      <c r="R78" s="16">
        <f>IF(A78="","",F78-Q78)</f>
        <v/>
      </c>
      <c r="S78" s="46">
        <f>IFERROR(R78/F78,"")</f>
        <v/>
      </c>
      <c r="T78" s="45" t="n"/>
      <c r="U78" s="45" t="n"/>
      <c r="V78" s="45" t="n"/>
      <c r="W78" s="45" t="n"/>
      <c r="X78" s="45" t="n"/>
      <c r="Y78" s="13" t="n"/>
    </row>
    <row r="79" ht="15" customHeight="1">
      <c r="A79" s="13" t="n"/>
      <c r="B79" s="14">
        <f>IF(A79="","",IF(COUNTIF(lst_Jobs,A79&amp;"")&gt;0,"OK","CHECK"))</f>
        <v/>
      </c>
      <c r="C79" s="14">
        <f>IF(A79="","",IFERROR(INDEX(lst_JobName,MATCH(A79&amp;"",lst_Jobs,0)),""))</f>
        <v/>
      </c>
      <c r="D79" s="14">
        <f>IF(A79="","",IFERROR(INDEX(tbl_Finance[Client],MATCH(A79&amp;"",tbl_Finance[Job Number],0)),""))</f>
        <v/>
      </c>
      <c r="E79" s="44">
        <f>IF(A79="","",COUNTIFS(tbl_Finance[Job Number],A79&amp;"",tbl_Finance[Ex GST],"&lt;&gt;"))</f>
        <v/>
      </c>
      <c r="F79" s="16">
        <f>IF(A79="","",SUMIFS(tbl_Finance[Ex GST],tbl_Finance[Job Number],A79&amp;""))</f>
        <v/>
      </c>
      <c r="G79" s="14">
        <f>IF(A79="","",IFERROR(INDEX(tbl_Finance[Cost Centre],MATCH(A79&amp;"",tbl_Finance[Job Number],0)),"not invoiced yet"))</f>
        <v/>
      </c>
      <c r="H79" s="11" t="n"/>
      <c r="I79" s="13" t="n"/>
      <c r="J79" s="13" t="n"/>
      <c r="K79" s="13" t="n"/>
      <c r="L79" s="15" t="n"/>
      <c r="M79" s="16">
        <f>IF(A79="","",F79+N(L79))</f>
        <v/>
      </c>
      <c r="N79" s="46">
        <f>IFERROR(L79/M79,"")</f>
        <v/>
      </c>
      <c r="O79" s="15" t="n"/>
      <c r="P79" s="15" t="n"/>
      <c r="Q79" s="16">
        <f>IF(A79="","",N(O79)+N(P79))</f>
        <v/>
      </c>
      <c r="R79" s="16">
        <f>IF(A79="","",F79-Q79)</f>
        <v/>
      </c>
      <c r="S79" s="46">
        <f>IFERROR(R79/F79,"")</f>
        <v/>
      </c>
      <c r="T79" s="45" t="n"/>
      <c r="U79" s="45" t="n"/>
      <c r="V79" s="45" t="n"/>
      <c r="W79" s="45" t="n"/>
      <c r="X79" s="45" t="n"/>
      <c r="Y79" s="13" t="n"/>
    </row>
    <row r="80" ht="15" customHeight="1">
      <c r="A80" s="13" t="n"/>
      <c r="B80" s="14">
        <f>IF(A80="","",IF(COUNTIF(lst_Jobs,A80&amp;"")&gt;0,"OK","CHECK"))</f>
        <v/>
      </c>
      <c r="C80" s="14">
        <f>IF(A80="","",IFERROR(INDEX(lst_JobName,MATCH(A80&amp;"",lst_Jobs,0)),""))</f>
        <v/>
      </c>
      <c r="D80" s="14">
        <f>IF(A80="","",IFERROR(INDEX(tbl_Finance[Client],MATCH(A80&amp;"",tbl_Finance[Job Number],0)),""))</f>
        <v/>
      </c>
      <c r="E80" s="44">
        <f>IF(A80="","",COUNTIFS(tbl_Finance[Job Number],A80&amp;"",tbl_Finance[Ex GST],"&lt;&gt;"))</f>
        <v/>
      </c>
      <c r="F80" s="16">
        <f>IF(A80="","",SUMIFS(tbl_Finance[Ex GST],tbl_Finance[Job Number],A80&amp;""))</f>
        <v/>
      </c>
      <c r="G80" s="14">
        <f>IF(A80="","",IFERROR(INDEX(tbl_Finance[Cost Centre],MATCH(A80&amp;"",tbl_Finance[Job Number],0)),"not invoiced yet"))</f>
        <v/>
      </c>
      <c r="H80" s="11" t="n"/>
      <c r="I80" s="13" t="n"/>
      <c r="J80" s="13" t="n"/>
      <c r="K80" s="13" t="n"/>
      <c r="L80" s="15" t="n"/>
      <c r="M80" s="16">
        <f>IF(A80="","",F80+N(L80))</f>
        <v/>
      </c>
      <c r="N80" s="46">
        <f>IFERROR(L80/M80,"")</f>
        <v/>
      </c>
      <c r="O80" s="15" t="n"/>
      <c r="P80" s="15" t="n"/>
      <c r="Q80" s="16">
        <f>IF(A80="","",N(O80)+N(P80))</f>
        <v/>
      </c>
      <c r="R80" s="16">
        <f>IF(A80="","",F80-Q80)</f>
        <v/>
      </c>
      <c r="S80" s="46">
        <f>IFERROR(R80/F80,"")</f>
        <v/>
      </c>
      <c r="T80" s="45" t="n"/>
      <c r="U80" s="45" t="n"/>
      <c r="V80" s="45" t="n"/>
      <c r="W80" s="45" t="n"/>
      <c r="X80" s="45" t="n"/>
      <c r="Y80" s="13" t="n"/>
    </row>
    <row r="81" ht="15" customHeight="1">
      <c r="A81" s="13" t="n"/>
      <c r="B81" s="14">
        <f>IF(A81="","",IF(COUNTIF(lst_Jobs,A81&amp;"")&gt;0,"OK","CHECK"))</f>
        <v/>
      </c>
      <c r="C81" s="14">
        <f>IF(A81="","",IFERROR(INDEX(lst_JobName,MATCH(A81&amp;"",lst_Jobs,0)),""))</f>
        <v/>
      </c>
      <c r="D81" s="14">
        <f>IF(A81="","",IFERROR(INDEX(tbl_Finance[Client],MATCH(A81&amp;"",tbl_Finance[Job Number],0)),""))</f>
        <v/>
      </c>
      <c r="E81" s="44">
        <f>IF(A81="","",COUNTIFS(tbl_Finance[Job Number],A81&amp;"",tbl_Finance[Ex GST],"&lt;&gt;"))</f>
        <v/>
      </c>
      <c r="F81" s="16">
        <f>IF(A81="","",SUMIFS(tbl_Finance[Ex GST],tbl_Finance[Job Number],A81&amp;""))</f>
        <v/>
      </c>
      <c r="G81" s="14">
        <f>IF(A81="","",IFERROR(INDEX(tbl_Finance[Cost Centre],MATCH(A81&amp;"",tbl_Finance[Job Number],0)),"not invoiced yet"))</f>
        <v/>
      </c>
      <c r="H81" s="11" t="n"/>
      <c r="I81" s="13" t="n"/>
      <c r="J81" s="13" t="n"/>
      <c r="K81" s="13" t="n"/>
      <c r="L81" s="15" t="n"/>
      <c r="M81" s="16">
        <f>IF(A81="","",F81+N(L81))</f>
        <v/>
      </c>
      <c r="N81" s="46">
        <f>IFERROR(L81/M81,"")</f>
        <v/>
      </c>
      <c r="O81" s="15" t="n"/>
      <c r="P81" s="15" t="n"/>
      <c r="Q81" s="16">
        <f>IF(A81="","",N(O81)+N(P81))</f>
        <v/>
      </c>
      <c r="R81" s="16">
        <f>IF(A81="","",F81-Q81)</f>
        <v/>
      </c>
      <c r="S81" s="46">
        <f>IFERROR(R81/F81,"")</f>
        <v/>
      </c>
      <c r="T81" s="45" t="n"/>
      <c r="U81" s="45" t="n"/>
      <c r="V81" s="45" t="n"/>
      <c r="W81" s="45" t="n"/>
      <c r="X81" s="45" t="n"/>
      <c r="Y81" s="13" t="n"/>
    </row>
    <row r="82" ht="15" customHeight="1">
      <c r="A82" s="13" t="n"/>
      <c r="B82" s="14">
        <f>IF(A82="","",IF(COUNTIF(lst_Jobs,A82&amp;"")&gt;0,"OK","CHECK"))</f>
        <v/>
      </c>
      <c r="C82" s="14">
        <f>IF(A82="","",IFERROR(INDEX(lst_JobName,MATCH(A82&amp;"",lst_Jobs,0)),""))</f>
        <v/>
      </c>
      <c r="D82" s="14">
        <f>IF(A82="","",IFERROR(INDEX(tbl_Finance[Client],MATCH(A82&amp;"",tbl_Finance[Job Number],0)),""))</f>
        <v/>
      </c>
      <c r="E82" s="44">
        <f>IF(A82="","",COUNTIFS(tbl_Finance[Job Number],A82&amp;"",tbl_Finance[Ex GST],"&lt;&gt;"))</f>
        <v/>
      </c>
      <c r="F82" s="16">
        <f>IF(A82="","",SUMIFS(tbl_Finance[Ex GST],tbl_Finance[Job Number],A82&amp;""))</f>
        <v/>
      </c>
      <c r="G82" s="14">
        <f>IF(A82="","",IFERROR(INDEX(tbl_Finance[Cost Centre],MATCH(A82&amp;"",tbl_Finance[Job Number],0)),"not invoiced yet"))</f>
        <v/>
      </c>
      <c r="H82" s="11" t="n"/>
      <c r="I82" s="13" t="n"/>
      <c r="J82" s="13" t="n"/>
      <c r="K82" s="13" t="n"/>
      <c r="L82" s="15" t="n"/>
      <c r="M82" s="16">
        <f>IF(A82="","",F82+N(L82))</f>
        <v/>
      </c>
      <c r="N82" s="46">
        <f>IFERROR(L82/M82,"")</f>
        <v/>
      </c>
      <c r="O82" s="15" t="n"/>
      <c r="P82" s="15" t="n"/>
      <c r="Q82" s="16">
        <f>IF(A82="","",N(O82)+N(P82))</f>
        <v/>
      </c>
      <c r="R82" s="16">
        <f>IF(A82="","",F82-Q82)</f>
        <v/>
      </c>
      <c r="S82" s="46">
        <f>IFERROR(R82/F82,"")</f>
        <v/>
      </c>
      <c r="T82" s="45" t="n"/>
      <c r="U82" s="45" t="n"/>
      <c r="V82" s="45" t="n"/>
      <c r="W82" s="45" t="n"/>
      <c r="X82" s="45" t="n"/>
      <c r="Y82" s="13" t="n"/>
    </row>
    <row r="83" ht="15" customHeight="1">
      <c r="A83" s="13" t="n"/>
      <c r="B83" s="14">
        <f>IF(A83="","",IF(COUNTIF(lst_Jobs,A83&amp;"")&gt;0,"OK","CHECK"))</f>
        <v/>
      </c>
      <c r="C83" s="14">
        <f>IF(A83="","",IFERROR(INDEX(lst_JobName,MATCH(A83&amp;"",lst_Jobs,0)),""))</f>
        <v/>
      </c>
      <c r="D83" s="14">
        <f>IF(A83="","",IFERROR(INDEX(tbl_Finance[Client],MATCH(A83&amp;"",tbl_Finance[Job Number],0)),""))</f>
        <v/>
      </c>
      <c r="E83" s="44">
        <f>IF(A83="","",COUNTIFS(tbl_Finance[Job Number],A83&amp;"",tbl_Finance[Ex GST],"&lt;&gt;"))</f>
        <v/>
      </c>
      <c r="F83" s="16">
        <f>IF(A83="","",SUMIFS(tbl_Finance[Ex GST],tbl_Finance[Job Number],A83&amp;""))</f>
        <v/>
      </c>
      <c r="G83" s="14">
        <f>IF(A83="","",IFERROR(INDEX(tbl_Finance[Cost Centre],MATCH(A83&amp;"",tbl_Finance[Job Number],0)),"not invoiced yet"))</f>
        <v/>
      </c>
      <c r="H83" s="11" t="n"/>
      <c r="I83" s="13" t="n"/>
      <c r="J83" s="13" t="n"/>
      <c r="K83" s="13" t="n"/>
      <c r="L83" s="15" t="n"/>
      <c r="M83" s="16">
        <f>IF(A83="","",F83+N(L83))</f>
        <v/>
      </c>
      <c r="N83" s="46">
        <f>IFERROR(L83/M83,"")</f>
        <v/>
      </c>
      <c r="O83" s="15" t="n"/>
      <c r="P83" s="15" t="n"/>
      <c r="Q83" s="16">
        <f>IF(A83="","",N(O83)+N(P83))</f>
        <v/>
      </c>
      <c r="R83" s="16">
        <f>IF(A83="","",F83-Q83)</f>
        <v/>
      </c>
      <c r="S83" s="46">
        <f>IFERROR(R83/F83,"")</f>
        <v/>
      </c>
      <c r="T83" s="45" t="n"/>
      <c r="U83" s="45" t="n"/>
      <c r="V83" s="45" t="n"/>
      <c r="W83" s="45" t="n"/>
      <c r="X83" s="45" t="n"/>
      <c r="Y83" s="13" t="n"/>
    </row>
    <row r="84" ht="15" customHeight="1">
      <c r="A84" s="13" t="n"/>
      <c r="B84" s="14">
        <f>IF(A84="","",IF(COUNTIF(lst_Jobs,A84&amp;"")&gt;0,"OK","CHECK"))</f>
        <v/>
      </c>
      <c r="C84" s="14">
        <f>IF(A84="","",IFERROR(INDEX(lst_JobName,MATCH(A84&amp;"",lst_Jobs,0)),""))</f>
        <v/>
      </c>
      <c r="D84" s="14">
        <f>IF(A84="","",IFERROR(INDEX(tbl_Finance[Client],MATCH(A84&amp;"",tbl_Finance[Job Number],0)),""))</f>
        <v/>
      </c>
      <c r="E84" s="44">
        <f>IF(A84="","",COUNTIFS(tbl_Finance[Job Number],A84&amp;"",tbl_Finance[Ex GST],"&lt;&gt;"))</f>
        <v/>
      </c>
      <c r="F84" s="16">
        <f>IF(A84="","",SUMIFS(tbl_Finance[Ex GST],tbl_Finance[Job Number],A84&amp;""))</f>
        <v/>
      </c>
      <c r="G84" s="14">
        <f>IF(A84="","",IFERROR(INDEX(tbl_Finance[Cost Centre],MATCH(A84&amp;"",tbl_Finance[Job Number],0)),"not invoiced yet"))</f>
        <v/>
      </c>
      <c r="H84" s="11" t="n"/>
      <c r="I84" s="13" t="n"/>
      <c r="J84" s="13" t="n"/>
      <c r="K84" s="13" t="n"/>
      <c r="L84" s="15" t="n"/>
      <c r="M84" s="16">
        <f>IF(A84="","",F84+N(L84))</f>
        <v/>
      </c>
      <c r="N84" s="46">
        <f>IFERROR(L84/M84,"")</f>
        <v/>
      </c>
      <c r="O84" s="15" t="n"/>
      <c r="P84" s="15" t="n"/>
      <c r="Q84" s="16">
        <f>IF(A84="","",N(O84)+N(P84))</f>
        <v/>
      </c>
      <c r="R84" s="16">
        <f>IF(A84="","",F84-Q84)</f>
        <v/>
      </c>
      <c r="S84" s="46">
        <f>IFERROR(R84/F84,"")</f>
        <v/>
      </c>
      <c r="T84" s="45" t="n"/>
      <c r="U84" s="45" t="n"/>
      <c r="V84" s="45" t="n"/>
      <c r="W84" s="45" t="n"/>
      <c r="X84" s="45" t="n"/>
      <c r="Y84" s="13" t="n"/>
    </row>
    <row r="85" ht="15" customHeight="1">
      <c r="A85" s="13" t="n"/>
      <c r="B85" s="14">
        <f>IF(A85="","",IF(COUNTIF(lst_Jobs,A85&amp;"")&gt;0,"OK","CHECK"))</f>
        <v/>
      </c>
      <c r="C85" s="14">
        <f>IF(A85="","",IFERROR(INDEX(lst_JobName,MATCH(A85&amp;"",lst_Jobs,0)),""))</f>
        <v/>
      </c>
      <c r="D85" s="14">
        <f>IF(A85="","",IFERROR(INDEX(tbl_Finance[Client],MATCH(A85&amp;"",tbl_Finance[Job Number],0)),""))</f>
        <v/>
      </c>
      <c r="E85" s="44">
        <f>IF(A85="","",COUNTIFS(tbl_Finance[Job Number],A85&amp;"",tbl_Finance[Ex GST],"&lt;&gt;"))</f>
        <v/>
      </c>
      <c r="F85" s="16">
        <f>IF(A85="","",SUMIFS(tbl_Finance[Ex GST],tbl_Finance[Job Number],A85&amp;""))</f>
        <v/>
      </c>
      <c r="G85" s="14">
        <f>IF(A85="","",IFERROR(INDEX(tbl_Finance[Cost Centre],MATCH(A85&amp;"",tbl_Finance[Job Number],0)),"not invoiced yet"))</f>
        <v/>
      </c>
      <c r="H85" s="11" t="n"/>
      <c r="I85" s="13" t="n"/>
      <c r="J85" s="13" t="n"/>
      <c r="K85" s="13" t="n"/>
      <c r="L85" s="15" t="n"/>
      <c r="M85" s="16">
        <f>IF(A85="","",F85+N(L85))</f>
        <v/>
      </c>
      <c r="N85" s="46">
        <f>IFERROR(L85/M85,"")</f>
        <v/>
      </c>
      <c r="O85" s="15" t="n"/>
      <c r="P85" s="15" t="n"/>
      <c r="Q85" s="16">
        <f>IF(A85="","",N(O85)+N(P85))</f>
        <v/>
      </c>
      <c r="R85" s="16">
        <f>IF(A85="","",F85-Q85)</f>
        <v/>
      </c>
      <c r="S85" s="46">
        <f>IFERROR(R85/F85,"")</f>
        <v/>
      </c>
      <c r="T85" s="45" t="n"/>
      <c r="U85" s="45" t="n"/>
      <c r="V85" s="45" t="n"/>
      <c r="W85" s="45" t="n"/>
      <c r="X85" s="45" t="n"/>
      <c r="Y85" s="13" t="n"/>
    </row>
    <row r="86" ht="15" customHeight="1">
      <c r="A86" s="13" t="n"/>
      <c r="B86" s="14">
        <f>IF(A86="","",IF(COUNTIF(lst_Jobs,A86&amp;"")&gt;0,"OK","CHECK"))</f>
        <v/>
      </c>
      <c r="C86" s="14">
        <f>IF(A86="","",IFERROR(INDEX(lst_JobName,MATCH(A86&amp;"",lst_Jobs,0)),""))</f>
        <v/>
      </c>
      <c r="D86" s="14">
        <f>IF(A86="","",IFERROR(INDEX(tbl_Finance[Client],MATCH(A86&amp;"",tbl_Finance[Job Number],0)),""))</f>
        <v/>
      </c>
      <c r="E86" s="44">
        <f>IF(A86="","",COUNTIFS(tbl_Finance[Job Number],A86&amp;"",tbl_Finance[Ex GST],"&lt;&gt;"))</f>
        <v/>
      </c>
      <c r="F86" s="16">
        <f>IF(A86="","",SUMIFS(tbl_Finance[Ex GST],tbl_Finance[Job Number],A86&amp;""))</f>
        <v/>
      </c>
      <c r="G86" s="14">
        <f>IF(A86="","",IFERROR(INDEX(tbl_Finance[Cost Centre],MATCH(A86&amp;"",tbl_Finance[Job Number],0)),"not invoiced yet"))</f>
        <v/>
      </c>
      <c r="H86" s="11" t="n"/>
      <c r="I86" s="13" t="n"/>
      <c r="J86" s="13" t="n"/>
      <c r="K86" s="13" t="n"/>
      <c r="L86" s="15" t="n"/>
      <c r="M86" s="16">
        <f>IF(A86="","",F86+N(L86))</f>
        <v/>
      </c>
      <c r="N86" s="46">
        <f>IFERROR(L86/M86,"")</f>
        <v/>
      </c>
      <c r="O86" s="15" t="n"/>
      <c r="P86" s="15" t="n"/>
      <c r="Q86" s="16">
        <f>IF(A86="","",N(O86)+N(P86))</f>
        <v/>
      </c>
      <c r="R86" s="16">
        <f>IF(A86="","",F86-Q86)</f>
        <v/>
      </c>
      <c r="S86" s="46">
        <f>IFERROR(R86/F86,"")</f>
        <v/>
      </c>
      <c r="T86" s="45" t="n"/>
      <c r="U86" s="45" t="n"/>
      <c r="V86" s="45" t="n"/>
      <c r="W86" s="45" t="n"/>
      <c r="X86" s="45" t="n"/>
      <c r="Y86" s="13" t="n"/>
    </row>
    <row r="87" ht="15" customHeight="1">
      <c r="A87" s="13" t="n"/>
      <c r="B87" s="14">
        <f>IF(A87="","",IF(COUNTIF(lst_Jobs,A87&amp;"")&gt;0,"OK","CHECK"))</f>
        <v/>
      </c>
      <c r="C87" s="14">
        <f>IF(A87="","",IFERROR(INDEX(lst_JobName,MATCH(A87&amp;"",lst_Jobs,0)),""))</f>
        <v/>
      </c>
      <c r="D87" s="14">
        <f>IF(A87="","",IFERROR(INDEX(tbl_Finance[Client],MATCH(A87&amp;"",tbl_Finance[Job Number],0)),""))</f>
        <v/>
      </c>
      <c r="E87" s="44">
        <f>IF(A87="","",COUNTIFS(tbl_Finance[Job Number],A87&amp;"",tbl_Finance[Ex GST],"&lt;&gt;"))</f>
        <v/>
      </c>
      <c r="F87" s="16">
        <f>IF(A87="","",SUMIFS(tbl_Finance[Ex GST],tbl_Finance[Job Number],A87&amp;""))</f>
        <v/>
      </c>
      <c r="G87" s="14">
        <f>IF(A87="","",IFERROR(INDEX(tbl_Finance[Cost Centre],MATCH(A87&amp;"",tbl_Finance[Job Number],0)),"not invoiced yet"))</f>
        <v/>
      </c>
      <c r="H87" s="11" t="n"/>
      <c r="I87" s="13" t="n"/>
      <c r="J87" s="13" t="n"/>
      <c r="K87" s="13" t="n"/>
      <c r="L87" s="15" t="n"/>
      <c r="M87" s="16">
        <f>IF(A87="","",F87+N(L87))</f>
        <v/>
      </c>
      <c r="N87" s="46">
        <f>IFERROR(L87/M87,"")</f>
        <v/>
      </c>
      <c r="O87" s="15" t="n"/>
      <c r="P87" s="15" t="n"/>
      <c r="Q87" s="16">
        <f>IF(A87="","",N(O87)+N(P87))</f>
        <v/>
      </c>
      <c r="R87" s="16">
        <f>IF(A87="","",F87-Q87)</f>
        <v/>
      </c>
      <c r="S87" s="46">
        <f>IFERROR(R87/F87,"")</f>
        <v/>
      </c>
      <c r="T87" s="45" t="n"/>
      <c r="U87" s="45" t="n"/>
      <c r="V87" s="45" t="n"/>
      <c r="W87" s="45" t="n"/>
      <c r="X87" s="45" t="n"/>
      <c r="Y87" s="13" t="n"/>
    </row>
    <row r="88" ht="15" customHeight="1">
      <c r="A88" s="13" t="n"/>
      <c r="B88" s="14">
        <f>IF(A88="","",IF(COUNTIF(lst_Jobs,A88&amp;"")&gt;0,"OK","CHECK"))</f>
        <v/>
      </c>
      <c r="C88" s="14">
        <f>IF(A88="","",IFERROR(INDEX(lst_JobName,MATCH(A88&amp;"",lst_Jobs,0)),""))</f>
        <v/>
      </c>
      <c r="D88" s="14">
        <f>IF(A88="","",IFERROR(INDEX(tbl_Finance[Client],MATCH(A88&amp;"",tbl_Finance[Job Number],0)),""))</f>
        <v/>
      </c>
      <c r="E88" s="44">
        <f>IF(A88="","",COUNTIFS(tbl_Finance[Job Number],A88&amp;"",tbl_Finance[Ex GST],"&lt;&gt;"))</f>
        <v/>
      </c>
      <c r="F88" s="16">
        <f>IF(A88="","",SUMIFS(tbl_Finance[Ex GST],tbl_Finance[Job Number],A88&amp;""))</f>
        <v/>
      </c>
      <c r="G88" s="14">
        <f>IF(A88="","",IFERROR(INDEX(tbl_Finance[Cost Centre],MATCH(A88&amp;"",tbl_Finance[Job Number],0)),"not invoiced yet"))</f>
        <v/>
      </c>
      <c r="H88" s="11" t="n"/>
      <c r="I88" s="13" t="n"/>
      <c r="J88" s="13" t="n"/>
      <c r="K88" s="13" t="n"/>
      <c r="L88" s="15" t="n"/>
      <c r="M88" s="16">
        <f>IF(A88="","",F88+N(L88))</f>
        <v/>
      </c>
      <c r="N88" s="46">
        <f>IFERROR(L88/M88,"")</f>
        <v/>
      </c>
      <c r="O88" s="15" t="n"/>
      <c r="P88" s="15" t="n"/>
      <c r="Q88" s="16">
        <f>IF(A88="","",N(O88)+N(P88))</f>
        <v/>
      </c>
      <c r="R88" s="16">
        <f>IF(A88="","",F88-Q88)</f>
        <v/>
      </c>
      <c r="S88" s="46">
        <f>IFERROR(R88/F88,"")</f>
        <v/>
      </c>
      <c r="T88" s="45" t="n"/>
      <c r="U88" s="45" t="n"/>
      <c r="V88" s="45" t="n"/>
      <c r="W88" s="45" t="n"/>
      <c r="X88" s="45" t="n"/>
      <c r="Y88" s="13" t="n"/>
    </row>
    <row r="89" ht="15" customHeight="1">
      <c r="A89" s="13" t="n"/>
      <c r="B89" s="14">
        <f>IF(A89="","",IF(COUNTIF(lst_Jobs,A89&amp;"")&gt;0,"OK","CHECK"))</f>
        <v/>
      </c>
      <c r="C89" s="14">
        <f>IF(A89="","",IFERROR(INDEX(lst_JobName,MATCH(A89&amp;"",lst_Jobs,0)),""))</f>
        <v/>
      </c>
      <c r="D89" s="14">
        <f>IF(A89="","",IFERROR(INDEX(tbl_Finance[Client],MATCH(A89&amp;"",tbl_Finance[Job Number],0)),""))</f>
        <v/>
      </c>
      <c r="E89" s="44">
        <f>IF(A89="","",COUNTIFS(tbl_Finance[Job Number],A89&amp;"",tbl_Finance[Ex GST],"&lt;&gt;"))</f>
        <v/>
      </c>
      <c r="F89" s="16">
        <f>IF(A89="","",SUMIFS(tbl_Finance[Ex GST],tbl_Finance[Job Number],A89&amp;""))</f>
        <v/>
      </c>
      <c r="G89" s="14">
        <f>IF(A89="","",IFERROR(INDEX(tbl_Finance[Cost Centre],MATCH(A89&amp;"",tbl_Finance[Job Number],0)),"not invoiced yet"))</f>
        <v/>
      </c>
      <c r="H89" s="11" t="n"/>
      <c r="I89" s="13" t="n"/>
      <c r="J89" s="13" t="n"/>
      <c r="K89" s="13" t="n"/>
      <c r="L89" s="15" t="n"/>
      <c r="M89" s="16">
        <f>IF(A89="","",F89+N(L89))</f>
        <v/>
      </c>
      <c r="N89" s="46">
        <f>IFERROR(L89/M89,"")</f>
        <v/>
      </c>
      <c r="O89" s="15" t="n"/>
      <c r="P89" s="15" t="n"/>
      <c r="Q89" s="16">
        <f>IF(A89="","",N(O89)+N(P89))</f>
        <v/>
      </c>
      <c r="R89" s="16">
        <f>IF(A89="","",F89-Q89)</f>
        <v/>
      </c>
      <c r="S89" s="46">
        <f>IFERROR(R89/F89,"")</f>
        <v/>
      </c>
      <c r="T89" s="45" t="n"/>
      <c r="U89" s="45" t="n"/>
      <c r="V89" s="45" t="n"/>
      <c r="W89" s="45" t="n"/>
      <c r="X89" s="45" t="n"/>
      <c r="Y89" s="13" t="n"/>
    </row>
    <row r="90" ht="15" customHeight="1">
      <c r="A90" s="13" t="n"/>
      <c r="B90" s="14">
        <f>IF(A90="","",IF(COUNTIF(lst_Jobs,A90&amp;"")&gt;0,"OK","CHECK"))</f>
        <v/>
      </c>
      <c r="C90" s="14">
        <f>IF(A90="","",IFERROR(INDEX(lst_JobName,MATCH(A90&amp;"",lst_Jobs,0)),""))</f>
        <v/>
      </c>
      <c r="D90" s="14">
        <f>IF(A90="","",IFERROR(INDEX(tbl_Finance[Client],MATCH(A90&amp;"",tbl_Finance[Job Number],0)),""))</f>
        <v/>
      </c>
      <c r="E90" s="44">
        <f>IF(A90="","",COUNTIFS(tbl_Finance[Job Number],A90&amp;"",tbl_Finance[Ex GST],"&lt;&gt;"))</f>
        <v/>
      </c>
      <c r="F90" s="16">
        <f>IF(A90="","",SUMIFS(tbl_Finance[Ex GST],tbl_Finance[Job Number],A90&amp;""))</f>
        <v/>
      </c>
      <c r="G90" s="14">
        <f>IF(A90="","",IFERROR(INDEX(tbl_Finance[Cost Centre],MATCH(A90&amp;"",tbl_Finance[Job Number],0)),"not invoiced yet"))</f>
        <v/>
      </c>
      <c r="H90" s="11" t="n"/>
      <c r="I90" s="13" t="n"/>
      <c r="J90" s="13" t="n"/>
      <c r="K90" s="13" t="n"/>
      <c r="L90" s="15" t="n"/>
      <c r="M90" s="16">
        <f>IF(A90="","",F90+N(L90))</f>
        <v/>
      </c>
      <c r="N90" s="46">
        <f>IFERROR(L90/M90,"")</f>
        <v/>
      </c>
      <c r="O90" s="15" t="n"/>
      <c r="P90" s="15" t="n"/>
      <c r="Q90" s="16">
        <f>IF(A90="","",N(O90)+N(P90))</f>
        <v/>
      </c>
      <c r="R90" s="16">
        <f>IF(A90="","",F90-Q90)</f>
        <v/>
      </c>
      <c r="S90" s="46">
        <f>IFERROR(R90/F90,"")</f>
        <v/>
      </c>
      <c r="T90" s="45" t="n"/>
      <c r="U90" s="45" t="n"/>
      <c r="V90" s="45" t="n"/>
      <c r="W90" s="45" t="n"/>
      <c r="X90" s="45" t="n"/>
      <c r="Y90" s="13" t="n"/>
    </row>
    <row r="91" ht="15" customHeight="1">
      <c r="A91" s="13" t="n"/>
      <c r="B91" s="14">
        <f>IF(A91="","",IF(COUNTIF(lst_Jobs,A91&amp;"")&gt;0,"OK","CHECK"))</f>
        <v/>
      </c>
      <c r="C91" s="14">
        <f>IF(A91="","",IFERROR(INDEX(lst_JobName,MATCH(A91&amp;"",lst_Jobs,0)),""))</f>
        <v/>
      </c>
      <c r="D91" s="14">
        <f>IF(A91="","",IFERROR(INDEX(tbl_Finance[Client],MATCH(A91&amp;"",tbl_Finance[Job Number],0)),""))</f>
        <v/>
      </c>
      <c r="E91" s="44">
        <f>IF(A91="","",COUNTIFS(tbl_Finance[Job Number],A91&amp;"",tbl_Finance[Ex GST],"&lt;&gt;"))</f>
        <v/>
      </c>
      <c r="F91" s="16">
        <f>IF(A91="","",SUMIFS(tbl_Finance[Ex GST],tbl_Finance[Job Number],A91&amp;""))</f>
        <v/>
      </c>
      <c r="G91" s="14">
        <f>IF(A91="","",IFERROR(INDEX(tbl_Finance[Cost Centre],MATCH(A91&amp;"",tbl_Finance[Job Number],0)),"not invoiced yet"))</f>
        <v/>
      </c>
      <c r="H91" s="11" t="n"/>
      <c r="I91" s="13" t="n"/>
      <c r="J91" s="13" t="n"/>
      <c r="K91" s="13" t="n"/>
      <c r="L91" s="15" t="n"/>
      <c r="M91" s="16">
        <f>IF(A91="","",F91+N(L91))</f>
        <v/>
      </c>
      <c r="N91" s="46">
        <f>IFERROR(L91/M91,"")</f>
        <v/>
      </c>
      <c r="O91" s="15" t="n"/>
      <c r="P91" s="15" t="n"/>
      <c r="Q91" s="16">
        <f>IF(A91="","",N(O91)+N(P91))</f>
        <v/>
      </c>
      <c r="R91" s="16">
        <f>IF(A91="","",F91-Q91)</f>
        <v/>
      </c>
      <c r="S91" s="46">
        <f>IFERROR(R91/F91,"")</f>
        <v/>
      </c>
      <c r="T91" s="45" t="n"/>
      <c r="U91" s="45" t="n"/>
      <c r="V91" s="45" t="n"/>
      <c r="W91" s="45" t="n"/>
      <c r="X91" s="45" t="n"/>
      <c r="Y91" s="13" t="n"/>
    </row>
    <row r="92" ht="15" customHeight="1">
      <c r="A92" s="13" t="n"/>
      <c r="B92" s="14">
        <f>IF(A92="","",IF(COUNTIF(lst_Jobs,A92&amp;"")&gt;0,"OK","CHECK"))</f>
        <v/>
      </c>
      <c r="C92" s="14">
        <f>IF(A92="","",IFERROR(INDEX(lst_JobName,MATCH(A92&amp;"",lst_Jobs,0)),""))</f>
        <v/>
      </c>
      <c r="D92" s="14">
        <f>IF(A92="","",IFERROR(INDEX(tbl_Finance[Client],MATCH(A92&amp;"",tbl_Finance[Job Number],0)),""))</f>
        <v/>
      </c>
      <c r="E92" s="44">
        <f>IF(A92="","",COUNTIFS(tbl_Finance[Job Number],A92&amp;"",tbl_Finance[Ex GST],"&lt;&gt;"))</f>
        <v/>
      </c>
      <c r="F92" s="16">
        <f>IF(A92="","",SUMIFS(tbl_Finance[Ex GST],tbl_Finance[Job Number],A92&amp;""))</f>
        <v/>
      </c>
      <c r="G92" s="14">
        <f>IF(A92="","",IFERROR(INDEX(tbl_Finance[Cost Centre],MATCH(A92&amp;"",tbl_Finance[Job Number],0)),"not invoiced yet"))</f>
        <v/>
      </c>
      <c r="H92" s="11" t="n"/>
      <c r="I92" s="13" t="n"/>
      <c r="J92" s="13" t="n"/>
      <c r="K92" s="13" t="n"/>
      <c r="L92" s="15" t="n"/>
      <c r="M92" s="16">
        <f>IF(A92="","",F92+N(L92))</f>
        <v/>
      </c>
      <c r="N92" s="46">
        <f>IFERROR(L92/M92,"")</f>
        <v/>
      </c>
      <c r="O92" s="15" t="n"/>
      <c r="P92" s="15" t="n"/>
      <c r="Q92" s="16">
        <f>IF(A92="","",N(O92)+N(P92))</f>
        <v/>
      </c>
      <c r="R92" s="16">
        <f>IF(A92="","",F92-Q92)</f>
        <v/>
      </c>
      <c r="S92" s="46">
        <f>IFERROR(R92/F92,"")</f>
        <v/>
      </c>
      <c r="T92" s="45" t="n"/>
      <c r="U92" s="45" t="n"/>
      <c r="V92" s="45" t="n"/>
      <c r="W92" s="45" t="n"/>
      <c r="X92" s="45" t="n"/>
      <c r="Y92" s="13" t="n"/>
    </row>
    <row r="93" ht="15" customHeight="1">
      <c r="A93" s="13" t="n"/>
      <c r="B93" s="14">
        <f>IF(A93="","",IF(COUNTIF(lst_Jobs,A93&amp;"")&gt;0,"OK","CHECK"))</f>
        <v/>
      </c>
      <c r="C93" s="14">
        <f>IF(A93="","",IFERROR(INDEX(lst_JobName,MATCH(A93&amp;"",lst_Jobs,0)),""))</f>
        <v/>
      </c>
      <c r="D93" s="14">
        <f>IF(A93="","",IFERROR(INDEX(tbl_Finance[Client],MATCH(A93&amp;"",tbl_Finance[Job Number],0)),""))</f>
        <v/>
      </c>
      <c r="E93" s="44">
        <f>IF(A93="","",COUNTIFS(tbl_Finance[Job Number],A93&amp;"",tbl_Finance[Ex GST],"&lt;&gt;"))</f>
        <v/>
      </c>
      <c r="F93" s="16">
        <f>IF(A93="","",SUMIFS(tbl_Finance[Ex GST],tbl_Finance[Job Number],A93&amp;""))</f>
        <v/>
      </c>
      <c r="G93" s="14">
        <f>IF(A93="","",IFERROR(INDEX(tbl_Finance[Cost Centre],MATCH(A93&amp;"",tbl_Finance[Job Number],0)),"not invoiced yet"))</f>
        <v/>
      </c>
      <c r="H93" s="11" t="n"/>
      <c r="I93" s="13" t="n"/>
      <c r="J93" s="13" t="n"/>
      <c r="K93" s="13" t="n"/>
      <c r="L93" s="15" t="n"/>
      <c r="M93" s="16">
        <f>IF(A93="","",F93+N(L93))</f>
        <v/>
      </c>
      <c r="N93" s="46">
        <f>IFERROR(L93/M93,"")</f>
        <v/>
      </c>
      <c r="O93" s="15" t="n"/>
      <c r="P93" s="15" t="n"/>
      <c r="Q93" s="16">
        <f>IF(A93="","",N(O93)+N(P93))</f>
        <v/>
      </c>
      <c r="R93" s="16">
        <f>IF(A93="","",F93-Q93)</f>
        <v/>
      </c>
      <c r="S93" s="46">
        <f>IFERROR(R93/F93,"")</f>
        <v/>
      </c>
      <c r="T93" s="45" t="n"/>
      <c r="U93" s="45" t="n"/>
      <c r="V93" s="45" t="n"/>
      <c r="W93" s="45" t="n"/>
      <c r="X93" s="45" t="n"/>
      <c r="Y93" s="13" t="n"/>
    </row>
    <row r="94" ht="15" customHeight="1">
      <c r="A94" s="13" t="n"/>
      <c r="B94" s="14">
        <f>IF(A94="","",IF(COUNTIF(lst_Jobs,A94&amp;"")&gt;0,"OK","CHECK"))</f>
        <v/>
      </c>
      <c r="C94" s="14">
        <f>IF(A94="","",IFERROR(INDEX(lst_JobName,MATCH(A94&amp;"",lst_Jobs,0)),""))</f>
        <v/>
      </c>
      <c r="D94" s="14">
        <f>IF(A94="","",IFERROR(INDEX(tbl_Finance[Client],MATCH(A94&amp;"",tbl_Finance[Job Number],0)),""))</f>
        <v/>
      </c>
      <c r="E94" s="44">
        <f>IF(A94="","",COUNTIFS(tbl_Finance[Job Number],A94&amp;"",tbl_Finance[Ex GST],"&lt;&gt;"))</f>
        <v/>
      </c>
      <c r="F94" s="16">
        <f>IF(A94="","",SUMIFS(tbl_Finance[Ex GST],tbl_Finance[Job Number],A94&amp;""))</f>
        <v/>
      </c>
      <c r="G94" s="14">
        <f>IF(A94="","",IFERROR(INDEX(tbl_Finance[Cost Centre],MATCH(A94&amp;"",tbl_Finance[Job Number],0)),"not invoiced yet"))</f>
        <v/>
      </c>
      <c r="H94" s="11" t="n"/>
      <c r="I94" s="13" t="n"/>
      <c r="J94" s="13" t="n"/>
      <c r="K94" s="13" t="n"/>
      <c r="L94" s="15" t="n"/>
      <c r="M94" s="16">
        <f>IF(A94="","",F94+N(L94))</f>
        <v/>
      </c>
      <c r="N94" s="46">
        <f>IFERROR(L94/M94,"")</f>
        <v/>
      </c>
      <c r="O94" s="15" t="n"/>
      <c r="P94" s="15" t="n"/>
      <c r="Q94" s="16">
        <f>IF(A94="","",N(O94)+N(P94))</f>
        <v/>
      </c>
      <c r="R94" s="16">
        <f>IF(A94="","",F94-Q94)</f>
        <v/>
      </c>
      <c r="S94" s="46">
        <f>IFERROR(R94/F94,"")</f>
        <v/>
      </c>
      <c r="T94" s="45" t="n"/>
      <c r="U94" s="45" t="n"/>
      <c r="V94" s="45" t="n"/>
      <c r="W94" s="45" t="n"/>
      <c r="X94" s="45" t="n"/>
      <c r="Y94" s="13" t="n"/>
    </row>
    <row r="95" ht="15" customHeight="1">
      <c r="A95" s="13" t="n"/>
      <c r="B95" s="14">
        <f>IF(A95="","",IF(COUNTIF(lst_Jobs,A95&amp;"")&gt;0,"OK","CHECK"))</f>
        <v/>
      </c>
      <c r="C95" s="14">
        <f>IF(A95="","",IFERROR(INDEX(lst_JobName,MATCH(A95&amp;"",lst_Jobs,0)),""))</f>
        <v/>
      </c>
      <c r="D95" s="14">
        <f>IF(A95="","",IFERROR(INDEX(tbl_Finance[Client],MATCH(A95&amp;"",tbl_Finance[Job Number],0)),""))</f>
        <v/>
      </c>
      <c r="E95" s="44">
        <f>IF(A95="","",COUNTIFS(tbl_Finance[Job Number],A95&amp;"",tbl_Finance[Ex GST],"&lt;&gt;"))</f>
        <v/>
      </c>
      <c r="F95" s="16">
        <f>IF(A95="","",SUMIFS(tbl_Finance[Ex GST],tbl_Finance[Job Number],A95&amp;""))</f>
        <v/>
      </c>
      <c r="G95" s="14">
        <f>IF(A95="","",IFERROR(INDEX(tbl_Finance[Cost Centre],MATCH(A95&amp;"",tbl_Finance[Job Number],0)),"not invoiced yet"))</f>
        <v/>
      </c>
      <c r="H95" s="11" t="n"/>
      <c r="I95" s="13" t="n"/>
      <c r="J95" s="13" t="n"/>
      <c r="K95" s="13" t="n"/>
      <c r="L95" s="15" t="n"/>
      <c r="M95" s="16">
        <f>IF(A95="","",F95+N(L95))</f>
        <v/>
      </c>
      <c r="N95" s="46">
        <f>IFERROR(L95/M95,"")</f>
        <v/>
      </c>
      <c r="O95" s="15" t="n"/>
      <c r="P95" s="15" t="n"/>
      <c r="Q95" s="16">
        <f>IF(A95="","",N(O95)+N(P95))</f>
        <v/>
      </c>
      <c r="R95" s="16">
        <f>IF(A95="","",F95-Q95)</f>
        <v/>
      </c>
      <c r="S95" s="46">
        <f>IFERROR(R95/F95,"")</f>
        <v/>
      </c>
      <c r="T95" s="45" t="n"/>
      <c r="U95" s="45" t="n"/>
      <c r="V95" s="45" t="n"/>
      <c r="W95" s="45" t="n"/>
      <c r="X95" s="45" t="n"/>
      <c r="Y95" s="13" t="n"/>
    </row>
    <row r="96" ht="15" customHeight="1">
      <c r="A96" s="13" t="n"/>
      <c r="B96" s="14">
        <f>IF(A96="","",IF(COUNTIF(lst_Jobs,A96&amp;"")&gt;0,"OK","CHECK"))</f>
        <v/>
      </c>
      <c r="C96" s="14">
        <f>IF(A96="","",IFERROR(INDEX(lst_JobName,MATCH(A96&amp;"",lst_Jobs,0)),""))</f>
        <v/>
      </c>
      <c r="D96" s="14">
        <f>IF(A96="","",IFERROR(INDEX(tbl_Finance[Client],MATCH(A96&amp;"",tbl_Finance[Job Number],0)),""))</f>
        <v/>
      </c>
      <c r="E96" s="44">
        <f>IF(A96="","",COUNTIFS(tbl_Finance[Job Number],A96&amp;"",tbl_Finance[Ex GST],"&lt;&gt;"))</f>
        <v/>
      </c>
      <c r="F96" s="16">
        <f>IF(A96="","",SUMIFS(tbl_Finance[Ex GST],tbl_Finance[Job Number],A96&amp;""))</f>
        <v/>
      </c>
      <c r="G96" s="14">
        <f>IF(A96="","",IFERROR(INDEX(tbl_Finance[Cost Centre],MATCH(A96&amp;"",tbl_Finance[Job Number],0)),"not invoiced yet"))</f>
        <v/>
      </c>
      <c r="H96" s="11" t="n"/>
      <c r="I96" s="13" t="n"/>
      <c r="J96" s="13" t="n"/>
      <c r="K96" s="13" t="n"/>
      <c r="L96" s="15" t="n"/>
      <c r="M96" s="16">
        <f>IF(A96="","",F96+N(L96))</f>
        <v/>
      </c>
      <c r="N96" s="46">
        <f>IFERROR(L96/M96,"")</f>
        <v/>
      </c>
      <c r="O96" s="15" t="n"/>
      <c r="P96" s="15" t="n"/>
      <c r="Q96" s="16">
        <f>IF(A96="","",N(O96)+N(P96))</f>
        <v/>
      </c>
      <c r="R96" s="16">
        <f>IF(A96="","",F96-Q96)</f>
        <v/>
      </c>
      <c r="S96" s="46">
        <f>IFERROR(R96/F96,"")</f>
        <v/>
      </c>
      <c r="T96" s="45" t="n"/>
      <c r="U96" s="45" t="n"/>
      <c r="V96" s="45" t="n"/>
      <c r="W96" s="45" t="n"/>
      <c r="X96" s="45" t="n"/>
      <c r="Y96" s="13" t="n"/>
    </row>
    <row r="97" ht="15" customHeight="1">
      <c r="A97" s="13" t="n"/>
      <c r="B97" s="14">
        <f>IF(A97="","",IF(COUNTIF(lst_Jobs,A97&amp;"")&gt;0,"OK","CHECK"))</f>
        <v/>
      </c>
      <c r="C97" s="14">
        <f>IF(A97="","",IFERROR(INDEX(lst_JobName,MATCH(A97&amp;"",lst_Jobs,0)),""))</f>
        <v/>
      </c>
      <c r="D97" s="14">
        <f>IF(A97="","",IFERROR(INDEX(tbl_Finance[Client],MATCH(A97&amp;"",tbl_Finance[Job Number],0)),""))</f>
        <v/>
      </c>
      <c r="E97" s="44">
        <f>IF(A97="","",COUNTIFS(tbl_Finance[Job Number],A97&amp;"",tbl_Finance[Ex GST],"&lt;&gt;"))</f>
        <v/>
      </c>
      <c r="F97" s="16">
        <f>IF(A97="","",SUMIFS(tbl_Finance[Ex GST],tbl_Finance[Job Number],A97&amp;""))</f>
        <v/>
      </c>
      <c r="G97" s="14">
        <f>IF(A97="","",IFERROR(INDEX(tbl_Finance[Cost Centre],MATCH(A97&amp;"",tbl_Finance[Job Number],0)),"not invoiced yet"))</f>
        <v/>
      </c>
      <c r="H97" s="11" t="n"/>
      <c r="I97" s="13" t="n"/>
      <c r="J97" s="13" t="n"/>
      <c r="K97" s="13" t="n"/>
      <c r="L97" s="15" t="n"/>
      <c r="M97" s="16">
        <f>IF(A97="","",F97+N(L97))</f>
        <v/>
      </c>
      <c r="N97" s="46">
        <f>IFERROR(L97/M97,"")</f>
        <v/>
      </c>
      <c r="O97" s="15" t="n"/>
      <c r="P97" s="15" t="n"/>
      <c r="Q97" s="16">
        <f>IF(A97="","",N(O97)+N(P97))</f>
        <v/>
      </c>
      <c r="R97" s="16">
        <f>IF(A97="","",F97-Q97)</f>
        <v/>
      </c>
      <c r="S97" s="46">
        <f>IFERROR(R97/F97,"")</f>
        <v/>
      </c>
      <c r="T97" s="45" t="n"/>
      <c r="U97" s="45" t="n"/>
      <c r="V97" s="45" t="n"/>
      <c r="W97" s="45" t="n"/>
      <c r="X97" s="45" t="n"/>
      <c r="Y97" s="13" t="n"/>
    </row>
    <row r="98" ht="15" customHeight="1">
      <c r="A98" s="13" t="n"/>
      <c r="B98" s="14">
        <f>IF(A98="","",IF(COUNTIF(lst_Jobs,A98&amp;"")&gt;0,"OK","CHECK"))</f>
        <v/>
      </c>
      <c r="C98" s="14">
        <f>IF(A98="","",IFERROR(INDEX(lst_JobName,MATCH(A98&amp;"",lst_Jobs,0)),""))</f>
        <v/>
      </c>
      <c r="D98" s="14">
        <f>IF(A98="","",IFERROR(INDEX(tbl_Finance[Client],MATCH(A98&amp;"",tbl_Finance[Job Number],0)),""))</f>
        <v/>
      </c>
      <c r="E98" s="44">
        <f>IF(A98="","",COUNTIFS(tbl_Finance[Job Number],A98&amp;"",tbl_Finance[Ex GST],"&lt;&gt;"))</f>
        <v/>
      </c>
      <c r="F98" s="16">
        <f>IF(A98="","",SUMIFS(tbl_Finance[Ex GST],tbl_Finance[Job Number],A98&amp;""))</f>
        <v/>
      </c>
      <c r="G98" s="14">
        <f>IF(A98="","",IFERROR(INDEX(tbl_Finance[Cost Centre],MATCH(A98&amp;"",tbl_Finance[Job Number],0)),"not invoiced yet"))</f>
        <v/>
      </c>
      <c r="H98" s="11" t="n"/>
      <c r="I98" s="13" t="n"/>
      <c r="J98" s="13" t="n"/>
      <c r="K98" s="13" t="n"/>
      <c r="L98" s="15" t="n"/>
      <c r="M98" s="16">
        <f>IF(A98="","",F98+N(L98))</f>
        <v/>
      </c>
      <c r="N98" s="46">
        <f>IFERROR(L98/M98,"")</f>
        <v/>
      </c>
      <c r="O98" s="15" t="n"/>
      <c r="P98" s="15" t="n"/>
      <c r="Q98" s="16">
        <f>IF(A98="","",N(O98)+N(P98))</f>
        <v/>
      </c>
      <c r="R98" s="16">
        <f>IF(A98="","",F98-Q98)</f>
        <v/>
      </c>
      <c r="S98" s="46">
        <f>IFERROR(R98/F98,"")</f>
        <v/>
      </c>
      <c r="T98" s="45" t="n"/>
      <c r="U98" s="45" t="n"/>
      <c r="V98" s="45" t="n"/>
      <c r="W98" s="45" t="n"/>
      <c r="X98" s="45" t="n"/>
      <c r="Y98" s="13" t="n"/>
    </row>
    <row r="99" ht="15" customHeight="1">
      <c r="A99" s="13" t="n"/>
      <c r="B99" s="14">
        <f>IF(A99="","",IF(COUNTIF(lst_Jobs,A99&amp;"")&gt;0,"OK","CHECK"))</f>
        <v/>
      </c>
      <c r="C99" s="14">
        <f>IF(A99="","",IFERROR(INDEX(lst_JobName,MATCH(A99&amp;"",lst_Jobs,0)),""))</f>
        <v/>
      </c>
      <c r="D99" s="14">
        <f>IF(A99="","",IFERROR(INDEX(tbl_Finance[Client],MATCH(A99&amp;"",tbl_Finance[Job Number],0)),""))</f>
        <v/>
      </c>
      <c r="E99" s="44">
        <f>IF(A99="","",COUNTIFS(tbl_Finance[Job Number],A99&amp;"",tbl_Finance[Ex GST],"&lt;&gt;"))</f>
        <v/>
      </c>
      <c r="F99" s="16">
        <f>IF(A99="","",SUMIFS(tbl_Finance[Ex GST],tbl_Finance[Job Number],A99&amp;""))</f>
        <v/>
      </c>
      <c r="G99" s="14">
        <f>IF(A99="","",IFERROR(INDEX(tbl_Finance[Cost Centre],MATCH(A99&amp;"",tbl_Finance[Job Number],0)),"not invoiced yet"))</f>
        <v/>
      </c>
      <c r="H99" s="11" t="n"/>
      <c r="I99" s="13" t="n"/>
      <c r="J99" s="13" t="n"/>
      <c r="K99" s="13" t="n"/>
      <c r="L99" s="15" t="n"/>
      <c r="M99" s="16">
        <f>IF(A99="","",F99+N(L99))</f>
        <v/>
      </c>
      <c r="N99" s="46">
        <f>IFERROR(L99/M99,"")</f>
        <v/>
      </c>
      <c r="O99" s="15" t="n"/>
      <c r="P99" s="15" t="n"/>
      <c r="Q99" s="16">
        <f>IF(A99="","",N(O99)+N(P99))</f>
        <v/>
      </c>
      <c r="R99" s="16">
        <f>IF(A99="","",F99-Q99)</f>
        <v/>
      </c>
      <c r="S99" s="46">
        <f>IFERROR(R99/F99,"")</f>
        <v/>
      </c>
      <c r="T99" s="45" t="n"/>
      <c r="U99" s="45" t="n"/>
      <c r="V99" s="45" t="n"/>
      <c r="W99" s="45" t="n"/>
      <c r="X99" s="45" t="n"/>
      <c r="Y99" s="13" t="n"/>
    </row>
    <row r="100" ht="15" customHeight="1">
      <c r="A100" s="13" t="n"/>
      <c r="B100" s="14">
        <f>IF(A100="","",IF(COUNTIF(lst_Jobs,A100&amp;"")&gt;0,"OK","CHECK"))</f>
        <v/>
      </c>
      <c r="C100" s="14">
        <f>IF(A100="","",IFERROR(INDEX(lst_JobName,MATCH(A100&amp;"",lst_Jobs,0)),""))</f>
        <v/>
      </c>
      <c r="D100" s="14">
        <f>IF(A100="","",IFERROR(INDEX(tbl_Finance[Client],MATCH(A100&amp;"",tbl_Finance[Job Number],0)),""))</f>
        <v/>
      </c>
      <c r="E100" s="44">
        <f>IF(A100="","",COUNTIFS(tbl_Finance[Job Number],A100&amp;"",tbl_Finance[Ex GST],"&lt;&gt;"))</f>
        <v/>
      </c>
      <c r="F100" s="16">
        <f>IF(A100="","",SUMIFS(tbl_Finance[Ex GST],tbl_Finance[Job Number],A100&amp;""))</f>
        <v/>
      </c>
      <c r="G100" s="14">
        <f>IF(A100="","",IFERROR(INDEX(tbl_Finance[Cost Centre],MATCH(A100&amp;"",tbl_Finance[Job Number],0)),"not invoiced yet"))</f>
        <v/>
      </c>
      <c r="H100" s="11" t="n"/>
      <c r="I100" s="13" t="n"/>
      <c r="J100" s="13" t="n"/>
      <c r="K100" s="13" t="n"/>
      <c r="L100" s="15" t="n"/>
      <c r="M100" s="16">
        <f>IF(A100="","",F100+N(L100))</f>
        <v/>
      </c>
      <c r="N100" s="46">
        <f>IFERROR(L100/M100,"")</f>
        <v/>
      </c>
      <c r="O100" s="15" t="n"/>
      <c r="P100" s="15" t="n"/>
      <c r="Q100" s="16">
        <f>IF(A100="","",N(O100)+N(P100))</f>
        <v/>
      </c>
      <c r="R100" s="16">
        <f>IF(A100="","",F100-Q100)</f>
        <v/>
      </c>
      <c r="S100" s="46">
        <f>IFERROR(R100/F100,"")</f>
        <v/>
      </c>
      <c r="T100" s="45" t="n"/>
      <c r="U100" s="45" t="n"/>
      <c r="V100" s="45" t="n"/>
      <c r="W100" s="45" t="n"/>
      <c r="X100" s="45" t="n"/>
      <c r="Y100" s="13" t="n"/>
    </row>
    <row r="101" ht="15" customHeight="1">
      <c r="A101" s="13" t="n"/>
      <c r="B101" s="14">
        <f>IF(A101="","",IF(COUNTIF(lst_Jobs,A101&amp;"")&gt;0,"OK","CHECK"))</f>
        <v/>
      </c>
      <c r="C101" s="14">
        <f>IF(A101="","",IFERROR(INDEX(lst_JobName,MATCH(A101&amp;"",lst_Jobs,0)),""))</f>
        <v/>
      </c>
      <c r="D101" s="14">
        <f>IF(A101="","",IFERROR(INDEX(tbl_Finance[Client],MATCH(A101&amp;"",tbl_Finance[Job Number],0)),""))</f>
        <v/>
      </c>
      <c r="E101" s="44">
        <f>IF(A101="","",COUNTIFS(tbl_Finance[Job Number],A101&amp;"",tbl_Finance[Ex GST],"&lt;&gt;"))</f>
        <v/>
      </c>
      <c r="F101" s="16">
        <f>IF(A101="","",SUMIFS(tbl_Finance[Ex GST],tbl_Finance[Job Number],A101&amp;""))</f>
        <v/>
      </c>
      <c r="G101" s="14">
        <f>IF(A101="","",IFERROR(INDEX(tbl_Finance[Cost Centre],MATCH(A101&amp;"",tbl_Finance[Job Number],0)),"not invoiced yet"))</f>
        <v/>
      </c>
      <c r="H101" s="11" t="n"/>
      <c r="I101" s="13" t="n"/>
      <c r="J101" s="13" t="n"/>
      <c r="K101" s="13" t="n"/>
      <c r="L101" s="15" t="n"/>
      <c r="M101" s="16">
        <f>IF(A101="","",F101+N(L101))</f>
        <v/>
      </c>
      <c r="N101" s="46">
        <f>IFERROR(L101/M101,"")</f>
        <v/>
      </c>
      <c r="O101" s="15" t="n"/>
      <c r="P101" s="15" t="n"/>
      <c r="Q101" s="16">
        <f>IF(A101="","",N(O101)+N(P101))</f>
        <v/>
      </c>
      <c r="R101" s="16">
        <f>IF(A101="","",F101-Q101)</f>
        <v/>
      </c>
      <c r="S101" s="46">
        <f>IFERROR(R101/F101,"")</f>
        <v/>
      </c>
      <c r="T101" s="45" t="n"/>
      <c r="U101" s="45" t="n"/>
      <c r="V101" s="45" t="n"/>
      <c r="W101" s="45" t="n"/>
      <c r="X101" s="45" t="n"/>
      <c r="Y101" s="13" t="n"/>
    </row>
    <row r="102" ht="15" customHeight="1">
      <c r="A102" s="13" t="n"/>
      <c r="B102" s="14">
        <f>IF(A102="","",IF(COUNTIF(lst_Jobs,A102&amp;"")&gt;0,"OK","CHECK"))</f>
        <v/>
      </c>
      <c r="C102" s="14">
        <f>IF(A102="","",IFERROR(INDEX(lst_JobName,MATCH(A102&amp;"",lst_Jobs,0)),""))</f>
        <v/>
      </c>
      <c r="D102" s="14">
        <f>IF(A102="","",IFERROR(INDEX(tbl_Finance[Client],MATCH(A102&amp;"",tbl_Finance[Job Number],0)),""))</f>
        <v/>
      </c>
      <c r="E102" s="44">
        <f>IF(A102="","",COUNTIFS(tbl_Finance[Job Number],A102&amp;"",tbl_Finance[Ex GST],"&lt;&gt;"))</f>
        <v/>
      </c>
      <c r="F102" s="16">
        <f>IF(A102="","",SUMIFS(tbl_Finance[Ex GST],tbl_Finance[Job Number],A102&amp;""))</f>
        <v/>
      </c>
      <c r="G102" s="14">
        <f>IF(A102="","",IFERROR(INDEX(tbl_Finance[Cost Centre],MATCH(A102&amp;"",tbl_Finance[Job Number],0)),"not invoiced yet"))</f>
        <v/>
      </c>
      <c r="H102" s="11" t="n"/>
      <c r="I102" s="13" t="n"/>
      <c r="J102" s="13" t="n"/>
      <c r="K102" s="13" t="n"/>
      <c r="L102" s="15" t="n"/>
      <c r="M102" s="16">
        <f>IF(A102="","",F102+N(L102))</f>
        <v/>
      </c>
      <c r="N102" s="46">
        <f>IFERROR(L102/M102,"")</f>
        <v/>
      </c>
      <c r="O102" s="15" t="n"/>
      <c r="P102" s="15" t="n"/>
      <c r="Q102" s="16">
        <f>IF(A102="","",N(O102)+N(P102))</f>
        <v/>
      </c>
      <c r="R102" s="16">
        <f>IF(A102="","",F102-Q102)</f>
        <v/>
      </c>
      <c r="S102" s="46">
        <f>IFERROR(R102/F102,"")</f>
        <v/>
      </c>
      <c r="T102" s="45" t="n"/>
      <c r="U102" s="45" t="n"/>
      <c r="V102" s="45" t="n"/>
      <c r="W102" s="45" t="n"/>
      <c r="X102" s="45" t="n"/>
      <c r="Y102" s="13" t="n"/>
    </row>
    <row r="103" ht="15" customHeight="1">
      <c r="A103" s="13" t="n"/>
      <c r="B103" s="14">
        <f>IF(A103="","",IF(COUNTIF(lst_Jobs,A103&amp;"")&gt;0,"OK","CHECK"))</f>
        <v/>
      </c>
      <c r="C103" s="14">
        <f>IF(A103="","",IFERROR(INDEX(lst_JobName,MATCH(A103&amp;"",lst_Jobs,0)),""))</f>
        <v/>
      </c>
      <c r="D103" s="14">
        <f>IF(A103="","",IFERROR(INDEX(tbl_Finance[Client],MATCH(A103&amp;"",tbl_Finance[Job Number],0)),""))</f>
        <v/>
      </c>
      <c r="E103" s="44">
        <f>IF(A103="","",COUNTIFS(tbl_Finance[Job Number],A103&amp;"",tbl_Finance[Ex GST],"&lt;&gt;"))</f>
        <v/>
      </c>
      <c r="F103" s="16">
        <f>IF(A103="","",SUMIFS(tbl_Finance[Ex GST],tbl_Finance[Job Number],A103&amp;""))</f>
        <v/>
      </c>
      <c r="G103" s="14">
        <f>IF(A103="","",IFERROR(INDEX(tbl_Finance[Cost Centre],MATCH(A103&amp;"",tbl_Finance[Job Number],0)),"not invoiced yet"))</f>
        <v/>
      </c>
      <c r="H103" s="11" t="n"/>
      <c r="I103" s="13" t="n"/>
      <c r="J103" s="13" t="n"/>
      <c r="K103" s="13" t="n"/>
      <c r="L103" s="15" t="n"/>
      <c r="M103" s="16">
        <f>IF(A103="","",F103+N(L103))</f>
        <v/>
      </c>
      <c r="N103" s="46">
        <f>IFERROR(L103/M103,"")</f>
        <v/>
      </c>
      <c r="O103" s="15" t="n"/>
      <c r="P103" s="15" t="n"/>
      <c r="Q103" s="16">
        <f>IF(A103="","",N(O103)+N(P103))</f>
        <v/>
      </c>
      <c r="R103" s="16">
        <f>IF(A103="","",F103-Q103)</f>
        <v/>
      </c>
      <c r="S103" s="46">
        <f>IFERROR(R103/F103,"")</f>
        <v/>
      </c>
      <c r="T103" s="45" t="n"/>
      <c r="U103" s="45" t="n"/>
      <c r="V103" s="45" t="n"/>
      <c r="W103" s="45" t="n"/>
      <c r="X103" s="45" t="n"/>
      <c r="Y103" s="13" t="n"/>
    </row>
    <row r="104" ht="15" customHeight="1">
      <c r="A104" s="13" t="n"/>
      <c r="B104" s="14">
        <f>IF(A104="","",IF(COUNTIF(lst_Jobs,A104&amp;"")&gt;0,"OK","CHECK"))</f>
        <v/>
      </c>
      <c r="C104" s="14">
        <f>IF(A104="","",IFERROR(INDEX(lst_JobName,MATCH(A104&amp;"",lst_Jobs,0)),""))</f>
        <v/>
      </c>
      <c r="D104" s="14">
        <f>IF(A104="","",IFERROR(INDEX(tbl_Finance[Client],MATCH(A104&amp;"",tbl_Finance[Job Number],0)),""))</f>
        <v/>
      </c>
      <c r="E104" s="44">
        <f>IF(A104="","",COUNTIFS(tbl_Finance[Job Number],A104&amp;"",tbl_Finance[Ex GST],"&lt;&gt;"))</f>
        <v/>
      </c>
      <c r="F104" s="16">
        <f>IF(A104="","",SUMIFS(tbl_Finance[Ex GST],tbl_Finance[Job Number],A104&amp;""))</f>
        <v/>
      </c>
      <c r="G104" s="14">
        <f>IF(A104="","",IFERROR(INDEX(tbl_Finance[Cost Centre],MATCH(A104&amp;"",tbl_Finance[Job Number],0)),"not invoiced yet"))</f>
        <v/>
      </c>
      <c r="H104" s="11" t="n"/>
      <c r="I104" s="13" t="n"/>
      <c r="J104" s="13" t="n"/>
      <c r="K104" s="13" t="n"/>
      <c r="L104" s="15" t="n"/>
      <c r="M104" s="16">
        <f>IF(A104="","",F104+N(L104))</f>
        <v/>
      </c>
      <c r="N104" s="46">
        <f>IFERROR(L104/M104,"")</f>
        <v/>
      </c>
      <c r="O104" s="15" t="n"/>
      <c r="P104" s="15" t="n"/>
      <c r="Q104" s="16">
        <f>IF(A104="","",N(O104)+N(P104))</f>
        <v/>
      </c>
      <c r="R104" s="16">
        <f>IF(A104="","",F104-Q104)</f>
        <v/>
      </c>
      <c r="S104" s="46">
        <f>IFERROR(R104/F104,"")</f>
        <v/>
      </c>
      <c r="T104" s="45" t="n"/>
      <c r="U104" s="45" t="n"/>
      <c r="V104" s="45" t="n"/>
      <c r="W104" s="45" t="n"/>
      <c r="X104" s="45" t="n"/>
      <c r="Y104" s="13" t="n"/>
    </row>
    <row r="105" ht="15" customHeight="1">
      <c r="A105" s="13" t="n"/>
      <c r="B105" s="14">
        <f>IF(A105="","",IF(COUNTIF(lst_Jobs,A105&amp;"")&gt;0,"OK","CHECK"))</f>
        <v/>
      </c>
      <c r="C105" s="14">
        <f>IF(A105="","",IFERROR(INDEX(lst_JobName,MATCH(A105&amp;"",lst_Jobs,0)),""))</f>
        <v/>
      </c>
      <c r="D105" s="14">
        <f>IF(A105="","",IFERROR(INDEX(tbl_Finance[Client],MATCH(A105&amp;"",tbl_Finance[Job Number],0)),""))</f>
        <v/>
      </c>
      <c r="E105" s="44">
        <f>IF(A105="","",COUNTIFS(tbl_Finance[Job Number],A105&amp;"",tbl_Finance[Ex GST],"&lt;&gt;"))</f>
        <v/>
      </c>
      <c r="F105" s="16">
        <f>IF(A105="","",SUMIFS(tbl_Finance[Ex GST],tbl_Finance[Job Number],A105&amp;""))</f>
        <v/>
      </c>
      <c r="G105" s="14">
        <f>IF(A105="","",IFERROR(INDEX(tbl_Finance[Cost Centre],MATCH(A105&amp;"",tbl_Finance[Job Number],0)),"not invoiced yet"))</f>
        <v/>
      </c>
      <c r="H105" s="11" t="n"/>
      <c r="I105" s="13" t="n"/>
      <c r="J105" s="13" t="n"/>
      <c r="K105" s="13" t="n"/>
      <c r="L105" s="15" t="n"/>
      <c r="M105" s="16">
        <f>IF(A105="","",F105+N(L105))</f>
        <v/>
      </c>
      <c r="N105" s="46">
        <f>IFERROR(L105/M105,"")</f>
        <v/>
      </c>
      <c r="O105" s="15" t="n"/>
      <c r="P105" s="15" t="n"/>
      <c r="Q105" s="16">
        <f>IF(A105="","",N(O105)+N(P105))</f>
        <v/>
      </c>
      <c r="R105" s="16">
        <f>IF(A105="","",F105-Q105)</f>
        <v/>
      </c>
      <c r="S105" s="46">
        <f>IFERROR(R105/F105,"")</f>
        <v/>
      </c>
      <c r="T105" s="45" t="n"/>
      <c r="U105" s="45" t="n"/>
      <c r="V105" s="45" t="n"/>
      <c r="W105" s="45" t="n"/>
      <c r="X105" s="45" t="n"/>
      <c r="Y105" s="13" t="n"/>
    </row>
    <row r="106" ht="15" customHeight="1">
      <c r="A106" s="13" t="n"/>
      <c r="B106" s="14">
        <f>IF(A106="","",IF(COUNTIF(lst_Jobs,A106&amp;"")&gt;0,"OK","CHECK"))</f>
        <v/>
      </c>
      <c r="C106" s="14">
        <f>IF(A106="","",IFERROR(INDEX(lst_JobName,MATCH(A106&amp;"",lst_Jobs,0)),""))</f>
        <v/>
      </c>
      <c r="D106" s="14">
        <f>IF(A106="","",IFERROR(INDEX(tbl_Finance[Client],MATCH(A106&amp;"",tbl_Finance[Job Number],0)),""))</f>
        <v/>
      </c>
      <c r="E106" s="44">
        <f>IF(A106="","",COUNTIFS(tbl_Finance[Job Number],A106&amp;"",tbl_Finance[Ex GST],"&lt;&gt;"))</f>
        <v/>
      </c>
      <c r="F106" s="16">
        <f>IF(A106="","",SUMIFS(tbl_Finance[Ex GST],tbl_Finance[Job Number],A106&amp;""))</f>
        <v/>
      </c>
      <c r="G106" s="14">
        <f>IF(A106="","",IFERROR(INDEX(tbl_Finance[Cost Centre],MATCH(A106&amp;"",tbl_Finance[Job Number],0)),"not invoiced yet"))</f>
        <v/>
      </c>
      <c r="H106" s="11" t="n"/>
      <c r="I106" s="13" t="n"/>
      <c r="J106" s="13" t="n"/>
      <c r="K106" s="13" t="n"/>
      <c r="L106" s="15" t="n"/>
      <c r="M106" s="16">
        <f>IF(A106="","",F106+N(L106))</f>
        <v/>
      </c>
      <c r="N106" s="46">
        <f>IFERROR(L106/M106,"")</f>
        <v/>
      </c>
      <c r="O106" s="15" t="n"/>
      <c r="P106" s="15" t="n"/>
      <c r="Q106" s="16">
        <f>IF(A106="","",N(O106)+N(P106))</f>
        <v/>
      </c>
      <c r="R106" s="16">
        <f>IF(A106="","",F106-Q106)</f>
        <v/>
      </c>
      <c r="S106" s="46">
        <f>IFERROR(R106/F106,"")</f>
        <v/>
      </c>
      <c r="T106" s="45" t="n"/>
      <c r="U106" s="45" t="n"/>
      <c r="V106" s="45" t="n"/>
      <c r="W106" s="45" t="n"/>
      <c r="X106" s="45" t="n"/>
      <c r="Y106" s="13" t="n"/>
    </row>
    <row r="107" ht="15" customHeight="1">
      <c r="A107" s="13" t="n"/>
      <c r="B107" s="14">
        <f>IF(A107="","",IF(COUNTIF(lst_Jobs,A107&amp;"")&gt;0,"OK","CHECK"))</f>
        <v/>
      </c>
      <c r="C107" s="14">
        <f>IF(A107="","",IFERROR(INDEX(lst_JobName,MATCH(A107&amp;"",lst_Jobs,0)),""))</f>
        <v/>
      </c>
      <c r="D107" s="14">
        <f>IF(A107="","",IFERROR(INDEX(tbl_Finance[Client],MATCH(A107&amp;"",tbl_Finance[Job Number],0)),""))</f>
        <v/>
      </c>
      <c r="E107" s="44">
        <f>IF(A107="","",COUNTIFS(tbl_Finance[Job Number],A107&amp;"",tbl_Finance[Ex GST],"&lt;&gt;"))</f>
        <v/>
      </c>
      <c r="F107" s="16">
        <f>IF(A107="","",SUMIFS(tbl_Finance[Ex GST],tbl_Finance[Job Number],A107&amp;""))</f>
        <v/>
      </c>
      <c r="G107" s="14">
        <f>IF(A107="","",IFERROR(INDEX(tbl_Finance[Cost Centre],MATCH(A107&amp;"",tbl_Finance[Job Number],0)),"not invoiced yet"))</f>
        <v/>
      </c>
      <c r="H107" s="11" t="n"/>
      <c r="I107" s="13" t="n"/>
      <c r="J107" s="13" t="n"/>
      <c r="K107" s="13" t="n"/>
      <c r="L107" s="15" t="n"/>
      <c r="M107" s="16">
        <f>IF(A107="","",F107+N(L107))</f>
        <v/>
      </c>
      <c r="N107" s="46">
        <f>IFERROR(L107/M107,"")</f>
        <v/>
      </c>
      <c r="O107" s="15" t="n"/>
      <c r="P107" s="15" t="n"/>
      <c r="Q107" s="16">
        <f>IF(A107="","",N(O107)+N(P107))</f>
        <v/>
      </c>
      <c r="R107" s="16">
        <f>IF(A107="","",F107-Q107)</f>
        <v/>
      </c>
      <c r="S107" s="46">
        <f>IFERROR(R107/F107,"")</f>
        <v/>
      </c>
      <c r="T107" s="45" t="n"/>
      <c r="U107" s="45" t="n"/>
      <c r="V107" s="45" t="n"/>
      <c r="W107" s="45" t="n"/>
      <c r="X107" s="45" t="n"/>
      <c r="Y107" s="13" t="n"/>
    </row>
    <row r="108" ht="15" customHeight="1">
      <c r="A108" s="13" t="n"/>
      <c r="B108" s="14">
        <f>IF(A108="","",IF(COUNTIF(lst_Jobs,A108&amp;"")&gt;0,"OK","CHECK"))</f>
        <v/>
      </c>
      <c r="C108" s="14">
        <f>IF(A108="","",IFERROR(INDEX(lst_JobName,MATCH(A108&amp;"",lst_Jobs,0)),""))</f>
        <v/>
      </c>
      <c r="D108" s="14">
        <f>IF(A108="","",IFERROR(INDEX(tbl_Finance[Client],MATCH(A108&amp;"",tbl_Finance[Job Number],0)),""))</f>
        <v/>
      </c>
      <c r="E108" s="44">
        <f>IF(A108="","",COUNTIFS(tbl_Finance[Job Number],A108&amp;"",tbl_Finance[Ex GST],"&lt;&gt;"))</f>
        <v/>
      </c>
      <c r="F108" s="16">
        <f>IF(A108="","",SUMIFS(tbl_Finance[Ex GST],tbl_Finance[Job Number],A108&amp;""))</f>
        <v/>
      </c>
      <c r="G108" s="14">
        <f>IF(A108="","",IFERROR(INDEX(tbl_Finance[Cost Centre],MATCH(A108&amp;"",tbl_Finance[Job Number],0)),"not invoiced yet"))</f>
        <v/>
      </c>
      <c r="H108" s="11" t="n"/>
      <c r="I108" s="13" t="n"/>
      <c r="J108" s="13" t="n"/>
      <c r="K108" s="13" t="n"/>
      <c r="L108" s="15" t="n"/>
      <c r="M108" s="16">
        <f>IF(A108="","",F108+N(L108))</f>
        <v/>
      </c>
      <c r="N108" s="46">
        <f>IFERROR(L108/M108,"")</f>
        <v/>
      </c>
      <c r="O108" s="15" t="n"/>
      <c r="P108" s="15" t="n"/>
      <c r="Q108" s="16">
        <f>IF(A108="","",N(O108)+N(P108))</f>
        <v/>
      </c>
      <c r="R108" s="16">
        <f>IF(A108="","",F108-Q108)</f>
        <v/>
      </c>
      <c r="S108" s="46">
        <f>IFERROR(R108/F108,"")</f>
        <v/>
      </c>
      <c r="T108" s="45" t="n"/>
      <c r="U108" s="45" t="n"/>
      <c r="V108" s="45" t="n"/>
      <c r="W108" s="45" t="n"/>
      <c r="X108" s="45" t="n"/>
      <c r="Y108" s="13" t="n"/>
    </row>
    <row r="109" ht="15" customHeight="1">
      <c r="A109" s="13" t="n"/>
      <c r="B109" s="14">
        <f>IF(A109="","",IF(COUNTIF(lst_Jobs,A109&amp;"")&gt;0,"OK","CHECK"))</f>
        <v/>
      </c>
      <c r="C109" s="14">
        <f>IF(A109="","",IFERROR(INDEX(lst_JobName,MATCH(A109&amp;"",lst_Jobs,0)),""))</f>
        <v/>
      </c>
      <c r="D109" s="14">
        <f>IF(A109="","",IFERROR(INDEX(tbl_Finance[Client],MATCH(A109&amp;"",tbl_Finance[Job Number],0)),""))</f>
        <v/>
      </c>
      <c r="E109" s="44">
        <f>IF(A109="","",COUNTIFS(tbl_Finance[Job Number],A109&amp;"",tbl_Finance[Ex GST],"&lt;&gt;"))</f>
        <v/>
      </c>
      <c r="F109" s="16">
        <f>IF(A109="","",SUMIFS(tbl_Finance[Ex GST],tbl_Finance[Job Number],A109&amp;""))</f>
        <v/>
      </c>
      <c r="G109" s="14">
        <f>IF(A109="","",IFERROR(INDEX(tbl_Finance[Cost Centre],MATCH(A109&amp;"",tbl_Finance[Job Number],0)),"not invoiced yet"))</f>
        <v/>
      </c>
      <c r="H109" s="11" t="n"/>
      <c r="I109" s="13" t="n"/>
      <c r="J109" s="13" t="n"/>
      <c r="K109" s="13" t="n"/>
      <c r="L109" s="15" t="n"/>
      <c r="M109" s="16">
        <f>IF(A109="","",F109+N(L109))</f>
        <v/>
      </c>
      <c r="N109" s="46">
        <f>IFERROR(L109/M109,"")</f>
        <v/>
      </c>
      <c r="O109" s="15" t="n"/>
      <c r="P109" s="15" t="n"/>
      <c r="Q109" s="16">
        <f>IF(A109="","",N(O109)+N(P109))</f>
        <v/>
      </c>
      <c r="R109" s="16">
        <f>IF(A109="","",F109-Q109)</f>
        <v/>
      </c>
      <c r="S109" s="46">
        <f>IFERROR(R109/F109,"")</f>
        <v/>
      </c>
      <c r="T109" s="45" t="n"/>
      <c r="U109" s="45" t="n"/>
      <c r="V109" s="45" t="n"/>
      <c r="W109" s="45" t="n"/>
      <c r="X109" s="45" t="n"/>
      <c r="Y109" s="13" t="n"/>
    </row>
    <row r="110" ht="15" customHeight="1">
      <c r="A110" s="13" t="n"/>
      <c r="B110" s="14">
        <f>IF(A110="","",IF(COUNTIF(lst_Jobs,A110&amp;"")&gt;0,"OK","CHECK"))</f>
        <v/>
      </c>
      <c r="C110" s="14">
        <f>IF(A110="","",IFERROR(INDEX(lst_JobName,MATCH(A110&amp;"",lst_Jobs,0)),""))</f>
        <v/>
      </c>
      <c r="D110" s="14">
        <f>IF(A110="","",IFERROR(INDEX(tbl_Finance[Client],MATCH(A110&amp;"",tbl_Finance[Job Number],0)),""))</f>
        <v/>
      </c>
      <c r="E110" s="44">
        <f>IF(A110="","",COUNTIFS(tbl_Finance[Job Number],A110&amp;"",tbl_Finance[Ex GST],"&lt;&gt;"))</f>
        <v/>
      </c>
      <c r="F110" s="16">
        <f>IF(A110="","",SUMIFS(tbl_Finance[Ex GST],tbl_Finance[Job Number],A110&amp;""))</f>
        <v/>
      </c>
      <c r="G110" s="14">
        <f>IF(A110="","",IFERROR(INDEX(tbl_Finance[Cost Centre],MATCH(A110&amp;"",tbl_Finance[Job Number],0)),"not invoiced yet"))</f>
        <v/>
      </c>
      <c r="H110" s="11" t="n"/>
      <c r="I110" s="13" t="n"/>
      <c r="J110" s="13" t="n"/>
      <c r="K110" s="13" t="n"/>
      <c r="L110" s="15" t="n"/>
      <c r="M110" s="16">
        <f>IF(A110="","",F110+N(L110))</f>
        <v/>
      </c>
      <c r="N110" s="46">
        <f>IFERROR(L110/M110,"")</f>
        <v/>
      </c>
      <c r="O110" s="15" t="n"/>
      <c r="P110" s="15" t="n"/>
      <c r="Q110" s="16">
        <f>IF(A110="","",N(O110)+N(P110))</f>
        <v/>
      </c>
      <c r="R110" s="16">
        <f>IF(A110="","",F110-Q110)</f>
        <v/>
      </c>
      <c r="S110" s="46">
        <f>IFERROR(R110/F110,"")</f>
        <v/>
      </c>
      <c r="T110" s="45" t="n"/>
      <c r="U110" s="45" t="n"/>
      <c r="V110" s="45" t="n"/>
      <c r="W110" s="45" t="n"/>
      <c r="X110" s="45" t="n"/>
      <c r="Y110" s="13" t="n"/>
    </row>
    <row r="111" ht="15" customHeight="1">
      <c r="A111" s="13" t="n"/>
      <c r="B111" s="14">
        <f>IF(A111="","",IF(COUNTIF(lst_Jobs,A111&amp;"")&gt;0,"OK","CHECK"))</f>
        <v/>
      </c>
      <c r="C111" s="14">
        <f>IF(A111="","",IFERROR(INDEX(lst_JobName,MATCH(A111&amp;"",lst_Jobs,0)),""))</f>
        <v/>
      </c>
      <c r="D111" s="14">
        <f>IF(A111="","",IFERROR(INDEX(tbl_Finance[Client],MATCH(A111&amp;"",tbl_Finance[Job Number],0)),""))</f>
        <v/>
      </c>
      <c r="E111" s="44">
        <f>IF(A111="","",COUNTIFS(tbl_Finance[Job Number],A111&amp;"",tbl_Finance[Ex GST],"&lt;&gt;"))</f>
        <v/>
      </c>
      <c r="F111" s="16">
        <f>IF(A111="","",SUMIFS(tbl_Finance[Ex GST],tbl_Finance[Job Number],A111&amp;""))</f>
        <v/>
      </c>
      <c r="G111" s="14">
        <f>IF(A111="","",IFERROR(INDEX(tbl_Finance[Cost Centre],MATCH(A111&amp;"",tbl_Finance[Job Number],0)),"not invoiced yet"))</f>
        <v/>
      </c>
      <c r="H111" s="11" t="n"/>
      <c r="I111" s="13" t="n"/>
      <c r="J111" s="13" t="n"/>
      <c r="K111" s="13" t="n"/>
      <c r="L111" s="15" t="n"/>
      <c r="M111" s="16">
        <f>IF(A111="","",F111+N(L111))</f>
        <v/>
      </c>
      <c r="N111" s="46">
        <f>IFERROR(L111/M111,"")</f>
        <v/>
      </c>
      <c r="O111" s="15" t="n"/>
      <c r="P111" s="15" t="n"/>
      <c r="Q111" s="16">
        <f>IF(A111="","",N(O111)+N(P111))</f>
        <v/>
      </c>
      <c r="R111" s="16">
        <f>IF(A111="","",F111-Q111)</f>
        <v/>
      </c>
      <c r="S111" s="46">
        <f>IFERROR(R111/F111,"")</f>
        <v/>
      </c>
      <c r="T111" s="45" t="n"/>
      <c r="U111" s="45" t="n"/>
      <c r="V111" s="45" t="n"/>
      <c r="W111" s="45" t="n"/>
      <c r="X111" s="45" t="n"/>
      <c r="Y111" s="13" t="n"/>
    </row>
    <row r="112" ht="15" customHeight="1">
      <c r="A112" s="13" t="n"/>
      <c r="B112" s="14">
        <f>IF(A112="","",IF(COUNTIF(lst_Jobs,A112&amp;"")&gt;0,"OK","CHECK"))</f>
        <v/>
      </c>
      <c r="C112" s="14">
        <f>IF(A112="","",IFERROR(INDEX(lst_JobName,MATCH(A112&amp;"",lst_Jobs,0)),""))</f>
        <v/>
      </c>
      <c r="D112" s="14">
        <f>IF(A112="","",IFERROR(INDEX(tbl_Finance[Client],MATCH(A112&amp;"",tbl_Finance[Job Number],0)),""))</f>
        <v/>
      </c>
      <c r="E112" s="44">
        <f>IF(A112="","",COUNTIFS(tbl_Finance[Job Number],A112&amp;"",tbl_Finance[Ex GST],"&lt;&gt;"))</f>
        <v/>
      </c>
      <c r="F112" s="16">
        <f>IF(A112="","",SUMIFS(tbl_Finance[Ex GST],tbl_Finance[Job Number],A112&amp;""))</f>
        <v/>
      </c>
      <c r="G112" s="14">
        <f>IF(A112="","",IFERROR(INDEX(tbl_Finance[Cost Centre],MATCH(A112&amp;"",tbl_Finance[Job Number],0)),"not invoiced yet"))</f>
        <v/>
      </c>
      <c r="H112" s="11" t="n"/>
      <c r="I112" s="13" t="n"/>
      <c r="J112" s="13" t="n"/>
      <c r="K112" s="13" t="n"/>
      <c r="L112" s="15" t="n"/>
      <c r="M112" s="16">
        <f>IF(A112="","",F112+N(L112))</f>
        <v/>
      </c>
      <c r="N112" s="46">
        <f>IFERROR(L112/M112,"")</f>
        <v/>
      </c>
      <c r="O112" s="15" t="n"/>
      <c r="P112" s="15" t="n"/>
      <c r="Q112" s="16">
        <f>IF(A112="","",N(O112)+N(P112))</f>
        <v/>
      </c>
      <c r="R112" s="16">
        <f>IF(A112="","",F112-Q112)</f>
        <v/>
      </c>
      <c r="S112" s="46">
        <f>IFERROR(R112/F112,"")</f>
        <v/>
      </c>
      <c r="T112" s="45" t="n"/>
      <c r="U112" s="45" t="n"/>
      <c r="V112" s="45" t="n"/>
      <c r="W112" s="45" t="n"/>
      <c r="X112" s="45" t="n"/>
      <c r="Y112" s="13" t="n"/>
    </row>
    <row r="113" ht="15" customHeight="1">
      <c r="A113" s="13" t="n"/>
      <c r="B113" s="14">
        <f>IF(A113="","",IF(COUNTIF(lst_Jobs,A113&amp;"")&gt;0,"OK","CHECK"))</f>
        <v/>
      </c>
      <c r="C113" s="14">
        <f>IF(A113="","",IFERROR(INDEX(lst_JobName,MATCH(A113&amp;"",lst_Jobs,0)),""))</f>
        <v/>
      </c>
      <c r="D113" s="14">
        <f>IF(A113="","",IFERROR(INDEX(tbl_Finance[Client],MATCH(A113&amp;"",tbl_Finance[Job Number],0)),""))</f>
        <v/>
      </c>
      <c r="E113" s="44">
        <f>IF(A113="","",COUNTIFS(tbl_Finance[Job Number],A113&amp;"",tbl_Finance[Ex GST],"&lt;&gt;"))</f>
        <v/>
      </c>
      <c r="F113" s="16">
        <f>IF(A113="","",SUMIFS(tbl_Finance[Ex GST],tbl_Finance[Job Number],A113&amp;""))</f>
        <v/>
      </c>
      <c r="G113" s="14">
        <f>IF(A113="","",IFERROR(INDEX(tbl_Finance[Cost Centre],MATCH(A113&amp;"",tbl_Finance[Job Number],0)),"not invoiced yet"))</f>
        <v/>
      </c>
      <c r="H113" s="11" t="n"/>
      <c r="I113" s="13" t="n"/>
      <c r="J113" s="13" t="n"/>
      <c r="K113" s="13" t="n"/>
      <c r="L113" s="15" t="n"/>
      <c r="M113" s="16">
        <f>IF(A113="","",F113+N(L113))</f>
        <v/>
      </c>
      <c r="N113" s="46">
        <f>IFERROR(L113/M113,"")</f>
        <v/>
      </c>
      <c r="O113" s="15" t="n"/>
      <c r="P113" s="15" t="n"/>
      <c r="Q113" s="16">
        <f>IF(A113="","",N(O113)+N(P113))</f>
        <v/>
      </c>
      <c r="R113" s="16">
        <f>IF(A113="","",F113-Q113)</f>
        <v/>
      </c>
      <c r="S113" s="46">
        <f>IFERROR(R113/F113,"")</f>
        <v/>
      </c>
      <c r="T113" s="45" t="n"/>
      <c r="U113" s="45" t="n"/>
      <c r="V113" s="45" t="n"/>
      <c r="W113" s="45" t="n"/>
      <c r="X113" s="45" t="n"/>
      <c r="Y113" s="13" t="n"/>
    </row>
    <row r="114" ht="15" customHeight="1">
      <c r="A114" s="13" t="n"/>
      <c r="B114" s="14">
        <f>IF(A114="","",IF(COUNTIF(lst_Jobs,A114&amp;"")&gt;0,"OK","CHECK"))</f>
        <v/>
      </c>
      <c r="C114" s="14">
        <f>IF(A114="","",IFERROR(INDEX(lst_JobName,MATCH(A114&amp;"",lst_Jobs,0)),""))</f>
        <v/>
      </c>
      <c r="D114" s="14">
        <f>IF(A114="","",IFERROR(INDEX(tbl_Finance[Client],MATCH(A114&amp;"",tbl_Finance[Job Number],0)),""))</f>
        <v/>
      </c>
      <c r="E114" s="44">
        <f>IF(A114="","",COUNTIFS(tbl_Finance[Job Number],A114&amp;"",tbl_Finance[Ex GST],"&lt;&gt;"))</f>
        <v/>
      </c>
      <c r="F114" s="16">
        <f>IF(A114="","",SUMIFS(tbl_Finance[Ex GST],tbl_Finance[Job Number],A114&amp;""))</f>
        <v/>
      </c>
      <c r="G114" s="14">
        <f>IF(A114="","",IFERROR(INDEX(tbl_Finance[Cost Centre],MATCH(A114&amp;"",tbl_Finance[Job Number],0)),"not invoiced yet"))</f>
        <v/>
      </c>
      <c r="H114" s="11" t="n"/>
      <c r="I114" s="13" t="n"/>
      <c r="J114" s="13" t="n"/>
      <c r="K114" s="13" t="n"/>
      <c r="L114" s="15" t="n"/>
      <c r="M114" s="16">
        <f>IF(A114="","",F114+N(L114))</f>
        <v/>
      </c>
      <c r="N114" s="46">
        <f>IFERROR(L114/M114,"")</f>
        <v/>
      </c>
      <c r="O114" s="15" t="n"/>
      <c r="P114" s="15" t="n"/>
      <c r="Q114" s="16">
        <f>IF(A114="","",N(O114)+N(P114))</f>
        <v/>
      </c>
      <c r="R114" s="16">
        <f>IF(A114="","",F114-Q114)</f>
        <v/>
      </c>
      <c r="S114" s="46">
        <f>IFERROR(R114/F114,"")</f>
        <v/>
      </c>
      <c r="T114" s="45" t="n"/>
      <c r="U114" s="45" t="n"/>
      <c r="V114" s="45" t="n"/>
      <c r="W114" s="45" t="n"/>
      <c r="X114" s="45" t="n"/>
      <c r="Y114" s="13" t="n"/>
    </row>
    <row r="115" ht="15" customHeight="1">
      <c r="A115" s="13" t="n"/>
      <c r="B115" s="14">
        <f>IF(A115="","",IF(COUNTIF(lst_Jobs,A115&amp;"")&gt;0,"OK","CHECK"))</f>
        <v/>
      </c>
      <c r="C115" s="14">
        <f>IF(A115="","",IFERROR(INDEX(lst_JobName,MATCH(A115&amp;"",lst_Jobs,0)),""))</f>
        <v/>
      </c>
      <c r="D115" s="14">
        <f>IF(A115="","",IFERROR(INDEX(tbl_Finance[Client],MATCH(A115&amp;"",tbl_Finance[Job Number],0)),""))</f>
        <v/>
      </c>
      <c r="E115" s="44">
        <f>IF(A115="","",COUNTIFS(tbl_Finance[Job Number],A115&amp;"",tbl_Finance[Ex GST],"&lt;&gt;"))</f>
        <v/>
      </c>
      <c r="F115" s="16">
        <f>IF(A115="","",SUMIFS(tbl_Finance[Ex GST],tbl_Finance[Job Number],A115&amp;""))</f>
        <v/>
      </c>
      <c r="G115" s="14">
        <f>IF(A115="","",IFERROR(INDEX(tbl_Finance[Cost Centre],MATCH(A115&amp;"",tbl_Finance[Job Number],0)),"not invoiced yet"))</f>
        <v/>
      </c>
      <c r="H115" s="11" t="n"/>
      <c r="I115" s="13" t="n"/>
      <c r="J115" s="13" t="n"/>
      <c r="K115" s="13" t="n"/>
      <c r="L115" s="15" t="n"/>
      <c r="M115" s="16">
        <f>IF(A115="","",F115+N(L115))</f>
        <v/>
      </c>
      <c r="N115" s="46">
        <f>IFERROR(L115/M115,"")</f>
        <v/>
      </c>
      <c r="O115" s="15" t="n"/>
      <c r="P115" s="15" t="n"/>
      <c r="Q115" s="16">
        <f>IF(A115="","",N(O115)+N(P115))</f>
        <v/>
      </c>
      <c r="R115" s="16">
        <f>IF(A115="","",F115-Q115)</f>
        <v/>
      </c>
      <c r="S115" s="46">
        <f>IFERROR(R115/F115,"")</f>
        <v/>
      </c>
      <c r="T115" s="45" t="n"/>
      <c r="U115" s="45" t="n"/>
      <c r="V115" s="45" t="n"/>
      <c r="W115" s="45" t="n"/>
      <c r="X115" s="45" t="n"/>
      <c r="Y115" s="13" t="n"/>
    </row>
    <row r="116" ht="15" customHeight="1">
      <c r="A116" s="13" t="n"/>
      <c r="B116" s="14">
        <f>IF(A116="","",IF(COUNTIF(lst_Jobs,A116&amp;"")&gt;0,"OK","CHECK"))</f>
        <v/>
      </c>
      <c r="C116" s="14">
        <f>IF(A116="","",IFERROR(INDEX(lst_JobName,MATCH(A116&amp;"",lst_Jobs,0)),""))</f>
        <v/>
      </c>
      <c r="D116" s="14">
        <f>IF(A116="","",IFERROR(INDEX(tbl_Finance[Client],MATCH(A116&amp;"",tbl_Finance[Job Number],0)),""))</f>
        <v/>
      </c>
      <c r="E116" s="44">
        <f>IF(A116="","",COUNTIFS(tbl_Finance[Job Number],A116&amp;"",tbl_Finance[Ex GST],"&lt;&gt;"))</f>
        <v/>
      </c>
      <c r="F116" s="16">
        <f>IF(A116="","",SUMIFS(tbl_Finance[Ex GST],tbl_Finance[Job Number],A116&amp;""))</f>
        <v/>
      </c>
      <c r="G116" s="14">
        <f>IF(A116="","",IFERROR(INDEX(tbl_Finance[Cost Centre],MATCH(A116&amp;"",tbl_Finance[Job Number],0)),"not invoiced yet"))</f>
        <v/>
      </c>
      <c r="H116" s="11" t="n"/>
      <c r="I116" s="13" t="n"/>
      <c r="J116" s="13" t="n"/>
      <c r="K116" s="13" t="n"/>
      <c r="L116" s="15" t="n"/>
      <c r="M116" s="16">
        <f>IF(A116="","",F116+N(L116))</f>
        <v/>
      </c>
      <c r="N116" s="46">
        <f>IFERROR(L116/M116,"")</f>
        <v/>
      </c>
      <c r="O116" s="15" t="n"/>
      <c r="P116" s="15" t="n"/>
      <c r="Q116" s="16">
        <f>IF(A116="","",N(O116)+N(P116))</f>
        <v/>
      </c>
      <c r="R116" s="16">
        <f>IF(A116="","",F116-Q116)</f>
        <v/>
      </c>
      <c r="S116" s="46">
        <f>IFERROR(R116/F116,"")</f>
        <v/>
      </c>
      <c r="T116" s="45" t="n"/>
      <c r="U116" s="45" t="n"/>
      <c r="V116" s="45" t="n"/>
      <c r="W116" s="45" t="n"/>
      <c r="X116" s="45" t="n"/>
      <c r="Y116" s="13" t="n"/>
    </row>
    <row r="117" ht="15" customHeight="1">
      <c r="A117" s="13" t="n"/>
      <c r="B117" s="14">
        <f>IF(A117="","",IF(COUNTIF(lst_Jobs,A117&amp;"")&gt;0,"OK","CHECK"))</f>
        <v/>
      </c>
      <c r="C117" s="14">
        <f>IF(A117="","",IFERROR(INDEX(lst_JobName,MATCH(A117&amp;"",lst_Jobs,0)),""))</f>
        <v/>
      </c>
      <c r="D117" s="14">
        <f>IF(A117="","",IFERROR(INDEX(tbl_Finance[Client],MATCH(A117&amp;"",tbl_Finance[Job Number],0)),""))</f>
        <v/>
      </c>
      <c r="E117" s="44">
        <f>IF(A117="","",COUNTIFS(tbl_Finance[Job Number],A117&amp;"",tbl_Finance[Ex GST],"&lt;&gt;"))</f>
        <v/>
      </c>
      <c r="F117" s="16">
        <f>IF(A117="","",SUMIFS(tbl_Finance[Ex GST],tbl_Finance[Job Number],A117&amp;""))</f>
        <v/>
      </c>
      <c r="G117" s="14">
        <f>IF(A117="","",IFERROR(INDEX(tbl_Finance[Cost Centre],MATCH(A117&amp;"",tbl_Finance[Job Number],0)),"not invoiced yet"))</f>
        <v/>
      </c>
      <c r="H117" s="11" t="n"/>
      <c r="I117" s="13" t="n"/>
      <c r="J117" s="13" t="n"/>
      <c r="K117" s="13" t="n"/>
      <c r="L117" s="15" t="n"/>
      <c r="M117" s="16">
        <f>IF(A117="","",F117+N(L117))</f>
        <v/>
      </c>
      <c r="N117" s="46">
        <f>IFERROR(L117/M117,"")</f>
        <v/>
      </c>
      <c r="O117" s="15" t="n"/>
      <c r="P117" s="15" t="n"/>
      <c r="Q117" s="16">
        <f>IF(A117="","",N(O117)+N(P117))</f>
        <v/>
      </c>
      <c r="R117" s="16">
        <f>IF(A117="","",F117-Q117)</f>
        <v/>
      </c>
      <c r="S117" s="46">
        <f>IFERROR(R117/F117,"")</f>
        <v/>
      </c>
      <c r="T117" s="45" t="n"/>
      <c r="U117" s="45" t="n"/>
      <c r="V117" s="45" t="n"/>
      <c r="W117" s="45" t="n"/>
      <c r="X117" s="45" t="n"/>
      <c r="Y117" s="13" t="n"/>
    </row>
    <row r="118" ht="15" customHeight="1">
      <c r="A118" s="13" t="n"/>
      <c r="B118" s="14">
        <f>IF(A118="","",IF(COUNTIF(lst_Jobs,A118&amp;"")&gt;0,"OK","CHECK"))</f>
        <v/>
      </c>
      <c r="C118" s="14">
        <f>IF(A118="","",IFERROR(INDEX(lst_JobName,MATCH(A118&amp;"",lst_Jobs,0)),""))</f>
        <v/>
      </c>
      <c r="D118" s="14">
        <f>IF(A118="","",IFERROR(INDEX(tbl_Finance[Client],MATCH(A118&amp;"",tbl_Finance[Job Number],0)),""))</f>
        <v/>
      </c>
      <c r="E118" s="44">
        <f>IF(A118="","",COUNTIFS(tbl_Finance[Job Number],A118&amp;"",tbl_Finance[Ex GST],"&lt;&gt;"))</f>
        <v/>
      </c>
      <c r="F118" s="16">
        <f>IF(A118="","",SUMIFS(tbl_Finance[Ex GST],tbl_Finance[Job Number],A118&amp;""))</f>
        <v/>
      </c>
      <c r="G118" s="14">
        <f>IF(A118="","",IFERROR(INDEX(tbl_Finance[Cost Centre],MATCH(A118&amp;"",tbl_Finance[Job Number],0)),"not invoiced yet"))</f>
        <v/>
      </c>
      <c r="H118" s="11" t="n"/>
      <c r="I118" s="13" t="n"/>
      <c r="J118" s="13" t="n"/>
      <c r="K118" s="13" t="n"/>
      <c r="L118" s="15" t="n"/>
      <c r="M118" s="16">
        <f>IF(A118="","",F118+N(L118))</f>
        <v/>
      </c>
      <c r="N118" s="46">
        <f>IFERROR(L118/M118,"")</f>
        <v/>
      </c>
      <c r="O118" s="15" t="n"/>
      <c r="P118" s="15" t="n"/>
      <c r="Q118" s="16">
        <f>IF(A118="","",N(O118)+N(P118))</f>
        <v/>
      </c>
      <c r="R118" s="16">
        <f>IF(A118="","",F118-Q118)</f>
        <v/>
      </c>
      <c r="S118" s="46">
        <f>IFERROR(R118/F118,"")</f>
        <v/>
      </c>
      <c r="T118" s="45" t="n"/>
      <c r="U118" s="45" t="n"/>
      <c r="V118" s="45" t="n"/>
      <c r="W118" s="45" t="n"/>
      <c r="X118" s="45" t="n"/>
      <c r="Y118" s="13" t="n"/>
    </row>
    <row r="119" ht="15" customHeight="1">
      <c r="A119" s="13" t="n"/>
      <c r="B119" s="14">
        <f>IF(A119="","",IF(COUNTIF(lst_Jobs,A119&amp;"")&gt;0,"OK","CHECK"))</f>
        <v/>
      </c>
      <c r="C119" s="14">
        <f>IF(A119="","",IFERROR(INDEX(lst_JobName,MATCH(A119&amp;"",lst_Jobs,0)),""))</f>
        <v/>
      </c>
      <c r="D119" s="14">
        <f>IF(A119="","",IFERROR(INDEX(tbl_Finance[Client],MATCH(A119&amp;"",tbl_Finance[Job Number],0)),""))</f>
        <v/>
      </c>
      <c r="E119" s="44">
        <f>IF(A119="","",COUNTIFS(tbl_Finance[Job Number],A119&amp;"",tbl_Finance[Ex GST],"&lt;&gt;"))</f>
        <v/>
      </c>
      <c r="F119" s="16">
        <f>IF(A119="","",SUMIFS(tbl_Finance[Ex GST],tbl_Finance[Job Number],A119&amp;""))</f>
        <v/>
      </c>
      <c r="G119" s="14">
        <f>IF(A119="","",IFERROR(INDEX(tbl_Finance[Cost Centre],MATCH(A119&amp;"",tbl_Finance[Job Number],0)),"not invoiced yet"))</f>
        <v/>
      </c>
      <c r="H119" s="11" t="n"/>
      <c r="I119" s="13" t="n"/>
      <c r="J119" s="13" t="n"/>
      <c r="K119" s="13" t="n"/>
      <c r="L119" s="15" t="n"/>
      <c r="M119" s="16">
        <f>IF(A119="","",F119+N(L119))</f>
        <v/>
      </c>
      <c r="N119" s="46">
        <f>IFERROR(L119/M119,"")</f>
        <v/>
      </c>
      <c r="O119" s="15" t="n"/>
      <c r="P119" s="15" t="n"/>
      <c r="Q119" s="16">
        <f>IF(A119="","",N(O119)+N(P119))</f>
        <v/>
      </c>
      <c r="R119" s="16">
        <f>IF(A119="","",F119-Q119)</f>
        <v/>
      </c>
      <c r="S119" s="46">
        <f>IFERROR(R119/F119,"")</f>
        <v/>
      </c>
      <c r="T119" s="45" t="n"/>
      <c r="U119" s="45" t="n"/>
      <c r="V119" s="45" t="n"/>
      <c r="W119" s="45" t="n"/>
      <c r="X119" s="45" t="n"/>
      <c r="Y119" s="13" t="n"/>
    </row>
    <row r="120" ht="15" customHeight="1">
      <c r="A120" s="13" t="n"/>
      <c r="B120" s="14">
        <f>IF(A120="","",IF(COUNTIF(lst_Jobs,A120&amp;"")&gt;0,"OK","CHECK"))</f>
        <v/>
      </c>
      <c r="C120" s="14">
        <f>IF(A120="","",IFERROR(INDEX(lst_JobName,MATCH(A120&amp;"",lst_Jobs,0)),""))</f>
        <v/>
      </c>
      <c r="D120" s="14">
        <f>IF(A120="","",IFERROR(INDEX(tbl_Finance[Client],MATCH(A120&amp;"",tbl_Finance[Job Number],0)),""))</f>
        <v/>
      </c>
      <c r="E120" s="44">
        <f>IF(A120="","",COUNTIFS(tbl_Finance[Job Number],A120&amp;"",tbl_Finance[Ex GST],"&lt;&gt;"))</f>
        <v/>
      </c>
      <c r="F120" s="16">
        <f>IF(A120="","",SUMIFS(tbl_Finance[Ex GST],tbl_Finance[Job Number],A120&amp;""))</f>
        <v/>
      </c>
      <c r="G120" s="14">
        <f>IF(A120="","",IFERROR(INDEX(tbl_Finance[Cost Centre],MATCH(A120&amp;"",tbl_Finance[Job Number],0)),"not invoiced yet"))</f>
        <v/>
      </c>
      <c r="H120" s="11" t="n"/>
      <c r="I120" s="13" t="n"/>
      <c r="J120" s="13" t="n"/>
      <c r="K120" s="13" t="n"/>
      <c r="L120" s="15" t="n"/>
      <c r="M120" s="16">
        <f>IF(A120="","",F120+N(L120))</f>
        <v/>
      </c>
      <c r="N120" s="46">
        <f>IFERROR(L120/M120,"")</f>
        <v/>
      </c>
      <c r="O120" s="15" t="n"/>
      <c r="P120" s="15" t="n"/>
      <c r="Q120" s="16">
        <f>IF(A120="","",N(O120)+N(P120))</f>
        <v/>
      </c>
      <c r="R120" s="16">
        <f>IF(A120="","",F120-Q120)</f>
        <v/>
      </c>
      <c r="S120" s="46">
        <f>IFERROR(R120/F120,"")</f>
        <v/>
      </c>
      <c r="T120" s="45" t="n"/>
      <c r="U120" s="45" t="n"/>
      <c r="V120" s="45" t="n"/>
      <c r="W120" s="45" t="n"/>
      <c r="X120" s="45" t="n"/>
      <c r="Y120" s="13" t="n"/>
    </row>
    <row r="121" ht="15" customHeight="1">
      <c r="A121" s="13" t="n"/>
      <c r="B121" s="14">
        <f>IF(A121="","",IF(COUNTIF(lst_Jobs,A121&amp;"")&gt;0,"OK","CHECK"))</f>
        <v/>
      </c>
      <c r="C121" s="14">
        <f>IF(A121="","",IFERROR(INDEX(lst_JobName,MATCH(A121&amp;"",lst_Jobs,0)),""))</f>
        <v/>
      </c>
      <c r="D121" s="14">
        <f>IF(A121="","",IFERROR(INDEX(tbl_Finance[Client],MATCH(A121&amp;"",tbl_Finance[Job Number],0)),""))</f>
        <v/>
      </c>
      <c r="E121" s="44">
        <f>IF(A121="","",COUNTIFS(tbl_Finance[Job Number],A121&amp;"",tbl_Finance[Ex GST],"&lt;&gt;"))</f>
        <v/>
      </c>
      <c r="F121" s="16">
        <f>IF(A121="","",SUMIFS(tbl_Finance[Ex GST],tbl_Finance[Job Number],A121&amp;""))</f>
        <v/>
      </c>
      <c r="G121" s="14">
        <f>IF(A121="","",IFERROR(INDEX(tbl_Finance[Cost Centre],MATCH(A121&amp;"",tbl_Finance[Job Number],0)),"not invoiced yet"))</f>
        <v/>
      </c>
      <c r="H121" s="11" t="n"/>
      <c r="I121" s="13" t="n"/>
      <c r="J121" s="13" t="n"/>
      <c r="K121" s="13" t="n"/>
      <c r="L121" s="15" t="n"/>
      <c r="M121" s="16">
        <f>IF(A121="","",F121+N(L121))</f>
        <v/>
      </c>
      <c r="N121" s="46">
        <f>IFERROR(L121/M121,"")</f>
        <v/>
      </c>
      <c r="O121" s="15" t="n"/>
      <c r="P121" s="15" t="n"/>
      <c r="Q121" s="16">
        <f>IF(A121="","",N(O121)+N(P121))</f>
        <v/>
      </c>
      <c r="R121" s="16">
        <f>IF(A121="","",F121-Q121)</f>
        <v/>
      </c>
      <c r="S121" s="46">
        <f>IFERROR(R121/F121,"")</f>
        <v/>
      </c>
      <c r="T121" s="45" t="n"/>
      <c r="U121" s="45" t="n"/>
      <c r="V121" s="45" t="n"/>
      <c r="W121" s="45" t="n"/>
      <c r="X121" s="45" t="n"/>
      <c r="Y121" s="13" t="n"/>
    </row>
    <row r="122" ht="15" customHeight="1">
      <c r="A122" s="13" t="n"/>
      <c r="B122" s="14">
        <f>IF(A122="","",IF(COUNTIF(lst_Jobs,A122&amp;"")&gt;0,"OK","CHECK"))</f>
        <v/>
      </c>
      <c r="C122" s="14">
        <f>IF(A122="","",IFERROR(INDEX(lst_JobName,MATCH(A122&amp;"",lst_Jobs,0)),""))</f>
        <v/>
      </c>
      <c r="D122" s="14">
        <f>IF(A122="","",IFERROR(INDEX(tbl_Finance[Client],MATCH(A122&amp;"",tbl_Finance[Job Number],0)),""))</f>
        <v/>
      </c>
      <c r="E122" s="44">
        <f>IF(A122="","",COUNTIFS(tbl_Finance[Job Number],A122&amp;"",tbl_Finance[Ex GST],"&lt;&gt;"))</f>
        <v/>
      </c>
      <c r="F122" s="16">
        <f>IF(A122="","",SUMIFS(tbl_Finance[Ex GST],tbl_Finance[Job Number],A122&amp;""))</f>
        <v/>
      </c>
      <c r="G122" s="14">
        <f>IF(A122="","",IFERROR(INDEX(tbl_Finance[Cost Centre],MATCH(A122&amp;"",tbl_Finance[Job Number],0)),"not invoiced yet"))</f>
        <v/>
      </c>
      <c r="H122" s="11" t="n"/>
      <c r="I122" s="13" t="n"/>
      <c r="J122" s="13" t="n"/>
      <c r="K122" s="13" t="n"/>
      <c r="L122" s="15" t="n"/>
      <c r="M122" s="16">
        <f>IF(A122="","",F122+N(L122))</f>
        <v/>
      </c>
      <c r="N122" s="46">
        <f>IFERROR(L122/M122,"")</f>
        <v/>
      </c>
      <c r="O122" s="15" t="n"/>
      <c r="P122" s="15" t="n"/>
      <c r="Q122" s="16">
        <f>IF(A122="","",N(O122)+N(P122))</f>
        <v/>
      </c>
      <c r="R122" s="16">
        <f>IF(A122="","",F122-Q122)</f>
        <v/>
      </c>
      <c r="S122" s="46">
        <f>IFERROR(R122/F122,"")</f>
        <v/>
      </c>
      <c r="T122" s="45" t="n"/>
      <c r="U122" s="45" t="n"/>
      <c r="V122" s="45" t="n"/>
      <c r="W122" s="45" t="n"/>
      <c r="X122" s="45" t="n"/>
      <c r="Y122" s="13" t="n"/>
    </row>
    <row r="123" ht="15" customHeight="1">
      <c r="A123" s="13" t="n"/>
      <c r="B123" s="14">
        <f>IF(A123="","",IF(COUNTIF(lst_Jobs,A123&amp;"")&gt;0,"OK","CHECK"))</f>
        <v/>
      </c>
      <c r="C123" s="14">
        <f>IF(A123="","",IFERROR(INDEX(lst_JobName,MATCH(A123&amp;"",lst_Jobs,0)),""))</f>
        <v/>
      </c>
      <c r="D123" s="14">
        <f>IF(A123="","",IFERROR(INDEX(tbl_Finance[Client],MATCH(A123&amp;"",tbl_Finance[Job Number],0)),""))</f>
        <v/>
      </c>
      <c r="E123" s="44">
        <f>IF(A123="","",COUNTIFS(tbl_Finance[Job Number],A123&amp;"",tbl_Finance[Ex GST],"&lt;&gt;"))</f>
        <v/>
      </c>
      <c r="F123" s="16">
        <f>IF(A123="","",SUMIFS(tbl_Finance[Ex GST],tbl_Finance[Job Number],A123&amp;""))</f>
        <v/>
      </c>
      <c r="G123" s="14">
        <f>IF(A123="","",IFERROR(INDEX(tbl_Finance[Cost Centre],MATCH(A123&amp;"",tbl_Finance[Job Number],0)),"not invoiced yet"))</f>
        <v/>
      </c>
      <c r="H123" s="11" t="n"/>
      <c r="I123" s="13" t="n"/>
      <c r="J123" s="13" t="n"/>
      <c r="K123" s="13" t="n"/>
      <c r="L123" s="15" t="n"/>
      <c r="M123" s="16">
        <f>IF(A123="","",F123+N(L123))</f>
        <v/>
      </c>
      <c r="N123" s="46">
        <f>IFERROR(L123/M123,"")</f>
        <v/>
      </c>
      <c r="O123" s="15" t="n"/>
      <c r="P123" s="15" t="n"/>
      <c r="Q123" s="16">
        <f>IF(A123="","",N(O123)+N(P123))</f>
        <v/>
      </c>
      <c r="R123" s="16">
        <f>IF(A123="","",F123-Q123)</f>
        <v/>
      </c>
      <c r="S123" s="46">
        <f>IFERROR(R123/F123,"")</f>
        <v/>
      </c>
      <c r="T123" s="45" t="n"/>
      <c r="U123" s="45" t="n"/>
      <c r="V123" s="45" t="n"/>
      <c r="W123" s="45" t="n"/>
      <c r="X123" s="45" t="n"/>
      <c r="Y123" s="13" t="n"/>
    </row>
    <row r="124" ht="15" customHeight="1">
      <c r="A124" s="13" t="n"/>
      <c r="B124" s="14">
        <f>IF(A124="","",IF(COUNTIF(lst_Jobs,A124&amp;"")&gt;0,"OK","CHECK"))</f>
        <v/>
      </c>
      <c r="C124" s="14">
        <f>IF(A124="","",IFERROR(INDEX(lst_JobName,MATCH(A124&amp;"",lst_Jobs,0)),""))</f>
        <v/>
      </c>
      <c r="D124" s="14">
        <f>IF(A124="","",IFERROR(INDEX(tbl_Finance[Client],MATCH(A124&amp;"",tbl_Finance[Job Number],0)),""))</f>
        <v/>
      </c>
      <c r="E124" s="44">
        <f>IF(A124="","",COUNTIFS(tbl_Finance[Job Number],A124&amp;"",tbl_Finance[Ex GST],"&lt;&gt;"))</f>
        <v/>
      </c>
      <c r="F124" s="16">
        <f>IF(A124="","",SUMIFS(tbl_Finance[Ex GST],tbl_Finance[Job Number],A124&amp;""))</f>
        <v/>
      </c>
      <c r="G124" s="14">
        <f>IF(A124="","",IFERROR(INDEX(tbl_Finance[Cost Centre],MATCH(A124&amp;"",tbl_Finance[Job Number],0)),"not invoiced yet"))</f>
        <v/>
      </c>
      <c r="H124" s="11" t="n"/>
      <c r="I124" s="13" t="n"/>
      <c r="J124" s="13" t="n"/>
      <c r="K124" s="13" t="n"/>
      <c r="L124" s="15" t="n"/>
      <c r="M124" s="16">
        <f>IF(A124="","",F124+N(L124))</f>
        <v/>
      </c>
      <c r="N124" s="46">
        <f>IFERROR(L124/M124,"")</f>
        <v/>
      </c>
      <c r="O124" s="15" t="n"/>
      <c r="P124" s="15" t="n"/>
      <c r="Q124" s="16">
        <f>IF(A124="","",N(O124)+N(P124))</f>
        <v/>
      </c>
      <c r="R124" s="16">
        <f>IF(A124="","",F124-Q124)</f>
        <v/>
      </c>
      <c r="S124" s="46">
        <f>IFERROR(R124/F124,"")</f>
        <v/>
      </c>
      <c r="T124" s="45" t="n"/>
      <c r="U124" s="45" t="n"/>
      <c r="V124" s="45" t="n"/>
      <c r="W124" s="45" t="n"/>
      <c r="X124" s="45" t="n"/>
      <c r="Y124" s="13" t="n"/>
    </row>
    <row r="125" ht="15" customHeight="1">
      <c r="A125" s="13" t="n"/>
      <c r="B125" s="14">
        <f>IF(A125="","",IF(COUNTIF(lst_Jobs,A125&amp;"")&gt;0,"OK","CHECK"))</f>
        <v/>
      </c>
      <c r="C125" s="14">
        <f>IF(A125="","",IFERROR(INDEX(lst_JobName,MATCH(A125&amp;"",lst_Jobs,0)),""))</f>
        <v/>
      </c>
      <c r="D125" s="14">
        <f>IF(A125="","",IFERROR(INDEX(tbl_Finance[Client],MATCH(A125&amp;"",tbl_Finance[Job Number],0)),""))</f>
        <v/>
      </c>
      <c r="E125" s="44">
        <f>IF(A125="","",COUNTIFS(tbl_Finance[Job Number],A125&amp;"",tbl_Finance[Ex GST],"&lt;&gt;"))</f>
        <v/>
      </c>
      <c r="F125" s="16">
        <f>IF(A125="","",SUMIFS(tbl_Finance[Ex GST],tbl_Finance[Job Number],A125&amp;""))</f>
        <v/>
      </c>
      <c r="G125" s="14">
        <f>IF(A125="","",IFERROR(INDEX(tbl_Finance[Cost Centre],MATCH(A125&amp;"",tbl_Finance[Job Number],0)),"not invoiced yet"))</f>
        <v/>
      </c>
      <c r="H125" s="11" t="n"/>
      <c r="I125" s="13" t="n"/>
      <c r="J125" s="13" t="n"/>
      <c r="K125" s="13" t="n"/>
      <c r="L125" s="15" t="n"/>
      <c r="M125" s="16">
        <f>IF(A125="","",F125+N(L125))</f>
        <v/>
      </c>
      <c r="N125" s="46">
        <f>IFERROR(L125/M125,"")</f>
        <v/>
      </c>
      <c r="O125" s="15" t="n"/>
      <c r="P125" s="15" t="n"/>
      <c r="Q125" s="16">
        <f>IF(A125="","",N(O125)+N(P125))</f>
        <v/>
      </c>
      <c r="R125" s="16">
        <f>IF(A125="","",F125-Q125)</f>
        <v/>
      </c>
      <c r="S125" s="46">
        <f>IFERROR(R125/F125,"")</f>
        <v/>
      </c>
      <c r="T125" s="45" t="n"/>
      <c r="U125" s="45" t="n"/>
      <c r="V125" s="45" t="n"/>
      <c r="W125" s="45" t="n"/>
      <c r="X125" s="45" t="n"/>
      <c r="Y125" s="13" t="n"/>
    </row>
    <row r="126" ht="15" customHeight="1">
      <c r="A126" s="13" t="n"/>
      <c r="B126" s="14">
        <f>IF(A126="","",IF(COUNTIF(lst_Jobs,A126&amp;"")&gt;0,"OK","CHECK"))</f>
        <v/>
      </c>
      <c r="C126" s="14">
        <f>IF(A126="","",IFERROR(INDEX(lst_JobName,MATCH(A126&amp;"",lst_Jobs,0)),""))</f>
        <v/>
      </c>
      <c r="D126" s="14">
        <f>IF(A126="","",IFERROR(INDEX(tbl_Finance[Client],MATCH(A126&amp;"",tbl_Finance[Job Number],0)),""))</f>
        <v/>
      </c>
      <c r="E126" s="44">
        <f>IF(A126="","",COUNTIFS(tbl_Finance[Job Number],A126&amp;"",tbl_Finance[Ex GST],"&lt;&gt;"))</f>
        <v/>
      </c>
      <c r="F126" s="16">
        <f>IF(A126="","",SUMIFS(tbl_Finance[Ex GST],tbl_Finance[Job Number],A126&amp;""))</f>
        <v/>
      </c>
      <c r="G126" s="14">
        <f>IF(A126="","",IFERROR(INDEX(tbl_Finance[Cost Centre],MATCH(A126&amp;"",tbl_Finance[Job Number],0)),"not invoiced yet"))</f>
        <v/>
      </c>
      <c r="H126" s="11" t="n"/>
      <c r="I126" s="13" t="n"/>
      <c r="J126" s="13" t="n"/>
      <c r="K126" s="13" t="n"/>
      <c r="L126" s="15" t="n"/>
      <c r="M126" s="16">
        <f>IF(A126="","",F126+N(L126))</f>
        <v/>
      </c>
      <c r="N126" s="46">
        <f>IFERROR(L126/M126,"")</f>
        <v/>
      </c>
      <c r="O126" s="15" t="n"/>
      <c r="P126" s="15" t="n"/>
      <c r="Q126" s="16">
        <f>IF(A126="","",N(O126)+N(P126))</f>
        <v/>
      </c>
      <c r="R126" s="16">
        <f>IF(A126="","",F126-Q126)</f>
        <v/>
      </c>
      <c r="S126" s="46">
        <f>IFERROR(R126/F126,"")</f>
        <v/>
      </c>
      <c r="T126" s="45" t="n"/>
      <c r="U126" s="45" t="n"/>
      <c r="V126" s="45" t="n"/>
      <c r="W126" s="45" t="n"/>
      <c r="X126" s="45" t="n"/>
      <c r="Y126" s="13" t="n"/>
    </row>
    <row r="127" ht="15" customHeight="1">
      <c r="A127" s="13" t="n"/>
      <c r="B127" s="14">
        <f>IF(A127="","",IF(COUNTIF(lst_Jobs,A127&amp;"")&gt;0,"OK","CHECK"))</f>
        <v/>
      </c>
      <c r="C127" s="14">
        <f>IF(A127="","",IFERROR(INDEX(lst_JobName,MATCH(A127&amp;"",lst_Jobs,0)),""))</f>
        <v/>
      </c>
      <c r="D127" s="14">
        <f>IF(A127="","",IFERROR(INDEX(tbl_Finance[Client],MATCH(A127&amp;"",tbl_Finance[Job Number],0)),""))</f>
        <v/>
      </c>
      <c r="E127" s="44">
        <f>IF(A127="","",COUNTIFS(tbl_Finance[Job Number],A127&amp;"",tbl_Finance[Ex GST],"&lt;&gt;"))</f>
        <v/>
      </c>
      <c r="F127" s="16">
        <f>IF(A127="","",SUMIFS(tbl_Finance[Ex GST],tbl_Finance[Job Number],A127&amp;""))</f>
        <v/>
      </c>
      <c r="G127" s="14">
        <f>IF(A127="","",IFERROR(INDEX(tbl_Finance[Cost Centre],MATCH(A127&amp;"",tbl_Finance[Job Number],0)),"not invoiced yet"))</f>
        <v/>
      </c>
      <c r="H127" s="11" t="n"/>
      <c r="I127" s="13" t="n"/>
      <c r="J127" s="13" t="n"/>
      <c r="K127" s="13" t="n"/>
      <c r="L127" s="15" t="n"/>
      <c r="M127" s="16">
        <f>IF(A127="","",F127+N(L127))</f>
        <v/>
      </c>
      <c r="N127" s="46">
        <f>IFERROR(L127/M127,"")</f>
        <v/>
      </c>
      <c r="O127" s="15" t="n"/>
      <c r="P127" s="15" t="n"/>
      <c r="Q127" s="16">
        <f>IF(A127="","",N(O127)+N(P127))</f>
        <v/>
      </c>
      <c r="R127" s="16">
        <f>IF(A127="","",F127-Q127)</f>
        <v/>
      </c>
      <c r="S127" s="46">
        <f>IFERROR(R127/F127,"")</f>
        <v/>
      </c>
      <c r="T127" s="45" t="n"/>
      <c r="U127" s="45" t="n"/>
      <c r="V127" s="45" t="n"/>
      <c r="W127" s="45" t="n"/>
      <c r="X127" s="45" t="n"/>
      <c r="Y127" s="13" t="n"/>
    </row>
    <row r="128" ht="15" customHeight="1">
      <c r="A128" s="13" t="n"/>
      <c r="B128" s="14">
        <f>IF(A128="","",IF(COUNTIF(lst_Jobs,A128&amp;"")&gt;0,"OK","CHECK"))</f>
        <v/>
      </c>
      <c r="C128" s="14">
        <f>IF(A128="","",IFERROR(INDEX(lst_JobName,MATCH(A128&amp;"",lst_Jobs,0)),""))</f>
        <v/>
      </c>
      <c r="D128" s="14">
        <f>IF(A128="","",IFERROR(INDEX(tbl_Finance[Client],MATCH(A128&amp;"",tbl_Finance[Job Number],0)),""))</f>
        <v/>
      </c>
      <c r="E128" s="44">
        <f>IF(A128="","",COUNTIFS(tbl_Finance[Job Number],A128&amp;"",tbl_Finance[Ex GST],"&lt;&gt;"))</f>
        <v/>
      </c>
      <c r="F128" s="16">
        <f>IF(A128="","",SUMIFS(tbl_Finance[Ex GST],tbl_Finance[Job Number],A128&amp;""))</f>
        <v/>
      </c>
      <c r="G128" s="14">
        <f>IF(A128="","",IFERROR(INDEX(tbl_Finance[Cost Centre],MATCH(A128&amp;"",tbl_Finance[Job Number],0)),"not invoiced yet"))</f>
        <v/>
      </c>
      <c r="H128" s="11" t="n"/>
      <c r="I128" s="13" t="n"/>
      <c r="J128" s="13" t="n"/>
      <c r="K128" s="13" t="n"/>
      <c r="L128" s="15" t="n"/>
      <c r="M128" s="16">
        <f>IF(A128="","",F128+N(L128))</f>
        <v/>
      </c>
      <c r="N128" s="46">
        <f>IFERROR(L128/M128,"")</f>
        <v/>
      </c>
      <c r="O128" s="15" t="n"/>
      <c r="P128" s="15" t="n"/>
      <c r="Q128" s="16">
        <f>IF(A128="","",N(O128)+N(P128))</f>
        <v/>
      </c>
      <c r="R128" s="16">
        <f>IF(A128="","",F128-Q128)</f>
        <v/>
      </c>
      <c r="S128" s="46">
        <f>IFERROR(R128/F128,"")</f>
        <v/>
      </c>
      <c r="T128" s="45" t="n"/>
      <c r="U128" s="45" t="n"/>
      <c r="V128" s="45" t="n"/>
      <c r="W128" s="45" t="n"/>
      <c r="X128" s="45" t="n"/>
      <c r="Y128" s="13" t="n"/>
    </row>
    <row r="129" ht="15" customHeight="1">
      <c r="A129" s="13" t="n"/>
      <c r="B129" s="14">
        <f>IF(A129="","",IF(COUNTIF(lst_Jobs,A129&amp;"")&gt;0,"OK","CHECK"))</f>
        <v/>
      </c>
      <c r="C129" s="14">
        <f>IF(A129="","",IFERROR(INDEX(lst_JobName,MATCH(A129&amp;"",lst_Jobs,0)),""))</f>
        <v/>
      </c>
      <c r="D129" s="14">
        <f>IF(A129="","",IFERROR(INDEX(tbl_Finance[Client],MATCH(A129&amp;"",tbl_Finance[Job Number],0)),""))</f>
        <v/>
      </c>
      <c r="E129" s="44">
        <f>IF(A129="","",COUNTIFS(tbl_Finance[Job Number],A129&amp;"",tbl_Finance[Ex GST],"&lt;&gt;"))</f>
        <v/>
      </c>
      <c r="F129" s="16">
        <f>IF(A129="","",SUMIFS(tbl_Finance[Ex GST],tbl_Finance[Job Number],A129&amp;""))</f>
        <v/>
      </c>
      <c r="G129" s="14">
        <f>IF(A129="","",IFERROR(INDEX(tbl_Finance[Cost Centre],MATCH(A129&amp;"",tbl_Finance[Job Number],0)),"not invoiced yet"))</f>
        <v/>
      </c>
      <c r="H129" s="11" t="n"/>
      <c r="I129" s="13" t="n"/>
      <c r="J129" s="13" t="n"/>
      <c r="K129" s="13" t="n"/>
      <c r="L129" s="15" t="n"/>
      <c r="M129" s="16">
        <f>IF(A129="","",F129+N(L129))</f>
        <v/>
      </c>
      <c r="N129" s="46">
        <f>IFERROR(L129/M129,"")</f>
        <v/>
      </c>
      <c r="O129" s="15" t="n"/>
      <c r="P129" s="15" t="n"/>
      <c r="Q129" s="16">
        <f>IF(A129="","",N(O129)+N(P129))</f>
        <v/>
      </c>
      <c r="R129" s="16">
        <f>IF(A129="","",F129-Q129)</f>
        <v/>
      </c>
      <c r="S129" s="46">
        <f>IFERROR(R129/F129,"")</f>
        <v/>
      </c>
      <c r="T129" s="45" t="n"/>
      <c r="U129" s="45" t="n"/>
      <c r="V129" s="45" t="n"/>
      <c r="W129" s="45" t="n"/>
      <c r="X129" s="45" t="n"/>
      <c r="Y129" s="13" t="n"/>
    </row>
    <row r="130" ht="15" customHeight="1">
      <c r="A130" s="13" t="n"/>
      <c r="B130" s="14">
        <f>IF(A130="","",IF(COUNTIF(lst_Jobs,A130&amp;"")&gt;0,"OK","CHECK"))</f>
        <v/>
      </c>
      <c r="C130" s="14">
        <f>IF(A130="","",IFERROR(INDEX(lst_JobName,MATCH(A130&amp;"",lst_Jobs,0)),""))</f>
        <v/>
      </c>
      <c r="D130" s="14">
        <f>IF(A130="","",IFERROR(INDEX(tbl_Finance[Client],MATCH(A130&amp;"",tbl_Finance[Job Number],0)),""))</f>
        <v/>
      </c>
      <c r="E130" s="44">
        <f>IF(A130="","",COUNTIFS(tbl_Finance[Job Number],A130&amp;"",tbl_Finance[Ex GST],"&lt;&gt;"))</f>
        <v/>
      </c>
      <c r="F130" s="16">
        <f>IF(A130="","",SUMIFS(tbl_Finance[Ex GST],tbl_Finance[Job Number],A130&amp;""))</f>
        <v/>
      </c>
      <c r="G130" s="14">
        <f>IF(A130="","",IFERROR(INDEX(tbl_Finance[Cost Centre],MATCH(A130&amp;"",tbl_Finance[Job Number],0)),"not invoiced yet"))</f>
        <v/>
      </c>
      <c r="H130" s="11" t="n"/>
      <c r="I130" s="13" t="n"/>
      <c r="J130" s="13" t="n"/>
      <c r="K130" s="13" t="n"/>
      <c r="L130" s="15" t="n"/>
      <c r="M130" s="16">
        <f>IF(A130="","",F130+N(L130))</f>
        <v/>
      </c>
      <c r="N130" s="46">
        <f>IFERROR(L130/M130,"")</f>
        <v/>
      </c>
      <c r="O130" s="15" t="n"/>
      <c r="P130" s="15" t="n"/>
      <c r="Q130" s="16">
        <f>IF(A130="","",N(O130)+N(P130))</f>
        <v/>
      </c>
      <c r="R130" s="16">
        <f>IF(A130="","",F130-Q130)</f>
        <v/>
      </c>
      <c r="S130" s="46">
        <f>IFERROR(R130/F130,"")</f>
        <v/>
      </c>
      <c r="T130" s="45" t="n"/>
      <c r="U130" s="45" t="n"/>
      <c r="V130" s="45" t="n"/>
      <c r="W130" s="45" t="n"/>
      <c r="X130" s="45" t="n"/>
      <c r="Y130" s="13" t="n"/>
    </row>
    <row r="131" ht="15" customHeight="1">
      <c r="A131" s="13" t="n"/>
      <c r="B131" s="14">
        <f>IF(A131="","",IF(COUNTIF(lst_Jobs,A131&amp;"")&gt;0,"OK","CHECK"))</f>
        <v/>
      </c>
      <c r="C131" s="14">
        <f>IF(A131="","",IFERROR(INDEX(lst_JobName,MATCH(A131&amp;"",lst_Jobs,0)),""))</f>
        <v/>
      </c>
      <c r="D131" s="14">
        <f>IF(A131="","",IFERROR(INDEX(tbl_Finance[Client],MATCH(A131&amp;"",tbl_Finance[Job Number],0)),""))</f>
        <v/>
      </c>
      <c r="E131" s="44">
        <f>IF(A131="","",COUNTIFS(tbl_Finance[Job Number],A131&amp;"",tbl_Finance[Ex GST],"&lt;&gt;"))</f>
        <v/>
      </c>
      <c r="F131" s="16">
        <f>IF(A131="","",SUMIFS(tbl_Finance[Ex GST],tbl_Finance[Job Number],A131&amp;""))</f>
        <v/>
      </c>
      <c r="G131" s="14">
        <f>IF(A131="","",IFERROR(INDEX(tbl_Finance[Cost Centre],MATCH(A131&amp;"",tbl_Finance[Job Number],0)),"not invoiced yet"))</f>
        <v/>
      </c>
      <c r="H131" s="11" t="n"/>
      <c r="I131" s="13" t="n"/>
      <c r="J131" s="13" t="n"/>
      <c r="K131" s="13" t="n"/>
      <c r="L131" s="15" t="n"/>
      <c r="M131" s="16">
        <f>IF(A131="","",F131+N(L131))</f>
        <v/>
      </c>
      <c r="N131" s="46">
        <f>IFERROR(L131/M131,"")</f>
        <v/>
      </c>
      <c r="O131" s="15" t="n"/>
      <c r="P131" s="15" t="n"/>
      <c r="Q131" s="16">
        <f>IF(A131="","",N(O131)+N(P131))</f>
        <v/>
      </c>
      <c r="R131" s="16">
        <f>IF(A131="","",F131-Q131)</f>
        <v/>
      </c>
      <c r="S131" s="46">
        <f>IFERROR(R131/F131,"")</f>
        <v/>
      </c>
      <c r="T131" s="45" t="n"/>
      <c r="U131" s="45" t="n"/>
      <c r="V131" s="45" t="n"/>
      <c r="W131" s="45" t="n"/>
      <c r="X131" s="45" t="n"/>
      <c r="Y131" s="13" t="n"/>
    </row>
    <row r="132" ht="15" customHeight="1">
      <c r="A132" s="13" t="n"/>
      <c r="B132" s="14">
        <f>IF(A132="","",IF(COUNTIF(lst_Jobs,A132&amp;"")&gt;0,"OK","CHECK"))</f>
        <v/>
      </c>
      <c r="C132" s="14">
        <f>IF(A132="","",IFERROR(INDEX(lst_JobName,MATCH(A132&amp;"",lst_Jobs,0)),""))</f>
        <v/>
      </c>
      <c r="D132" s="14">
        <f>IF(A132="","",IFERROR(INDEX(tbl_Finance[Client],MATCH(A132&amp;"",tbl_Finance[Job Number],0)),""))</f>
        <v/>
      </c>
      <c r="E132" s="44">
        <f>IF(A132="","",COUNTIFS(tbl_Finance[Job Number],A132&amp;"",tbl_Finance[Ex GST],"&lt;&gt;"))</f>
        <v/>
      </c>
      <c r="F132" s="16">
        <f>IF(A132="","",SUMIFS(tbl_Finance[Ex GST],tbl_Finance[Job Number],A132&amp;""))</f>
        <v/>
      </c>
      <c r="G132" s="14">
        <f>IF(A132="","",IFERROR(INDEX(tbl_Finance[Cost Centre],MATCH(A132&amp;"",tbl_Finance[Job Number],0)),"not invoiced yet"))</f>
        <v/>
      </c>
      <c r="H132" s="11" t="n"/>
      <c r="I132" s="13" t="n"/>
      <c r="J132" s="13" t="n"/>
      <c r="K132" s="13" t="n"/>
      <c r="L132" s="15" t="n"/>
      <c r="M132" s="16">
        <f>IF(A132="","",F132+N(L132))</f>
        <v/>
      </c>
      <c r="N132" s="46">
        <f>IFERROR(L132/M132,"")</f>
        <v/>
      </c>
      <c r="O132" s="15" t="n"/>
      <c r="P132" s="15" t="n"/>
      <c r="Q132" s="16">
        <f>IF(A132="","",N(O132)+N(P132))</f>
        <v/>
      </c>
      <c r="R132" s="16">
        <f>IF(A132="","",F132-Q132)</f>
        <v/>
      </c>
      <c r="S132" s="46">
        <f>IFERROR(R132/F132,"")</f>
        <v/>
      </c>
      <c r="T132" s="45" t="n"/>
      <c r="U132" s="45" t="n"/>
      <c r="V132" s="45" t="n"/>
      <c r="W132" s="45" t="n"/>
      <c r="X132" s="45" t="n"/>
      <c r="Y132" s="13" t="n"/>
    </row>
    <row r="133" ht="15" customHeight="1">
      <c r="A133" s="13" t="n"/>
      <c r="B133" s="14">
        <f>IF(A133="","",IF(COUNTIF(lst_Jobs,A133&amp;"")&gt;0,"OK","CHECK"))</f>
        <v/>
      </c>
      <c r="C133" s="14">
        <f>IF(A133="","",IFERROR(INDEX(lst_JobName,MATCH(A133&amp;"",lst_Jobs,0)),""))</f>
        <v/>
      </c>
      <c r="D133" s="14">
        <f>IF(A133="","",IFERROR(INDEX(tbl_Finance[Client],MATCH(A133&amp;"",tbl_Finance[Job Number],0)),""))</f>
        <v/>
      </c>
      <c r="E133" s="44">
        <f>IF(A133="","",COUNTIFS(tbl_Finance[Job Number],A133&amp;"",tbl_Finance[Ex GST],"&lt;&gt;"))</f>
        <v/>
      </c>
      <c r="F133" s="16">
        <f>IF(A133="","",SUMIFS(tbl_Finance[Ex GST],tbl_Finance[Job Number],A133&amp;""))</f>
        <v/>
      </c>
      <c r="G133" s="14">
        <f>IF(A133="","",IFERROR(INDEX(tbl_Finance[Cost Centre],MATCH(A133&amp;"",tbl_Finance[Job Number],0)),"not invoiced yet"))</f>
        <v/>
      </c>
      <c r="H133" s="11" t="n"/>
      <c r="I133" s="13" t="n"/>
      <c r="J133" s="13" t="n"/>
      <c r="K133" s="13" t="n"/>
      <c r="L133" s="15" t="n"/>
      <c r="M133" s="16">
        <f>IF(A133="","",F133+N(L133))</f>
        <v/>
      </c>
      <c r="N133" s="46">
        <f>IFERROR(L133/M133,"")</f>
        <v/>
      </c>
      <c r="O133" s="15" t="n"/>
      <c r="P133" s="15" t="n"/>
      <c r="Q133" s="16">
        <f>IF(A133="","",N(O133)+N(P133))</f>
        <v/>
      </c>
      <c r="R133" s="16">
        <f>IF(A133="","",F133-Q133)</f>
        <v/>
      </c>
      <c r="S133" s="46">
        <f>IFERROR(R133/F133,"")</f>
        <v/>
      </c>
      <c r="T133" s="45" t="n"/>
      <c r="U133" s="45" t="n"/>
      <c r="V133" s="45" t="n"/>
      <c r="W133" s="45" t="n"/>
      <c r="X133" s="45" t="n"/>
      <c r="Y133" s="13" t="n"/>
    </row>
    <row r="134" ht="15" customHeight="1">
      <c r="A134" s="13" t="n"/>
      <c r="B134" s="14">
        <f>IF(A134="","",IF(COUNTIF(lst_Jobs,A134&amp;"")&gt;0,"OK","CHECK"))</f>
        <v/>
      </c>
      <c r="C134" s="14">
        <f>IF(A134="","",IFERROR(INDEX(lst_JobName,MATCH(A134&amp;"",lst_Jobs,0)),""))</f>
        <v/>
      </c>
      <c r="D134" s="14">
        <f>IF(A134="","",IFERROR(INDEX(tbl_Finance[Client],MATCH(A134&amp;"",tbl_Finance[Job Number],0)),""))</f>
        <v/>
      </c>
      <c r="E134" s="44">
        <f>IF(A134="","",COUNTIFS(tbl_Finance[Job Number],A134&amp;"",tbl_Finance[Ex GST],"&lt;&gt;"))</f>
        <v/>
      </c>
      <c r="F134" s="16">
        <f>IF(A134="","",SUMIFS(tbl_Finance[Ex GST],tbl_Finance[Job Number],A134&amp;""))</f>
        <v/>
      </c>
      <c r="G134" s="14">
        <f>IF(A134="","",IFERROR(INDEX(tbl_Finance[Cost Centre],MATCH(A134&amp;"",tbl_Finance[Job Number],0)),"not invoiced yet"))</f>
        <v/>
      </c>
      <c r="H134" s="11" t="n"/>
      <c r="I134" s="13" t="n"/>
      <c r="J134" s="13" t="n"/>
      <c r="K134" s="13" t="n"/>
      <c r="L134" s="15" t="n"/>
      <c r="M134" s="16">
        <f>IF(A134="","",F134+N(L134))</f>
        <v/>
      </c>
      <c r="N134" s="46">
        <f>IFERROR(L134/M134,"")</f>
        <v/>
      </c>
      <c r="O134" s="15" t="n"/>
      <c r="P134" s="15" t="n"/>
      <c r="Q134" s="16">
        <f>IF(A134="","",N(O134)+N(P134))</f>
        <v/>
      </c>
      <c r="R134" s="16">
        <f>IF(A134="","",F134-Q134)</f>
        <v/>
      </c>
      <c r="S134" s="46">
        <f>IFERROR(R134/F134,"")</f>
        <v/>
      </c>
      <c r="T134" s="45" t="n"/>
      <c r="U134" s="45" t="n"/>
      <c r="V134" s="45" t="n"/>
      <c r="W134" s="45" t="n"/>
      <c r="X134" s="45" t="n"/>
      <c r="Y134" s="13" t="n"/>
    </row>
    <row r="135" ht="15" customHeight="1">
      <c r="A135" s="13" t="n"/>
      <c r="B135" s="14">
        <f>IF(A135="","",IF(COUNTIF(lst_Jobs,A135&amp;"")&gt;0,"OK","CHECK"))</f>
        <v/>
      </c>
      <c r="C135" s="14">
        <f>IF(A135="","",IFERROR(INDEX(lst_JobName,MATCH(A135&amp;"",lst_Jobs,0)),""))</f>
        <v/>
      </c>
      <c r="D135" s="14">
        <f>IF(A135="","",IFERROR(INDEX(tbl_Finance[Client],MATCH(A135&amp;"",tbl_Finance[Job Number],0)),""))</f>
        <v/>
      </c>
      <c r="E135" s="44">
        <f>IF(A135="","",COUNTIFS(tbl_Finance[Job Number],A135&amp;"",tbl_Finance[Ex GST],"&lt;&gt;"))</f>
        <v/>
      </c>
      <c r="F135" s="16">
        <f>IF(A135="","",SUMIFS(tbl_Finance[Ex GST],tbl_Finance[Job Number],A135&amp;""))</f>
        <v/>
      </c>
      <c r="G135" s="14">
        <f>IF(A135="","",IFERROR(INDEX(tbl_Finance[Cost Centre],MATCH(A135&amp;"",tbl_Finance[Job Number],0)),"not invoiced yet"))</f>
        <v/>
      </c>
      <c r="H135" s="11" t="n"/>
      <c r="I135" s="13" t="n"/>
      <c r="J135" s="13" t="n"/>
      <c r="K135" s="13" t="n"/>
      <c r="L135" s="15" t="n"/>
      <c r="M135" s="16">
        <f>IF(A135="","",F135+N(L135))</f>
        <v/>
      </c>
      <c r="N135" s="46">
        <f>IFERROR(L135/M135,"")</f>
        <v/>
      </c>
      <c r="O135" s="15" t="n"/>
      <c r="P135" s="15" t="n"/>
      <c r="Q135" s="16">
        <f>IF(A135="","",N(O135)+N(P135))</f>
        <v/>
      </c>
      <c r="R135" s="16">
        <f>IF(A135="","",F135-Q135)</f>
        <v/>
      </c>
      <c r="S135" s="46">
        <f>IFERROR(R135/F135,"")</f>
        <v/>
      </c>
      <c r="T135" s="45" t="n"/>
      <c r="U135" s="45" t="n"/>
      <c r="V135" s="45" t="n"/>
      <c r="W135" s="45" t="n"/>
      <c r="X135" s="45" t="n"/>
      <c r="Y135" s="13" t="n"/>
    </row>
    <row r="136" ht="15" customHeight="1">
      <c r="A136" s="13" t="n"/>
      <c r="B136" s="14">
        <f>IF(A136="","",IF(COUNTIF(lst_Jobs,A136&amp;"")&gt;0,"OK","CHECK"))</f>
        <v/>
      </c>
      <c r="C136" s="14">
        <f>IF(A136="","",IFERROR(INDEX(lst_JobName,MATCH(A136&amp;"",lst_Jobs,0)),""))</f>
        <v/>
      </c>
      <c r="D136" s="14">
        <f>IF(A136="","",IFERROR(INDEX(tbl_Finance[Client],MATCH(A136&amp;"",tbl_Finance[Job Number],0)),""))</f>
        <v/>
      </c>
      <c r="E136" s="44">
        <f>IF(A136="","",COUNTIFS(tbl_Finance[Job Number],A136&amp;"",tbl_Finance[Ex GST],"&lt;&gt;"))</f>
        <v/>
      </c>
      <c r="F136" s="16">
        <f>IF(A136="","",SUMIFS(tbl_Finance[Ex GST],tbl_Finance[Job Number],A136&amp;""))</f>
        <v/>
      </c>
      <c r="G136" s="14">
        <f>IF(A136="","",IFERROR(INDEX(tbl_Finance[Cost Centre],MATCH(A136&amp;"",tbl_Finance[Job Number],0)),"not invoiced yet"))</f>
        <v/>
      </c>
      <c r="H136" s="11" t="n"/>
      <c r="I136" s="13" t="n"/>
      <c r="J136" s="13" t="n"/>
      <c r="K136" s="13" t="n"/>
      <c r="L136" s="15" t="n"/>
      <c r="M136" s="16">
        <f>IF(A136="","",F136+N(L136))</f>
        <v/>
      </c>
      <c r="N136" s="46">
        <f>IFERROR(L136/M136,"")</f>
        <v/>
      </c>
      <c r="O136" s="15" t="n"/>
      <c r="P136" s="15" t="n"/>
      <c r="Q136" s="16">
        <f>IF(A136="","",N(O136)+N(P136))</f>
        <v/>
      </c>
      <c r="R136" s="16">
        <f>IF(A136="","",F136-Q136)</f>
        <v/>
      </c>
      <c r="S136" s="46">
        <f>IFERROR(R136/F136,"")</f>
        <v/>
      </c>
      <c r="T136" s="45" t="n"/>
      <c r="U136" s="45" t="n"/>
      <c r="V136" s="45" t="n"/>
      <c r="W136" s="45" t="n"/>
      <c r="X136" s="45" t="n"/>
      <c r="Y136" s="13" t="n"/>
    </row>
    <row r="137" ht="15" customHeight="1">
      <c r="A137" s="13" t="n"/>
      <c r="B137" s="14">
        <f>IF(A137="","",IF(COUNTIF(lst_Jobs,A137&amp;"")&gt;0,"OK","CHECK"))</f>
        <v/>
      </c>
      <c r="C137" s="14">
        <f>IF(A137="","",IFERROR(INDEX(lst_JobName,MATCH(A137&amp;"",lst_Jobs,0)),""))</f>
        <v/>
      </c>
      <c r="D137" s="14">
        <f>IF(A137="","",IFERROR(INDEX(tbl_Finance[Client],MATCH(A137&amp;"",tbl_Finance[Job Number],0)),""))</f>
        <v/>
      </c>
      <c r="E137" s="44">
        <f>IF(A137="","",COUNTIFS(tbl_Finance[Job Number],A137&amp;"",tbl_Finance[Ex GST],"&lt;&gt;"))</f>
        <v/>
      </c>
      <c r="F137" s="16">
        <f>IF(A137="","",SUMIFS(tbl_Finance[Ex GST],tbl_Finance[Job Number],A137&amp;""))</f>
        <v/>
      </c>
      <c r="G137" s="14">
        <f>IF(A137="","",IFERROR(INDEX(tbl_Finance[Cost Centre],MATCH(A137&amp;"",tbl_Finance[Job Number],0)),"not invoiced yet"))</f>
        <v/>
      </c>
      <c r="H137" s="11" t="n"/>
      <c r="I137" s="13" t="n"/>
      <c r="J137" s="13" t="n"/>
      <c r="K137" s="13" t="n"/>
      <c r="L137" s="15" t="n"/>
      <c r="M137" s="16">
        <f>IF(A137="","",F137+N(L137))</f>
        <v/>
      </c>
      <c r="N137" s="46">
        <f>IFERROR(L137/M137,"")</f>
        <v/>
      </c>
      <c r="O137" s="15" t="n"/>
      <c r="P137" s="15" t="n"/>
      <c r="Q137" s="16">
        <f>IF(A137="","",N(O137)+N(P137))</f>
        <v/>
      </c>
      <c r="R137" s="16">
        <f>IF(A137="","",F137-Q137)</f>
        <v/>
      </c>
      <c r="S137" s="46">
        <f>IFERROR(R137/F137,"")</f>
        <v/>
      </c>
      <c r="T137" s="45" t="n"/>
      <c r="U137" s="45" t="n"/>
      <c r="V137" s="45" t="n"/>
      <c r="W137" s="45" t="n"/>
      <c r="X137" s="45" t="n"/>
      <c r="Y137" s="13" t="n"/>
    </row>
    <row r="138" ht="15" customHeight="1">
      <c r="A138" s="13" t="n"/>
      <c r="B138" s="14">
        <f>IF(A138="","",IF(COUNTIF(lst_Jobs,A138&amp;"")&gt;0,"OK","CHECK"))</f>
        <v/>
      </c>
      <c r="C138" s="14">
        <f>IF(A138="","",IFERROR(INDEX(lst_JobName,MATCH(A138&amp;"",lst_Jobs,0)),""))</f>
        <v/>
      </c>
      <c r="D138" s="14">
        <f>IF(A138="","",IFERROR(INDEX(tbl_Finance[Client],MATCH(A138&amp;"",tbl_Finance[Job Number],0)),""))</f>
        <v/>
      </c>
      <c r="E138" s="44">
        <f>IF(A138="","",COUNTIFS(tbl_Finance[Job Number],A138&amp;"",tbl_Finance[Ex GST],"&lt;&gt;"))</f>
        <v/>
      </c>
      <c r="F138" s="16">
        <f>IF(A138="","",SUMIFS(tbl_Finance[Ex GST],tbl_Finance[Job Number],A138&amp;""))</f>
        <v/>
      </c>
      <c r="G138" s="14">
        <f>IF(A138="","",IFERROR(INDEX(tbl_Finance[Cost Centre],MATCH(A138&amp;"",tbl_Finance[Job Number],0)),"not invoiced yet"))</f>
        <v/>
      </c>
      <c r="H138" s="11" t="n"/>
      <c r="I138" s="13" t="n"/>
      <c r="J138" s="13" t="n"/>
      <c r="K138" s="13" t="n"/>
      <c r="L138" s="15" t="n"/>
      <c r="M138" s="16">
        <f>IF(A138="","",F138+N(L138))</f>
        <v/>
      </c>
      <c r="N138" s="46">
        <f>IFERROR(L138/M138,"")</f>
        <v/>
      </c>
      <c r="O138" s="15" t="n"/>
      <c r="P138" s="15" t="n"/>
      <c r="Q138" s="16">
        <f>IF(A138="","",N(O138)+N(P138))</f>
        <v/>
      </c>
      <c r="R138" s="16">
        <f>IF(A138="","",F138-Q138)</f>
        <v/>
      </c>
      <c r="S138" s="46">
        <f>IFERROR(R138/F138,"")</f>
        <v/>
      </c>
      <c r="T138" s="45" t="n"/>
      <c r="U138" s="45" t="n"/>
      <c r="V138" s="45" t="n"/>
      <c r="W138" s="45" t="n"/>
      <c r="X138" s="45" t="n"/>
      <c r="Y138" s="13" t="n"/>
    </row>
    <row r="139" ht="15" customHeight="1">
      <c r="A139" s="13" t="n"/>
      <c r="B139" s="14">
        <f>IF(A139="","",IF(COUNTIF(lst_Jobs,A139&amp;"")&gt;0,"OK","CHECK"))</f>
        <v/>
      </c>
      <c r="C139" s="14">
        <f>IF(A139="","",IFERROR(INDEX(lst_JobName,MATCH(A139&amp;"",lst_Jobs,0)),""))</f>
        <v/>
      </c>
      <c r="D139" s="14">
        <f>IF(A139="","",IFERROR(INDEX(tbl_Finance[Client],MATCH(A139&amp;"",tbl_Finance[Job Number],0)),""))</f>
        <v/>
      </c>
      <c r="E139" s="44">
        <f>IF(A139="","",COUNTIFS(tbl_Finance[Job Number],A139&amp;"",tbl_Finance[Ex GST],"&lt;&gt;"))</f>
        <v/>
      </c>
      <c r="F139" s="16">
        <f>IF(A139="","",SUMIFS(tbl_Finance[Ex GST],tbl_Finance[Job Number],A139&amp;""))</f>
        <v/>
      </c>
      <c r="G139" s="14">
        <f>IF(A139="","",IFERROR(INDEX(tbl_Finance[Cost Centre],MATCH(A139&amp;"",tbl_Finance[Job Number],0)),"not invoiced yet"))</f>
        <v/>
      </c>
      <c r="H139" s="11" t="n"/>
      <c r="I139" s="13" t="n"/>
      <c r="J139" s="13" t="n"/>
      <c r="K139" s="13" t="n"/>
      <c r="L139" s="15" t="n"/>
      <c r="M139" s="16">
        <f>IF(A139="","",F139+N(L139))</f>
        <v/>
      </c>
      <c r="N139" s="46">
        <f>IFERROR(L139/M139,"")</f>
        <v/>
      </c>
      <c r="O139" s="15" t="n"/>
      <c r="P139" s="15" t="n"/>
      <c r="Q139" s="16">
        <f>IF(A139="","",N(O139)+N(P139))</f>
        <v/>
      </c>
      <c r="R139" s="16">
        <f>IF(A139="","",F139-Q139)</f>
        <v/>
      </c>
      <c r="S139" s="46">
        <f>IFERROR(R139/F139,"")</f>
        <v/>
      </c>
      <c r="T139" s="45" t="n"/>
      <c r="U139" s="45" t="n"/>
      <c r="V139" s="45" t="n"/>
      <c r="W139" s="45" t="n"/>
      <c r="X139" s="45" t="n"/>
      <c r="Y139" s="13" t="n"/>
    </row>
    <row r="140" ht="15" customHeight="1">
      <c r="A140" s="13" t="n"/>
      <c r="B140" s="14">
        <f>IF(A140="","",IF(COUNTIF(lst_Jobs,A140&amp;"")&gt;0,"OK","CHECK"))</f>
        <v/>
      </c>
      <c r="C140" s="14">
        <f>IF(A140="","",IFERROR(INDEX(lst_JobName,MATCH(A140&amp;"",lst_Jobs,0)),""))</f>
        <v/>
      </c>
      <c r="D140" s="14">
        <f>IF(A140="","",IFERROR(INDEX(tbl_Finance[Client],MATCH(A140&amp;"",tbl_Finance[Job Number],0)),""))</f>
        <v/>
      </c>
      <c r="E140" s="44">
        <f>IF(A140="","",COUNTIFS(tbl_Finance[Job Number],A140&amp;"",tbl_Finance[Ex GST],"&lt;&gt;"))</f>
        <v/>
      </c>
      <c r="F140" s="16">
        <f>IF(A140="","",SUMIFS(tbl_Finance[Ex GST],tbl_Finance[Job Number],A140&amp;""))</f>
        <v/>
      </c>
      <c r="G140" s="14">
        <f>IF(A140="","",IFERROR(INDEX(tbl_Finance[Cost Centre],MATCH(A140&amp;"",tbl_Finance[Job Number],0)),"not invoiced yet"))</f>
        <v/>
      </c>
      <c r="H140" s="11" t="n"/>
      <c r="I140" s="13" t="n"/>
      <c r="J140" s="13" t="n"/>
      <c r="K140" s="13" t="n"/>
      <c r="L140" s="15" t="n"/>
      <c r="M140" s="16">
        <f>IF(A140="","",F140+N(L140))</f>
        <v/>
      </c>
      <c r="N140" s="46">
        <f>IFERROR(L140/M140,"")</f>
        <v/>
      </c>
      <c r="O140" s="15" t="n"/>
      <c r="P140" s="15" t="n"/>
      <c r="Q140" s="16">
        <f>IF(A140="","",N(O140)+N(P140))</f>
        <v/>
      </c>
      <c r="R140" s="16">
        <f>IF(A140="","",F140-Q140)</f>
        <v/>
      </c>
      <c r="S140" s="46">
        <f>IFERROR(R140/F140,"")</f>
        <v/>
      </c>
      <c r="T140" s="45" t="n"/>
      <c r="U140" s="45" t="n"/>
      <c r="V140" s="45" t="n"/>
      <c r="W140" s="45" t="n"/>
      <c r="X140" s="45" t="n"/>
      <c r="Y140" s="13" t="n"/>
    </row>
    <row r="141" ht="15" customHeight="1">
      <c r="A141" s="13" t="n"/>
      <c r="B141" s="14">
        <f>IF(A141="","",IF(COUNTIF(lst_Jobs,A141&amp;"")&gt;0,"OK","CHECK"))</f>
        <v/>
      </c>
      <c r="C141" s="14">
        <f>IF(A141="","",IFERROR(INDEX(lst_JobName,MATCH(A141&amp;"",lst_Jobs,0)),""))</f>
        <v/>
      </c>
      <c r="D141" s="14">
        <f>IF(A141="","",IFERROR(INDEX(tbl_Finance[Client],MATCH(A141&amp;"",tbl_Finance[Job Number],0)),""))</f>
        <v/>
      </c>
      <c r="E141" s="44">
        <f>IF(A141="","",COUNTIFS(tbl_Finance[Job Number],A141&amp;"",tbl_Finance[Ex GST],"&lt;&gt;"))</f>
        <v/>
      </c>
      <c r="F141" s="16">
        <f>IF(A141="","",SUMIFS(tbl_Finance[Ex GST],tbl_Finance[Job Number],A141&amp;""))</f>
        <v/>
      </c>
      <c r="G141" s="14">
        <f>IF(A141="","",IFERROR(INDEX(tbl_Finance[Cost Centre],MATCH(A141&amp;"",tbl_Finance[Job Number],0)),"not invoiced yet"))</f>
        <v/>
      </c>
      <c r="H141" s="11" t="n"/>
      <c r="I141" s="13" t="n"/>
      <c r="J141" s="13" t="n"/>
      <c r="K141" s="13" t="n"/>
      <c r="L141" s="15" t="n"/>
      <c r="M141" s="16">
        <f>IF(A141="","",F141+N(L141))</f>
        <v/>
      </c>
      <c r="N141" s="46">
        <f>IFERROR(L141/M141,"")</f>
        <v/>
      </c>
      <c r="O141" s="15" t="n"/>
      <c r="P141" s="15" t="n"/>
      <c r="Q141" s="16">
        <f>IF(A141="","",N(O141)+N(P141))</f>
        <v/>
      </c>
      <c r="R141" s="16">
        <f>IF(A141="","",F141-Q141)</f>
        <v/>
      </c>
      <c r="S141" s="46">
        <f>IFERROR(R141/F141,"")</f>
        <v/>
      </c>
      <c r="T141" s="45" t="n"/>
      <c r="U141" s="45" t="n"/>
      <c r="V141" s="45" t="n"/>
      <c r="W141" s="45" t="n"/>
      <c r="X141" s="45" t="n"/>
      <c r="Y141" s="13" t="n"/>
    </row>
    <row r="142" ht="15" customHeight="1">
      <c r="A142" s="13" t="n"/>
      <c r="B142" s="14">
        <f>IF(A142="","",IF(COUNTIF(lst_Jobs,A142&amp;"")&gt;0,"OK","CHECK"))</f>
        <v/>
      </c>
      <c r="C142" s="14">
        <f>IF(A142="","",IFERROR(INDEX(lst_JobName,MATCH(A142&amp;"",lst_Jobs,0)),""))</f>
        <v/>
      </c>
      <c r="D142" s="14">
        <f>IF(A142="","",IFERROR(INDEX(tbl_Finance[Client],MATCH(A142&amp;"",tbl_Finance[Job Number],0)),""))</f>
        <v/>
      </c>
      <c r="E142" s="44">
        <f>IF(A142="","",COUNTIFS(tbl_Finance[Job Number],A142&amp;"",tbl_Finance[Ex GST],"&lt;&gt;"))</f>
        <v/>
      </c>
      <c r="F142" s="16">
        <f>IF(A142="","",SUMIFS(tbl_Finance[Ex GST],tbl_Finance[Job Number],A142&amp;""))</f>
        <v/>
      </c>
      <c r="G142" s="14">
        <f>IF(A142="","",IFERROR(INDEX(tbl_Finance[Cost Centre],MATCH(A142&amp;"",tbl_Finance[Job Number],0)),"not invoiced yet"))</f>
        <v/>
      </c>
      <c r="H142" s="11" t="n"/>
      <c r="I142" s="13" t="n"/>
      <c r="J142" s="13" t="n"/>
      <c r="K142" s="13" t="n"/>
      <c r="L142" s="15" t="n"/>
      <c r="M142" s="16">
        <f>IF(A142="","",F142+N(L142))</f>
        <v/>
      </c>
      <c r="N142" s="46">
        <f>IFERROR(L142/M142,"")</f>
        <v/>
      </c>
      <c r="O142" s="15" t="n"/>
      <c r="P142" s="15" t="n"/>
      <c r="Q142" s="16">
        <f>IF(A142="","",N(O142)+N(P142))</f>
        <v/>
      </c>
      <c r="R142" s="16">
        <f>IF(A142="","",F142-Q142)</f>
        <v/>
      </c>
      <c r="S142" s="46">
        <f>IFERROR(R142/F142,"")</f>
        <v/>
      </c>
      <c r="T142" s="45" t="n"/>
      <c r="U142" s="45" t="n"/>
      <c r="V142" s="45" t="n"/>
      <c r="W142" s="45" t="n"/>
      <c r="X142" s="45" t="n"/>
      <c r="Y142" s="13" t="n"/>
    </row>
    <row r="143" ht="15" customHeight="1">
      <c r="A143" s="13" t="n"/>
      <c r="B143" s="14">
        <f>IF(A143="","",IF(COUNTIF(lst_Jobs,A143&amp;"")&gt;0,"OK","CHECK"))</f>
        <v/>
      </c>
      <c r="C143" s="14">
        <f>IF(A143="","",IFERROR(INDEX(lst_JobName,MATCH(A143&amp;"",lst_Jobs,0)),""))</f>
        <v/>
      </c>
      <c r="D143" s="14">
        <f>IF(A143="","",IFERROR(INDEX(tbl_Finance[Client],MATCH(A143&amp;"",tbl_Finance[Job Number],0)),""))</f>
        <v/>
      </c>
      <c r="E143" s="44">
        <f>IF(A143="","",COUNTIFS(tbl_Finance[Job Number],A143&amp;"",tbl_Finance[Ex GST],"&lt;&gt;"))</f>
        <v/>
      </c>
      <c r="F143" s="16">
        <f>IF(A143="","",SUMIFS(tbl_Finance[Ex GST],tbl_Finance[Job Number],A143&amp;""))</f>
        <v/>
      </c>
      <c r="G143" s="14">
        <f>IF(A143="","",IFERROR(INDEX(tbl_Finance[Cost Centre],MATCH(A143&amp;"",tbl_Finance[Job Number],0)),"not invoiced yet"))</f>
        <v/>
      </c>
      <c r="H143" s="11" t="n"/>
      <c r="I143" s="13" t="n"/>
      <c r="J143" s="13" t="n"/>
      <c r="K143" s="13" t="n"/>
      <c r="L143" s="15" t="n"/>
      <c r="M143" s="16">
        <f>IF(A143="","",F143+N(L143))</f>
        <v/>
      </c>
      <c r="N143" s="46">
        <f>IFERROR(L143/M143,"")</f>
        <v/>
      </c>
      <c r="O143" s="15" t="n"/>
      <c r="P143" s="15" t="n"/>
      <c r="Q143" s="16">
        <f>IF(A143="","",N(O143)+N(P143))</f>
        <v/>
      </c>
      <c r="R143" s="16">
        <f>IF(A143="","",F143-Q143)</f>
        <v/>
      </c>
      <c r="S143" s="46">
        <f>IFERROR(R143/F143,"")</f>
        <v/>
      </c>
      <c r="T143" s="45" t="n"/>
      <c r="U143" s="45" t="n"/>
      <c r="V143" s="45" t="n"/>
      <c r="W143" s="45" t="n"/>
      <c r="X143" s="45" t="n"/>
      <c r="Y143" s="13" t="n"/>
    </row>
    <row r="144" ht="15" customHeight="1">
      <c r="A144" s="13" t="n"/>
      <c r="B144" s="14">
        <f>IF(A144="","",IF(COUNTIF(lst_Jobs,A144&amp;"")&gt;0,"OK","CHECK"))</f>
        <v/>
      </c>
      <c r="C144" s="14">
        <f>IF(A144="","",IFERROR(INDEX(lst_JobName,MATCH(A144&amp;"",lst_Jobs,0)),""))</f>
        <v/>
      </c>
      <c r="D144" s="14">
        <f>IF(A144="","",IFERROR(INDEX(tbl_Finance[Client],MATCH(A144&amp;"",tbl_Finance[Job Number],0)),""))</f>
        <v/>
      </c>
      <c r="E144" s="44">
        <f>IF(A144="","",COUNTIFS(tbl_Finance[Job Number],A144&amp;"",tbl_Finance[Ex GST],"&lt;&gt;"))</f>
        <v/>
      </c>
      <c r="F144" s="16">
        <f>IF(A144="","",SUMIFS(tbl_Finance[Ex GST],tbl_Finance[Job Number],A144&amp;""))</f>
        <v/>
      </c>
      <c r="G144" s="14">
        <f>IF(A144="","",IFERROR(INDEX(tbl_Finance[Cost Centre],MATCH(A144&amp;"",tbl_Finance[Job Number],0)),"not invoiced yet"))</f>
        <v/>
      </c>
      <c r="H144" s="11" t="n"/>
      <c r="I144" s="13" t="n"/>
      <c r="J144" s="13" t="n"/>
      <c r="K144" s="13" t="n"/>
      <c r="L144" s="15" t="n"/>
      <c r="M144" s="16">
        <f>IF(A144="","",F144+N(L144))</f>
        <v/>
      </c>
      <c r="N144" s="46">
        <f>IFERROR(L144/M144,"")</f>
        <v/>
      </c>
      <c r="O144" s="15" t="n"/>
      <c r="P144" s="15" t="n"/>
      <c r="Q144" s="16">
        <f>IF(A144="","",N(O144)+N(P144))</f>
        <v/>
      </c>
      <c r="R144" s="16">
        <f>IF(A144="","",F144-Q144)</f>
        <v/>
      </c>
      <c r="S144" s="46">
        <f>IFERROR(R144/F144,"")</f>
        <v/>
      </c>
      <c r="T144" s="45" t="n"/>
      <c r="U144" s="45" t="n"/>
      <c r="V144" s="45" t="n"/>
      <c r="W144" s="45" t="n"/>
      <c r="X144" s="45" t="n"/>
      <c r="Y144" s="13" t="n"/>
    </row>
    <row r="145" ht="15" customHeight="1">
      <c r="A145" s="13" t="n"/>
      <c r="B145" s="14">
        <f>IF(A145="","",IF(COUNTIF(lst_Jobs,A145&amp;"")&gt;0,"OK","CHECK"))</f>
        <v/>
      </c>
      <c r="C145" s="14">
        <f>IF(A145="","",IFERROR(INDEX(lst_JobName,MATCH(A145&amp;"",lst_Jobs,0)),""))</f>
        <v/>
      </c>
      <c r="D145" s="14">
        <f>IF(A145="","",IFERROR(INDEX(tbl_Finance[Client],MATCH(A145&amp;"",tbl_Finance[Job Number],0)),""))</f>
        <v/>
      </c>
      <c r="E145" s="44">
        <f>IF(A145="","",COUNTIFS(tbl_Finance[Job Number],A145&amp;"",tbl_Finance[Ex GST],"&lt;&gt;"))</f>
        <v/>
      </c>
      <c r="F145" s="16">
        <f>IF(A145="","",SUMIFS(tbl_Finance[Ex GST],tbl_Finance[Job Number],A145&amp;""))</f>
        <v/>
      </c>
      <c r="G145" s="14">
        <f>IF(A145="","",IFERROR(INDEX(tbl_Finance[Cost Centre],MATCH(A145&amp;"",tbl_Finance[Job Number],0)),"not invoiced yet"))</f>
        <v/>
      </c>
      <c r="H145" s="11" t="n"/>
      <c r="I145" s="13" t="n"/>
      <c r="J145" s="13" t="n"/>
      <c r="K145" s="13" t="n"/>
      <c r="L145" s="15" t="n"/>
      <c r="M145" s="16">
        <f>IF(A145="","",F145+N(L145))</f>
        <v/>
      </c>
      <c r="N145" s="46">
        <f>IFERROR(L145/M145,"")</f>
        <v/>
      </c>
      <c r="O145" s="15" t="n"/>
      <c r="P145" s="15" t="n"/>
      <c r="Q145" s="16">
        <f>IF(A145="","",N(O145)+N(P145))</f>
        <v/>
      </c>
      <c r="R145" s="16">
        <f>IF(A145="","",F145-Q145)</f>
        <v/>
      </c>
      <c r="S145" s="46">
        <f>IFERROR(R145/F145,"")</f>
        <v/>
      </c>
      <c r="T145" s="45" t="n"/>
      <c r="U145" s="45" t="n"/>
      <c r="V145" s="45" t="n"/>
      <c r="W145" s="45" t="n"/>
      <c r="X145" s="45" t="n"/>
      <c r="Y145" s="13" t="n"/>
    </row>
    <row r="146" ht="15" customHeight="1">
      <c r="A146" s="13" t="n"/>
      <c r="B146" s="14">
        <f>IF(A146="","",IF(COUNTIF(lst_Jobs,A146&amp;"")&gt;0,"OK","CHECK"))</f>
        <v/>
      </c>
      <c r="C146" s="14">
        <f>IF(A146="","",IFERROR(INDEX(lst_JobName,MATCH(A146&amp;"",lst_Jobs,0)),""))</f>
        <v/>
      </c>
      <c r="D146" s="14">
        <f>IF(A146="","",IFERROR(INDEX(tbl_Finance[Client],MATCH(A146&amp;"",tbl_Finance[Job Number],0)),""))</f>
        <v/>
      </c>
      <c r="E146" s="44">
        <f>IF(A146="","",COUNTIFS(tbl_Finance[Job Number],A146&amp;"",tbl_Finance[Ex GST],"&lt;&gt;"))</f>
        <v/>
      </c>
      <c r="F146" s="16">
        <f>IF(A146="","",SUMIFS(tbl_Finance[Ex GST],tbl_Finance[Job Number],A146&amp;""))</f>
        <v/>
      </c>
      <c r="G146" s="14">
        <f>IF(A146="","",IFERROR(INDEX(tbl_Finance[Cost Centre],MATCH(A146&amp;"",tbl_Finance[Job Number],0)),"not invoiced yet"))</f>
        <v/>
      </c>
      <c r="H146" s="11" t="n"/>
      <c r="I146" s="13" t="n"/>
      <c r="J146" s="13" t="n"/>
      <c r="K146" s="13" t="n"/>
      <c r="L146" s="15" t="n"/>
      <c r="M146" s="16">
        <f>IF(A146="","",F146+N(L146))</f>
        <v/>
      </c>
      <c r="N146" s="46">
        <f>IFERROR(L146/M146,"")</f>
        <v/>
      </c>
      <c r="O146" s="15" t="n"/>
      <c r="P146" s="15" t="n"/>
      <c r="Q146" s="16">
        <f>IF(A146="","",N(O146)+N(P146))</f>
        <v/>
      </c>
      <c r="R146" s="16">
        <f>IF(A146="","",F146-Q146)</f>
        <v/>
      </c>
      <c r="S146" s="46">
        <f>IFERROR(R146/F146,"")</f>
        <v/>
      </c>
      <c r="T146" s="45" t="n"/>
      <c r="U146" s="45" t="n"/>
      <c r="V146" s="45" t="n"/>
      <c r="W146" s="45" t="n"/>
      <c r="X146" s="45" t="n"/>
      <c r="Y146" s="13" t="n"/>
    </row>
    <row r="147" ht="15" customHeight="1">
      <c r="A147" s="13" t="n"/>
      <c r="B147" s="14">
        <f>IF(A147="","",IF(COUNTIF(lst_Jobs,A147&amp;"")&gt;0,"OK","CHECK"))</f>
        <v/>
      </c>
      <c r="C147" s="14">
        <f>IF(A147="","",IFERROR(INDEX(lst_JobName,MATCH(A147&amp;"",lst_Jobs,0)),""))</f>
        <v/>
      </c>
      <c r="D147" s="14">
        <f>IF(A147="","",IFERROR(INDEX(tbl_Finance[Client],MATCH(A147&amp;"",tbl_Finance[Job Number],0)),""))</f>
        <v/>
      </c>
      <c r="E147" s="44">
        <f>IF(A147="","",COUNTIFS(tbl_Finance[Job Number],A147&amp;"",tbl_Finance[Ex GST],"&lt;&gt;"))</f>
        <v/>
      </c>
      <c r="F147" s="16">
        <f>IF(A147="","",SUMIFS(tbl_Finance[Ex GST],tbl_Finance[Job Number],A147&amp;""))</f>
        <v/>
      </c>
      <c r="G147" s="14">
        <f>IF(A147="","",IFERROR(INDEX(tbl_Finance[Cost Centre],MATCH(A147&amp;"",tbl_Finance[Job Number],0)),"not invoiced yet"))</f>
        <v/>
      </c>
      <c r="H147" s="11" t="n"/>
      <c r="I147" s="13" t="n"/>
      <c r="J147" s="13" t="n"/>
      <c r="K147" s="13" t="n"/>
      <c r="L147" s="15" t="n"/>
      <c r="M147" s="16">
        <f>IF(A147="","",F147+N(L147))</f>
        <v/>
      </c>
      <c r="N147" s="46">
        <f>IFERROR(L147/M147,"")</f>
        <v/>
      </c>
      <c r="O147" s="15" t="n"/>
      <c r="P147" s="15" t="n"/>
      <c r="Q147" s="16">
        <f>IF(A147="","",N(O147)+N(P147))</f>
        <v/>
      </c>
      <c r="R147" s="16">
        <f>IF(A147="","",F147-Q147)</f>
        <v/>
      </c>
      <c r="S147" s="46">
        <f>IFERROR(R147/F147,"")</f>
        <v/>
      </c>
      <c r="T147" s="45" t="n"/>
      <c r="U147" s="45" t="n"/>
      <c r="V147" s="45" t="n"/>
      <c r="W147" s="45" t="n"/>
      <c r="X147" s="45" t="n"/>
      <c r="Y147" s="13" t="n"/>
    </row>
    <row r="148" ht="15" customHeight="1">
      <c r="A148" s="13" t="n"/>
      <c r="B148" s="14">
        <f>IF(A148="","",IF(COUNTIF(lst_Jobs,A148&amp;"")&gt;0,"OK","CHECK"))</f>
        <v/>
      </c>
      <c r="C148" s="14">
        <f>IF(A148="","",IFERROR(INDEX(lst_JobName,MATCH(A148&amp;"",lst_Jobs,0)),""))</f>
        <v/>
      </c>
      <c r="D148" s="14">
        <f>IF(A148="","",IFERROR(INDEX(tbl_Finance[Client],MATCH(A148&amp;"",tbl_Finance[Job Number],0)),""))</f>
        <v/>
      </c>
      <c r="E148" s="44">
        <f>IF(A148="","",COUNTIFS(tbl_Finance[Job Number],A148&amp;"",tbl_Finance[Ex GST],"&lt;&gt;"))</f>
        <v/>
      </c>
      <c r="F148" s="16">
        <f>IF(A148="","",SUMIFS(tbl_Finance[Ex GST],tbl_Finance[Job Number],A148&amp;""))</f>
        <v/>
      </c>
      <c r="G148" s="14">
        <f>IF(A148="","",IFERROR(INDEX(tbl_Finance[Cost Centre],MATCH(A148&amp;"",tbl_Finance[Job Number],0)),"not invoiced yet"))</f>
        <v/>
      </c>
      <c r="H148" s="11" t="n"/>
      <c r="I148" s="13" t="n"/>
      <c r="J148" s="13" t="n"/>
      <c r="K148" s="13" t="n"/>
      <c r="L148" s="15" t="n"/>
      <c r="M148" s="16">
        <f>IF(A148="","",F148+N(L148))</f>
        <v/>
      </c>
      <c r="N148" s="46">
        <f>IFERROR(L148/M148,"")</f>
        <v/>
      </c>
      <c r="O148" s="15" t="n"/>
      <c r="P148" s="15" t="n"/>
      <c r="Q148" s="16">
        <f>IF(A148="","",N(O148)+N(P148))</f>
        <v/>
      </c>
      <c r="R148" s="16">
        <f>IF(A148="","",F148-Q148)</f>
        <v/>
      </c>
      <c r="S148" s="46">
        <f>IFERROR(R148/F148,"")</f>
        <v/>
      </c>
      <c r="T148" s="45" t="n"/>
      <c r="U148" s="45" t="n"/>
      <c r="V148" s="45" t="n"/>
      <c r="W148" s="45" t="n"/>
      <c r="X148" s="45" t="n"/>
      <c r="Y148" s="13" t="n"/>
    </row>
    <row r="149" ht="15" customHeight="1">
      <c r="A149" s="13" t="n"/>
      <c r="B149" s="14">
        <f>IF(A149="","",IF(COUNTIF(lst_Jobs,A149&amp;"")&gt;0,"OK","CHECK"))</f>
        <v/>
      </c>
      <c r="C149" s="14">
        <f>IF(A149="","",IFERROR(INDEX(lst_JobName,MATCH(A149&amp;"",lst_Jobs,0)),""))</f>
        <v/>
      </c>
      <c r="D149" s="14">
        <f>IF(A149="","",IFERROR(INDEX(tbl_Finance[Client],MATCH(A149&amp;"",tbl_Finance[Job Number],0)),""))</f>
        <v/>
      </c>
      <c r="E149" s="44">
        <f>IF(A149="","",COUNTIFS(tbl_Finance[Job Number],A149&amp;"",tbl_Finance[Ex GST],"&lt;&gt;"))</f>
        <v/>
      </c>
      <c r="F149" s="16">
        <f>IF(A149="","",SUMIFS(tbl_Finance[Ex GST],tbl_Finance[Job Number],A149&amp;""))</f>
        <v/>
      </c>
      <c r="G149" s="14">
        <f>IF(A149="","",IFERROR(INDEX(tbl_Finance[Cost Centre],MATCH(A149&amp;"",tbl_Finance[Job Number],0)),"not invoiced yet"))</f>
        <v/>
      </c>
      <c r="H149" s="11" t="n"/>
      <c r="I149" s="13" t="n"/>
      <c r="J149" s="13" t="n"/>
      <c r="K149" s="13" t="n"/>
      <c r="L149" s="15" t="n"/>
      <c r="M149" s="16">
        <f>IF(A149="","",F149+N(L149))</f>
        <v/>
      </c>
      <c r="N149" s="46">
        <f>IFERROR(L149/M149,"")</f>
        <v/>
      </c>
      <c r="O149" s="15" t="n"/>
      <c r="P149" s="15" t="n"/>
      <c r="Q149" s="16">
        <f>IF(A149="","",N(O149)+N(P149))</f>
        <v/>
      </c>
      <c r="R149" s="16">
        <f>IF(A149="","",F149-Q149)</f>
        <v/>
      </c>
      <c r="S149" s="46">
        <f>IFERROR(R149/F149,"")</f>
        <v/>
      </c>
      <c r="T149" s="45" t="n"/>
      <c r="U149" s="45" t="n"/>
      <c r="V149" s="45" t="n"/>
      <c r="W149" s="45" t="n"/>
      <c r="X149" s="45" t="n"/>
      <c r="Y149" s="13" t="n"/>
    </row>
    <row r="150" ht="15" customHeight="1">
      <c r="A150" s="13" t="n"/>
      <c r="B150" s="14">
        <f>IF(A150="","",IF(COUNTIF(lst_Jobs,A150&amp;"")&gt;0,"OK","CHECK"))</f>
        <v/>
      </c>
      <c r="C150" s="14">
        <f>IF(A150="","",IFERROR(INDEX(lst_JobName,MATCH(A150&amp;"",lst_Jobs,0)),""))</f>
        <v/>
      </c>
      <c r="D150" s="14">
        <f>IF(A150="","",IFERROR(INDEX(tbl_Finance[Client],MATCH(A150&amp;"",tbl_Finance[Job Number],0)),""))</f>
        <v/>
      </c>
      <c r="E150" s="44">
        <f>IF(A150="","",COUNTIFS(tbl_Finance[Job Number],A150&amp;"",tbl_Finance[Ex GST],"&lt;&gt;"))</f>
        <v/>
      </c>
      <c r="F150" s="16">
        <f>IF(A150="","",SUMIFS(tbl_Finance[Ex GST],tbl_Finance[Job Number],A150&amp;""))</f>
        <v/>
      </c>
      <c r="G150" s="14">
        <f>IF(A150="","",IFERROR(INDEX(tbl_Finance[Cost Centre],MATCH(A150&amp;"",tbl_Finance[Job Number],0)),"not invoiced yet"))</f>
        <v/>
      </c>
      <c r="H150" s="11" t="n"/>
      <c r="I150" s="13" t="n"/>
      <c r="J150" s="13" t="n"/>
      <c r="K150" s="13" t="n"/>
      <c r="L150" s="15" t="n"/>
      <c r="M150" s="16">
        <f>IF(A150="","",F150+N(L150))</f>
        <v/>
      </c>
      <c r="N150" s="46">
        <f>IFERROR(L150/M150,"")</f>
        <v/>
      </c>
      <c r="O150" s="15" t="n"/>
      <c r="P150" s="15" t="n"/>
      <c r="Q150" s="16">
        <f>IF(A150="","",N(O150)+N(P150))</f>
        <v/>
      </c>
      <c r="R150" s="16">
        <f>IF(A150="","",F150-Q150)</f>
        <v/>
      </c>
      <c r="S150" s="46">
        <f>IFERROR(R150/F150,"")</f>
        <v/>
      </c>
      <c r="T150" s="45" t="n"/>
      <c r="U150" s="45" t="n"/>
      <c r="V150" s="45" t="n"/>
      <c r="W150" s="45" t="n"/>
      <c r="X150" s="45" t="n"/>
      <c r="Y150" s="13" t="n"/>
    </row>
    <row r="151" ht="15" customHeight="1">
      <c r="A151" s="13" t="n"/>
      <c r="B151" s="14">
        <f>IF(A151="","",IF(COUNTIF(lst_Jobs,A151&amp;"")&gt;0,"OK","CHECK"))</f>
        <v/>
      </c>
      <c r="C151" s="14">
        <f>IF(A151="","",IFERROR(INDEX(lst_JobName,MATCH(A151&amp;"",lst_Jobs,0)),""))</f>
        <v/>
      </c>
      <c r="D151" s="14">
        <f>IF(A151="","",IFERROR(INDEX(tbl_Finance[Client],MATCH(A151&amp;"",tbl_Finance[Job Number],0)),""))</f>
        <v/>
      </c>
      <c r="E151" s="44">
        <f>IF(A151="","",COUNTIFS(tbl_Finance[Job Number],A151&amp;"",tbl_Finance[Ex GST],"&lt;&gt;"))</f>
        <v/>
      </c>
      <c r="F151" s="16">
        <f>IF(A151="","",SUMIFS(tbl_Finance[Ex GST],tbl_Finance[Job Number],A151&amp;""))</f>
        <v/>
      </c>
      <c r="G151" s="14">
        <f>IF(A151="","",IFERROR(INDEX(tbl_Finance[Cost Centre],MATCH(A151&amp;"",tbl_Finance[Job Number],0)),"not invoiced yet"))</f>
        <v/>
      </c>
      <c r="H151" s="11" t="n"/>
      <c r="I151" s="13" t="n"/>
      <c r="J151" s="13" t="n"/>
      <c r="K151" s="13" t="n"/>
      <c r="L151" s="15" t="n"/>
      <c r="M151" s="16">
        <f>IF(A151="","",F151+N(L151))</f>
        <v/>
      </c>
      <c r="N151" s="46">
        <f>IFERROR(L151/M151,"")</f>
        <v/>
      </c>
      <c r="O151" s="15" t="n"/>
      <c r="P151" s="15" t="n"/>
      <c r="Q151" s="16">
        <f>IF(A151="","",N(O151)+N(P151))</f>
        <v/>
      </c>
      <c r="R151" s="16">
        <f>IF(A151="","",F151-Q151)</f>
        <v/>
      </c>
      <c r="S151" s="46">
        <f>IFERROR(R151/F151,"")</f>
        <v/>
      </c>
      <c r="T151" s="45" t="n"/>
      <c r="U151" s="45" t="n"/>
      <c r="V151" s="45" t="n"/>
      <c r="W151" s="45" t="n"/>
      <c r="X151" s="45" t="n"/>
      <c r="Y151" s="13" t="n"/>
    </row>
    <row r="152" ht="15" customHeight="1">
      <c r="A152" s="13" t="n"/>
      <c r="B152" s="14">
        <f>IF(A152="","",IF(COUNTIF(lst_Jobs,A152&amp;"")&gt;0,"OK","CHECK"))</f>
        <v/>
      </c>
      <c r="C152" s="14">
        <f>IF(A152="","",IFERROR(INDEX(lst_JobName,MATCH(A152&amp;"",lst_Jobs,0)),""))</f>
        <v/>
      </c>
      <c r="D152" s="14">
        <f>IF(A152="","",IFERROR(INDEX(tbl_Finance[Client],MATCH(A152&amp;"",tbl_Finance[Job Number],0)),""))</f>
        <v/>
      </c>
      <c r="E152" s="44">
        <f>IF(A152="","",COUNTIFS(tbl_Finance[Job Number],A152&amp;"",tbl_Finance[Ex GST],"&lt;&gt;"))</f>
        <v/>
      </c>
      <c r="F152" s="16">
        <f>IF(A152="","",SUMIFS(tbl_Finance[Ex GST],tbl_Finance[Job Number],A152&amp;""))</f>
        <v/>
      </c>
      <c r="G152" s="14">
        <f>IF(A152="","",IFERROR(INDEX(tbl_Finance[Cost Centre],MATCH(A152&amp;"",tbl_Finance[Job Number],0)),"not invoiced yet"))</f>
        <v/>
      </c>
      <c r="H152" s="11" t="n"/>
      <c r="I152" s="13" t="n"/>
      <c r="J152" s="13" t="n"/>
      <c r="K152" s="13" t="n"/>
      <c r="L152" s="15" t="n"/>
      <c r="M152" s="16">
        <f>IF(A152="","",F152+N(L152))</f>
        <v/>
      </c>
      <c r="N152" s="46">
        <f>IFERROR(L152/M152,"")</f>
        <v/>
      </c>
      <c r="O152" s="15" t="n"/>
      <c r="P152" s="15" t="n"/>
      <c r="Q152" s="16">
        <f>IF(A152="","",N(O152)+N(P152))</f>
        <v/>
      </c>
      <c r="R152" s="16">
        <f>IF(A152="","",F152-Q152)</f>
        <v/>
      </c>
      <c r="S152" s="46">
        <f>IFERROR(R152/F152,"")</f>
        <v/>
      </c>
      <c r="T152" s="45" t="n"/>
      <c r="U152" s="45" t="n"/>
      <c r="V152" s="45" t="n"/>
      <c r="W152" s="45" t="n"/>
      <c r="X152" s="45" t="n"/>
      <c r="Y152" s="13" t="n"/>
    </row>
    <row r="153" ht="15" customHeight="1">
      <c r="A153" s="13" t="n"/>
      <c r="B153" s="14">
        <f>IF(A153="","",IF(COUNTIF(lst_Jobs,A153&amp;"")&gt;0,"OK","CHECK"))</f>
        <v/>
      </c>
      <c r="C153" s="14">
        <f>IF(A153="","",IFERROR(INDEX(lst_JobName,MATCH(A153&amp;"",lst_Jobs,0)),""))</f>
        <v/>
      </c>
      <c r="D153" s="14">
        <f>IF(A153="","",IFERROR(INDEX(tbl_Finance[Client],MATCH(A153&amp;"",tbl_Finance[Job Number],0)),""))</f>
        <v/>
      </c>
      <c r="E153" s="44">
        <f>IF(A153="","",COUNTIFS(tbl_Finance[Job Number],A153&amp;"",tbl_Finance[Ex GST],"&lt;&gt;"))</f>
        <v/>
      </c>
      <c r="F153" s="16">
        <f>IF(A153="","",SUMIFS(tbl_Finance[Ex GST],tbl_Finance[Job Number],A153&amp;""))</f>
        <v/>
      </c>
      <c r="G153" s="14">
        <f>IF(A153="","",IFERROR(INDEX(tbl_Finance[Cost Centre],MATCH(A153&amp;"",tbl_Finance[Job Number],0)),"not invoiced yet"))</f>
        <v/>
      </c>
      <c r="H153" s="11" t="n"/>
      <c r="I153" s="13" t="n"/>
      <c r="J153" s="13" t="n"/>
      <c r="K153" s="13" t="n"/>
      <c r="L153" s="15" t="n"/>
      <c r="M153" s="16">
        <f>IF(A153="","",F153+N(L153))</f>
        <v/>
      </c>
      <c r="N153" s="46">
        <f>IFERROR(L153/M153,"")</f>
        <v/>
      </c>
      <c r="O153" s="15" t="n"/>
      <c r="P153" s="15" t="n"/>
      <c r="Q153" s="16">
        <f>IF(A153="","",N(O153)+N(P153))</f>
        <v/>
      </c>
      <c r="R153" s="16">
        <f>IF(A153="","",F153-Q153)</f>
        <v/>
      </c>
      <c r="S153" s="46">
        <f>IFERROR(R153/F153,"")</f>
        <v/>
      </c>
      <c r="T153" s="45" t="n"/>
      <c r="U153" s="45" t="n"/>
      <c r="V153" s="45" t="n"/>
      <c r="W153" s="45" t="n"/>
      <c r="X153" s="45" t="n"/>
      <c r="Y153" s="13" t="n"/>
    </row>
    <row r="154" ht="15" customHeight="1">
      <c r="A154" s="13" t="n"/>
      <c r="B154" s="14">
        <f>IF(A154="","",IF(COUNTIF(lst_Jobs,A154&amp;"")&gt;0,"OK","CHECK"))</f>
        <v/>
      </c>
      <c r="C154" s="14">
        <f>IF(A154="","",IFERROR(INDEX(lst_JobName,MATCH(A154&amp;"",lst_Jobs,0)),""))</f>
        <v/>
      </c>
      <c r="D154" s="14">
        <f>IF(A154="","",IFERROR(INDEX(tbl_Finance[Client],MATCH(A154&amp;"",tbl_Finance[Job Number],0)),""))</f>
        <v/>
      </c>
      <c r="E154" s="44">
        <f>IF(A154="","",COUNTIFS(tbl_Finance[Job Number],A154&amp;"",tbl_Finance[Ex GST],"&lt;&gt;"))</f>
        <v/>
      </c>
      <c r="F154" s="16">
        <f>IF(A154="","",SUMIFS(tbl_Finance[Ex GST],tbl_Finance[Job Number],A154&amp;""))</f>
        <v/>
      </c>
      <c r="G154" s="14">
        <f>IF(A154="","",IFERROR(INDEX(tbl_Finance[Cost Centre],MATCH(A154&amp;"",tbl_Finance[Job Number],0)),"not invoiced yet"))</f>
        <v/>
      </c>
      <c r="H154" s="11" t="n"/>
      <c r="I154" s="13" t="n"/>
      <c r="J154" s="13" t="n"/>
      <c r="K154" s="13" t="n"/>
      <c r="L154" s="15" t="n"/>
      <c r="M154" s="16">
        <f>IF(A154="","",F154+N(L154))</f>
        <v/>
      </c>
      <c r="N154" s="46">
        <f>IFERROR(L154/M154,"")</f>
        <v/>
      </c>
      <c r="O154" s="15" t="n"/>
      <c r="P154" s="15" t="n"/>
      <c r="Q154" s="16">
        <f>IF(A154="","",N(O154)+N(P154))</f>
        <v/>
      </c>
      <c r="R154" s="16">
        <f>IF(A154="","",F154-Q154)</f>
        <v/>
      </c>
      <c r="S154" s="46">
        <f>IFERROR(R154/F154,"")</f>
        <v/>
      </c>
      <c r="T154" s="45" t="n"/>
      <c r="U154" s="45" t="n"/>
      <c r="V154" s="45" t="n"/>
      <c r="W154" s="45" t="n"/>
      <c r="X154" s="45" t="n"/>
      <c r="Y154" s="13" t="n"/>
    </row>
    <row r="155" ht="15" customHeight="1">
      <c r="A155" s="13" t="n"/>
      <c r="B155" s="14">
        <f>IF(A155="","",IF(COUNTIF(lst_Jobs,A155&amp;"")&gt;0,"OK","CHECK"))</f>
        <v/>
      </c>
      <c r="C155" s="14">
        <f>IF(A155="","",IFERROR(INDEX(lst_JobName,MATCH(A155&amp;"",lst_Jobs,0)),""))</f>
        <v/>
      </c>
      <c r="D155" s="14">
        <f>IF(A155="","",IFERROR(INDEX(tbl_Finance[Client],MATCH(A155&amp;"",tbl_Finance[Job Number],0)),""))</f>
        <v/>
      </c>
      <c r="E155" s="44">
        <f>IF(A155="","",COUNTIFS(tbl_Finance[Job Number],A155&amp;"",tbl_Finance[Ex GST],"&lt;&gt;"))</f>
        <v/>
      </c>
      <c r="F155" s="16">
        <f>IF(A155="","",SUMIFS(tbl_Finance[Ex GST],tbl_Finance[Job Number],A155&amp;""))</f>
        <v/>
      </c>
      <c r="G155" s="14">
        <f>IF(A155="","",IFERROR(INDEX(tbl_Finance[Cost Centre],MATCH(A155&amp;"",tbl_Finance[Job Number],0)),"not invoiced yet"))</f>
        <v/>
      </c>
      <c r="H155" s="11" t="n"/>
      <c r="I155" s="13" t="n"/>
      <c r="J155" s="13" t="n"/>
      <c r="K155" s="13" t="n"/>
      <c r="L155" s="15" t="n"/>
      <c r="M155" s="16">
        <f>IF(A155="","",F155+N(L155))</f>
        <v/>
      </c>
      <c r="N155" s="46">
        <f>IFERROR(L155/M155,"")</f>
        <v/>
      </c>
      <c r="O155" s="15" t="n"/>
      <c r="P155" s="15" t="n"/>
      <c r="Q155" s="16">
        <f>IF(A155="","",N(O155)+N(P155))</f>
        <v/>
      </c>
      <c r="R155" s="16">
        <f>IF(A155="","",F155-Q155)</f>
        <v/>
      </c>
      <c r="S155" s="46">
        <f>IFERROR(R155/F155,"")</f>
        <v/>
      </c>
      <c r="T155" s="45" t="n"/>
      <c r="U155" s="45" t="n"/>
      <c r="V155" s="45" t="n"/>
      <c r="W155" s="45" t="n"/>
      <c r="X155" s="45" t="n"/>
      <c r="Y155" s="13" t="n"/>
    </row>
    <row r="156" ht="15" customHeight="1">
      <c r="A156" s="13" t="n"/>
      <c r="B156" s="14">
        <f>IF(A156="","",IF(COUNTIF(lst_Jobs,A156&amp;"")&gt;0,"OK","CHECK"))</f>
        <v/>
      </c>
      <c r="C156" s="14">
        <f>IF(A156="","",IFERROR(INDEX(lst_JobName,MATCH(A156&amp;"",lst_Jobs,0)),""))</f>
        <v/>
      </c>
      <c r="D156" s="14">
        <f>IF(A156="","",IFERROR(INDEX(tbl_Finance[Client],MATCH(A156&amp;"",tbl_Finance[Job Number],0)),""))</f>
        <v/>
      </c>
      <c r="E156" s="44">
        <f>IF(A156="","",COUNTIFS(tbl_Finance[Job Number],A156&amp;"",tbl_Finance[Ex GST],"&lt;&gt;"))</f>
        <v/>
      </c>
      <c r="F156" s="16">
        <f>IF(A156="","",SUMIFS(tbl_Finance[Ex GST],tbl_Finance[Job Number],A156&amp;""))</f>
        <v/>
      </c>
      <c r="G156" s="14">
        <f>IF(A156="","",IFERROR(INDEX(tbl_Finance[Cost Centre],MATCH(A156&amp;"",tbl_Finance[Job Number],0)),"not invoiced yet"))</f>
        <v/>
      </c>
      <c r="H156" s="11" t="n"/>
      <c r="I156" s="13" t="n"/>
      <c r="J156" s="13" t="n"/>
      <c r="K156" s="13" t="n"/>
      <c r="L156" s="15" t="n"/>
      <c r="M156" s="16">
        <f>IF(A156="","",F156+N(L156))</f>
        <v/>
      </c>
      <c r="N156" s="46">
        <f>IFERROR(L156/M156,"")</f>
        <v/>
      </c>
      <c r="O156" s="15" t="n"/>
      <c r="P156" s="15" t="n"/>
      <c r="Q156" s="16">
        <f>IF(A156="","",N(O156)+N(P156))</f>
        <v/>
      </c>
      <c r="R156" s="16">
        <f>IF(A156="","",F156-Q156)</f>
        <v/>
      </c>
      <c r="S156" s="46">
        <f>IFERROR(R156/F156,"")</f>
        <v/>
      </c>
      <c r="T156" s="45" t="n"/>
      <c r="U156" s="45" t="n"/>
      <c r="V156" s="45" t="n"/>
      <c r="W156" s="45" t="n"/>
      <c r="X156" s="45" t="n"/>
      <c r="Y156" s="13" t="n"/>
    </row>
    <row r="157" ht="15" customHeight="1">
      <c r="A157" s="13" t="n"/>
      <c r="B157" s="14">
        <f>IF(A157="","",IF(COUNTIF(lst_Jobs,A157&amp;"")&gt;0,"OK","CHECK"))</f>
        <v/>
      </c>
      <c r="C157" s="14">
        <f>IF(A157="","",IFERROR(INDEX(lst_JobName,MATCH(A157&amp;"",lst_Jobs,0)),""))</f>
        <v/>
      </c>
      <c r="D157" s="14">
        <f>IF(A157="","",IFERROR(INDEX(tbl_Finance[Client],MATCH(A157&amp;"",tbl_Finance[Job Number],0)),""))</f>
        <v/>
      </c>
      <c r="E157" s="44">
        <f>IF(A157="","",COUNTIFS(tbl_Finance[Job Number],A157&amp;"",tbl_Finance[Ex GST],"&lt;&gt;"))</f>
        <v/>
      </c>
      <c r="F157" s="16">
        <f>IF(A157="","",SUMIFS(tbl_Finance[Ex GST],tbl_Finance[Job Number],A157&amp;""))</f>
        <v/>
      </c>
      <c r="G157" s="14">
        <f>IF(A157="","",IFERROR(INDEX(tbl_Finance[Cost Centre],MATCH(A157&amp;"",tbl_Finance[Job Number],0)),"not invoiced yet"))</f>
        <v/>
      </c>
      <c r="H157" s="11" t="n"/>
      <c r="I157" s="13" t="n"/>
      <c r="J157" s="13" t="n"/>
      <c r="K157" s="13" t="n"/>
      <c r="L157" s="15" t="n"/>
      <c r="M157" s="16">
        <f>IF(A157="","",F157+N(L157))</f>
        <v/>
      </c>
      <c r="N157" s="46">
        <f>IFERROR(L157/M157,"")</f>
        <v/>
      </c>
      <c r="O157" s="15" t="n"/>
      <c r="P157" s="15" t="n"/>
      <c r="Q157" s="16">
        <f>IF(A157="","",N(O157)+N(P157))</f>
        <v/>
      </c>
      <c r="R157" s="16">
        <f>IF(A157="","",F157-Q157)</f>
        <v/>
      </c>
      <c r="S157" s="46">
        <f>IFERROR(R157/F157,"")</f>
        <v/>
      </c>
      <c r="T157" s="45" t="n"/>
      <c r="U157" s="45" t="n"/>
      <c r="V157" s="45" t="n"/>
      <c r="W157" s="45" t="n"/>
      <c r="X157" s="45" t="n"/>
      <c r="Y157" s="13" t="n"/>
    </row>
    <row r="158" ht="15" customHeight="1">
      <c r="A158" s="13" t="n"/>
      <c r="B158" s="14">
        <f>IF(A158="","",IF(COUNTIF(lst_Jobs,A158&amp;"")&gt;0,"OK","CHECK"))</f>
        <v/>
      </c>
      <c r="C158" s="14">
        <f>IF(A158="","",IFERROR(INDEX(lst_JobName,MATCH(A158&amp;"",lst_Jobs,0)),""))</f>
        <v/>
      </c>
      <c r="D158" s="14">
        <f>IF(A158="","",IFERROR(INDEX(tbl_Finance[Client],MATCH(A158&amp;"",tbl_Finance[Job Number],0)),""))</f>
        <v/>
      </c>
      <c r="E158" s="44">
        <f>IF(A158="","",COUNTIFS(tbl_Finance[Job Number],A158&amp;"",tbl_Finance[Ex GST],"&lt;&gt;"))</f>
        <v/>
      </c>
      <c r="F158" s="16">
        <f>IF(A158="","",SUMIFS(tbl_Finance[Ex GST],tbl_Finance[Job Number],A158&amp;""))</f>
        <v/>
      </c>
      <c r="G158" s="14">
        <f>IF(A158="","",IFERROR(INDEX(tbl_Finance[Cost Centre],MATCH(A158&amp;"",tbl_Finance[Job Number],0)),"not invoiced yet"))</f>
        <v/>
      </c>
      <c r="H158" s="11" t="n"/>
      <c r="I158" s="13" t="n"/>
      <c r="J158" s="13" t="n"/>
      <c r="K158" s="13" t="n"/>
      <c r="L158" s="15" t="n"/>
      <c r="M158" s="16">
        <f>IF(A158="","",F158+N(L158))</f>
        <v/>
      </c>
      <c r="N158" s="46">
        <f>IFERROR(L158/M158,"")</f>
        <v/>
      </c>
      <c r="O158" s="15" t="n"/>
      <c r="P158" s="15" t="n"/>
      <c r="Q158" s="16">
        <f>IF(A158="","",N(O158)+N(P158))</f>
        <v/>
      </c>
      <c r="R158" s="16">
        <f>IF(A158="","",F158-Q158)</f>
        <v/>
      </c>
      <c r="S158" s="46">
        <f>IFERROR(R158/F158,"")</f>
        <v/>
      </c>
      <c r="T158" s="45" t="n"/>
      <c r="U158" s="45" t="n"/>
      <c r="V158" s="45" t="n"/>
      <c r="W158" s="45" t="n"/>
      <c r="X158" s="45" t="n"/>
      <c r="Y158" s="13" t="n"/>
    </row>
    <row r="159" ht="15" customHeight="1">
      <c r="A159" s="13" t="n"/>
      <c r="B159" s="14">
        <f>IF(A159="","",IF(COUNTIF(lst_Jobs,A159&amp;"")&gt;0,"OK","CHECK"))</f>
        <v/>
      </c>
      <c r="C159" s="14">
        <f>IF(A159="","",IFERROR(INDEX(lst_JobName,MATCH(A159&amp;"",lst_Jobs,0)),""))</f>
        <v/>
      </c>
      <c r="D159" s="14">
        <f>IF(A159="","",IFERROR(INDEX(tbl_Finance[Client],MATCH(A159&amp;"",tbl_Finance[Job Number],0)),""))</f>
        <v/>
      </c>
      <c r="E159" s="44">
        <f>IF(A159="","",COUNTIFS(tbl_Finance[Job Number],A159&amp;"",tbl_Finance[Ex GST],"&lt;&gt;"))</f>
        <v/>
      </c>
      <c r="F159" s="16">
        <f>IF(A159="","",SUMIFS(tbl_Finance[Ex GST],tbl_Finance[Job Number],A159&amp;""))</f>
        <v/>
      </c>
      <c r="G159" s="14">
        <f>IF(A159="","",IFERROR(INDEX(tbl_Finance[Cost Centre],MATCH(A159&amp;"",tbl_Finance[Job Number],0)),"not invoiced yet"))</f>
        <v/>
      </c>
      <c r="H159" s="11" t="n"/>
      <c r="I159" s="13" t="n"/>
      <c r="J159" s="13" t="n"/>
      <c r="K159" s="13" t="n"/>
      <c r="L159" s="15" t="n"/>
      <c r="M159" s="16">
        <f>IF(A159="","",F159+N(L159))</f>
        <v/>
      </c>
      <c r="N159" s="46">
        <f>IFERROR(L159/M159,"")</f>
        <v/>
      </c>
      <c r="O159" s="15" t="n"/>
      <c r="P159" s="15" t="n"/>
      <c r="Q159" s="16">
        <f>IF(A159="","",N(O159)+N(P159))</f>
        <v/>
      </c>
      <c r="R159" s="16">
        <f>IF(A159="","",F159-Q159)</f>
        <v/>
      </c>
      <c r="S159" s="46">
        <f>IFERROR(R159/F159,"")</f>
        <v/>
      </c>
      <c r="T159" s="45" t="n"/>
      <c r="U159" s="45" t="n"/>
      <c r="V159" s="45" t="n"/>
      <c r="W159" s="45" t="n"/>
      <c r="X159" s="45" t="n"/>
      <c r="Y159" s="13" t="n"/>
    </row>
    <row r="160" ht="15" customHeight="1">
      <c r="A160" s="13" t="n"/>
      <c r="B160" s="14">
        <f>IF(A160="","",IF(COUNTIF(lst_Jobs,A160&amp;"")&gt;0,"OK","CHECK"))</f>
        <v/>
      </c>
      <c r="C160" s="14">
        <f>IF(A160="","",IFERROR(INDEX(lst_JobName,MATCH(A160&amp;"",lst_Jobs,0)),""))</f>
        <v/>
      </c>
      <c r="D160" s="14">
        <f>IF(A160="","",IFERROR(INDEX(tbl_Finance[Client],MATCH(A160&amp;"",tbl_Finance[Job Number],0)),""))</f>
        <v/>
      </c>
      <c r="E160" s="44">
        <f>IF(A160="","",COUNTIFS(tbl_Finance[Job Number],A160&amp;"",tbl_Finance[Ex GST],"&lt;&gt;"))</f>
        <v/>
      </c>
      <c r="F160" s="16">
        <f>IF(A160="","",SUMIFS(tbl_Finance[Ex GST],tbl_Finance[Job Number],A160&amp;""))</f>
        <v/>
      </c>
      <c r="G160" s="14">
        <f>IF(A160="","",IFERROR(INDEX(tbl_Finance[Cost Centre],MATCH(A160&amp;"",tbl_Finance[Job Number],0)),"not invoiced yet"))</f>
        <v/>
      </c>
      <c r="H160" s="11" t="n"/>
      <c r="I160" s="13" t="n"/>
      <c r="J160" s="13" t="n"/>
      <c r="K160" s="13" t="n"/>
      <c r="L160" s="15" t="n"/>
      <c r="M160" s="16">
        <f>IF(A160="","",F160+N(L160))</f>
        <v/>
      </c>
      <c r="N160" s="46">
        <f>IFERROR(L160/M160,"")</f>
        <v/>
      </c>
      <c r="O160" s="15" t="n"/>
      <c r="P160" s="15" t="n"/>
      <c r="Q160" s="16">
        <f>IF(A160="","",N(O160)+N(P160))</f>
        <v/>
      </c>
      <c r="R160" s="16">
        <f>IF(A160="","",F160-Q160)</f>
        <v/>
      </c>
      <c r="S160" s="46">
        <f>IFERROR(R160/F160,"")</f>
        <v/>
      </c>
      <c r="T160" s="45" t="n"/>
      <c r="U160" s="45" t="n"/>
      <c r="V160" s="45" t="n"/>
      <c r="W160" s="45" t="n"/>
      <c r="X160" s="45" t="n"/>
      <c r="Y160" s="13" t="n"/>
    </row>
    <row r="161" ht="15" customHeight="1">
      <c r="A161" s="13" t="n"/>
      <c r="B161" s="14">
        <f>IF(A161="","",IF(COUNTIF(lst_Jobs,A161&amp;"")&gt;0,"OK","CHECK"))</f>
        <v/>
      </c>
      <c r="C161" s="14">
        <f>IF(A161="","",IFERROR(INDEX(lst_JobName,MATCH(A161&amp;"",lst_Jobs,0)),""))</f>
        <v/>
      </c>
      <c r="D161" s="14">
        <f>IF(A161="","",IFERROR(INDEX(tbl_Finance[Client],MATCH(A161&amp;"",tbl_Finance[Job Number],0)),""))</f>
        <v/>
      </c>
      <c r="E161" s="44">
        <f>IF(A161="","",COUNTIFS(tbl_Finance[Job Number],A161&amp;"",tbl_Finance[Ex GST],"&lt;&gt;"))</f>
        <v/>
      </c>
      <c r="F161" s="16">
        <f>IF(A161="","",SUMIFS(tbl_Finance[Ex GST],tbl_Finance[Job Number],A161&amp;""))</f>
        <v/>
      </c>
      <c r="G161" s="14">
        <f>IF(A161="","",IFERROR(INDEX(tbl_Finance[Cost Centre],MATCH(A161&amp;"",tbl_Finance[Job Number],0)),"not invoiced yet"))</f>
        <v/>
      </c>
      <c r="H161" s="11" t="n"/>
      <c r="I161" s="13" t="n"/>
      <c r="J161" s="13" t="n"/>
      <c r="K161" s="13" t="n"/>
      <c r="L161" s="15" t="n"/>
      <c r="M161" s="16">
        <f>IF(A161="","",F161+N(L161))</f>
        <v/>
      </c>
      <c r="N161" s="46">
        <f>IFERROR(L161/M161,"")</f>
        <v/>
      </c>
      <c r="O161" s="15" t="n"/>
      <c r="P161" s="15" t="n"/>
      <c r="Q161" s="16">
        <f>IF(A161="","",N(O161)+N(P161))</f>
        <v/>
      </c>
      <c r="R161" s="16">
        <f>IF(A161="","",F161-Q161)</f>
        <v/>
      </c>
      <c r="S161" s="46">
        <f>IFERROR(R161/F161,"")</f>
        <v/>
      </c>
      <c r="T161" s="45" t="n"/>
      <c r="U161" s="45" t="n"/>
      <c r="V161" s="45" t="n"/>
      <c r="W161" s="45" t="n"/>
      <c r="X161" s="45" t="n"/>
      <c r="Y161" s="13" t="n"/>
    </row>
    <row r="162" ht="15" customHeight="1">
      <c r="A162" s="13" t="n"/>
      <c r="B162" s="14">
        <f>IF(A162="","",IF(COUNTIF(lst_Jobs,A162&amp;"")&gt;0,"OK","CHECK"))</f>
        <v/>
      </c>
      <c r="C162" s="14">
        <f>IF(A162="","",IFERROR(INDEX(lst_JobName,MATCH(A162&amp;"",lst_Jobs,0)),""))</f>
        <v/>
      </c>
      <c r="D162" s="14">
        <f>IF(A162="","",IFERROR(INDEX(tbl_Finance[Client],MATCH(A162&amp;"",tbl_Finance[Job Number],0)),""))</f>
        <v/>
      </c>
      <c r="E162" s="44">
        <f>IF(A162="","",COUNTIFS(tbl_Finance[Job Number],A162&amp;"",tbl_Finance[Ex GST],"&lt;&gt;"))</f>
        <v/>
      </c>
      <c r="F162" s="16">
        <f>IF(A162="","",SUMIFS(tbl_Finance[Ex GST],tbl_Finance[Job Number],A162&amp;""))</f>
        <v/>
      </c>
      <c r="G162" s="14">
        <f>IF(A162="","",IFERROR(INDEX(tbl_Finance[Cost Centre],MATCH(A162&amp;"",tbl_Finance[Job Number],0)),"not invoiced yet"))</f>
        <v/>
      </c>
      <c r="H162" s="11" t="n"/>
      <c r="I162" s="13" t="n"/>
      <c r="J162" s="13" t="n"/>
      <c r="K162" s="13" t="n"/>
      <c r="L162" s="15" t="n"/>
      <c r="M162" s="16">
        <f>IF(A162="","",F162+N(L162))</f>
        <v/>
      </c>
      <c r="N162" s="46">
        <f>IFERROR(L162/M162,"")</f>
        <v/>
      </c>
      <c r="O162" s="15" t="n"/>
      <c r="P162" s="15" t="n"/>
      <c r="Q162" s="16">
        <f>IF(A162="","",N(O162)+N(P162))</f>
        <v/>
      </c>
      <c r="R162" s="16">
        <f>IF(A162="","",F162-Q162)</f>
        <v/>
      </c>
      <c r="S162" s="46">
        <f>IFERROR(R162/F162,"")</f>
        <v/>
      </c>
      <c r="T162" s="45" t="n"/>
      <c r="U162" s="45" t="n"/>
      <c r="V162" s="45" t="n"/>
      <c r="W162" s="45" t="n"/>
      <c r="X162" s="45" t="n"/>
      <c r="Y162" s="13" t="n"/>
    </row>
    <row r="163" ht="15" customHeight="1">
      <c r="A163" s="13" t="n"/>
      <c r="B163" s="14">
        <f>IF(A163="","",IF(COUNTIF(lst_Jobs,A163&amp;"")&gt;0,"OK","CHECK"))</f>
        <v/>
      </c>
      <c r="C163" s="14">
        <f>IF(A163="","",IFERROR(INDEX(lst_JobName,MATCH(A163&amp;"",lst_Jobs,0)),""))</f>
        <v/>
      </c>
      <c r="D163" s="14">
        <f>IF(A163="","",IFERROR(INDEX(tbl_Finance[Client],MATCH(A163&amp;"",tbl_Finance[Job Number],0)),""))</f>
        <v/>
      </c>
      <c r="E163" s="44">
        <f>IF(A163="","",COUNTIFS(tbl_Finance[Job Number],A163&amp;"",tbl_Finance[Ex GST],"&lt;&gt;"))</f>
        <v/>
      </c>
      <c r="F163" s="16">
        <f>IF(A163="","",SUMIFS(tbl_Finance[Ex GST],tbl_Finance[Job Number],A163&amp;""))</f>
        <v/>
      </c>
      <c r="G163" s="14">
        <f>IF(A163="","",IFERROR(INDEX(tbl_Finance[Cost Centre],MATCH(A163&amp;"",tbl_Finance[Job Number],0)),"not invoiced yet"))</f>
        <v/>
      </c>
      <c r="H163" s="11" t="n"/>
      <c r="I163" s="13" t="n"/>
      <c r="J163" s="13" t="n"/>
      <c r="K163" s="13" t="n"/>
      <c r="L163" s="15" t="n"/>
      <c r="M163" s="16">
        <f>IF(A163="","",F163+N(L163))</f>
        <v/>
      </c>
      <c r="N163" s="46">
        <f>IFERROR(L163/M163,"")</f>
        <v/>
      </c>
      <c r="O163" s="15" t="n"/>
      <c r="P163" s="15" t="n"/>
      <c r="Q163" s="16">
        <f>IF(A163="","",N(O163)+N(P163))</f>
        <v/>
      </c>
      <c r="R163" s="16">
        <f>IF(A163="","",F163-Q163)</f>
        <v/>
      </c>
      <c r="S163" s="46">
        <f>IFERROR(R163/F163,"")</f>
        <v/>
      </c>
      <c r="T163" s="45" t="n"/>
      <c r="U163" s="45" t="n"/>
      <c r="V163" s="45" t="n"/>
      <c r="W163" s="45" t="n"/>
      <c r="X163" s="45" t="n"/>
      <c r="Y163" s="13" t="n"/>
    </row>
    <row r="164" ht="15" customHeight="1">
      <c r="A164" s="13" t="n"/>
      <c r="B164" s="14">
        <f>IF(A164="","",IF(COUNTIF(lst_Jobs,A164&amp;"")&gt;0,"OK","CHECK"))</f>
        <v/>
      </c>
      <c r="C164" s="14">
        <f>IF(A164="","",IFERROR(INDEX(lst_JobName,MATCH(A164&amp;"",lst_Jobs,0)),""))</f>
        <v/>
      </c>
      <c r="D164" s="14">
        <f>IF(A164="","",IFERROR(INDEX(tbl_Finance[Client],MATCH(A164&amp;"",tbl_Finance[Job Number],0)),""))</f>
        <v/>
      </c>
      <c r="E164" s="44">
        <f>IF(A164="","",COUNTIFS(tbl_Finance[Job Number],A164&amp;"",tbl_Finance[Ex GST],"&lt;&gt;"))</f>
        <v/>
      </c>
      <c r="F164" s="16">
        <f>IF(A164="","",SUMIFS(tbl_Finance[Ex GST],tbl_Finance[Job Number],A164&amp;""))</f>
        <v/>
      </c>
      <c r="G164" s="14">
        <f>IF(A164="","",IFERROR(INDEX(tbl_Finance[Cost Centre],MATCH(A164&amp;"",tbl_Finance[Job Number],0)),"not invoiced yet"))</f>
        <v/>
      </c>
      <c r="H164" s="11" t="n"/>
      <c r="I164" s="13" t="n"/>
      <c r="J164" s="13" t="n"/>
      <c r="K164" s="13" t="n"/>
      <c r="L164" s="15" t="n"/>
      <c r="M164" s="16">
        <f>IF(A164="","",F164+N(L164))</f>
        <v/>
      </c>
      <c r="N164" s="46">
        <f>IFERROR(L164/M164,"")</f>
        <v/>
      </c>
      <c r="O164" s="15" t="n"/>
      <c r="P164" s="15" t="n"/>
      <c r="Q164" s="16">
        <f>IF(A164="","",N(O164)+N(P164))</f>
        <v/>
      </c>
      <c r="R164" s="16">
        <f>IF(A164="","",F164-Q164)</f>
        <v/>
      </c>
      <c r="S164" s="46">
        <f>IFERROR(R164/F164,"")</f>
        <v/>
      </c>
      <c r="T164" s="45" t="n"/>
      <c r="U164" s="45" t="n"/>
      <c r="V164" s="45" t="n"/>
      <c r="W164" s="45" t="n"/>
      <c r="X164" s="45" t="n"/>
      <c r="Y164" s="13" t="n"/>
    </row>
    <row r="165" ht="15" customHeight="1">
      <c r="A165" s="13" t="n"/>
      <c r="B165" s="14">
        <f>IF(A165="","",IF(COUNTIF(lst_Jobs,A165&amp;"")&gt;0,"OK","CHECK"))</f>
        <v/>
      </c>
      <c r="C165" s="14">
        <f>IF(A165="","",IFERROR(INDEX(lst_JobName,MATCH(A165&amp;"",lst_Jobs,0)),""))</f>
        <v/>
      </c>
      <c r="D165" s="14">
        <f>IF(A165="","",IFERROR(INDEX(tbl_Finance[Client],MATCH(A165&amp;"",tbl_Finance[Job Number],0)),""))</f>
        <v/>
      </c>
      <c r="E165" s="44">
        <f>IF(A165="","",COUNTIFS(tbl_Finance[Job Number],A165&amp;"",tbl_Finance[Ex GST],"&lt;&gt;"))</f>
        <v/>
      </c>
      <c r="F165" s="16">
        <f>IF(A165="","",SUMIFS(tbl_Finance[Ex GST],tbl_Finance[Job Number],A165&amp;""))</f>
        <v/>
      </c>
      <c r="G165" s="14">
        <f>IF(A165="","",IFERROR(INDEX(tbl_Finance[Cost Centre],MATCH(A165&amp;"",tbl_Finance[Job Number],0)),"not invoiced yet"))</f>
        <v/>
      </c>
      <c r="H165" s="11" t="n"/>
      <c r="I165" s="13" t="n"/>
      <c r="J165" s="13" t="n"/>
      <c r="K165" s="13" t="n"/>
      <c r="L165" s="15" t="n"/>
      <c r="M165" s="16">
        <f>IF(A165="","",F165+N(L165))</f>
        <v/>
      </c>
      <c r="N165" s="46">
        <f>IFERROR(L165/M165,"")</f>
        <v/>
      </c>
      <c r="O165" s="15" t="n"/>
      <c r="P165" s="15" t="n"/>
      <c r="Q165" s="16">
        <f>IF(A165="","",N(O165)+N(P165))</f>
        <v/>
      </c>
      <c r="R165" s="16">
        <f>IF(A165="","",F165-Q165)</f>
        <v/>
      </c>
      <c r="S165" s="46">
        <f>IFERROR(R165/F165,"")</f>
        <v/>
      </c>
      <c r="T165" s="45" t="n"/>
      <c r="U165" s="45" t="n"/>
      <c r="V165" s="45" t="n"/>
      <c r="W165" s="45" t="n"/>
      <c r="X165" s="45" t="n"/>
      <c r="Y165" s="13" t="n"/>
    </row>
    <row r="166" ht="15" customHeight="1">
      <c r="A166" s="13" t="n"/>
      <c r="B166" s="14">
        <f>IF(A166="","",IF(COUNTIF(lst_Jobs,A166&amp;"")&gt;0,"OK","CHECK"))</f>
        <v/>
      </c>
      <c r="C166" s="14">
        <f>IF(A166="","",IFERROR(INDEX(lst_JobName,MATCH(A166&amp;"",lst_Jobs,0)),""))</f>
        <v/>
      </c>
      <c r="D166" s="14">
        <f>IF(A166="","",IFERROR(INDEX(tbl_Finance[Client],MATCH(A166&amp;"",tbl_Finance[Job Number],0)),""))</f>
        <v/>
      </c>
      <c r="E166" s="44">
        <f>IF(A166="","",COUNTIFS(tbl_Finance[Job Number],A166&amp;"",tbl_Finance[Ex GST],"&lt;&gt;"))</f>
        <v/>
      </c>
      <c r="F166" s="16">
        <f>IF(A166="","",SUMIFS(tbl_Finance[Ex GST],tbl_Finance[Job Number],A166&amp;""))</f>
        <v/>
      </c>
      <c r="G166" s="14">
        <f>IF(A166="","",IFERROR(INDEX(tbl_Finance[Cost Centre],MATCH(A166&amp;"",tbl_Finance[Job Number],0)),"not invoiced yet"))</f>
        <v/>
      </c>
      <c r="H166" s="11" t="n"/>
      <c r="I166" s="13" t="n"/>
      <c r="J166" s="13" t="n"/>
      <c r="K166" s="13" t="n"/>
      <c r="L166" s="15" t="n"/>
      <c r="M166" s="16">
        <f>IF(A166="","",F166+N(L166))</f>
        <v/>
      </c>
      <c r="N166" s="46">
        <f>IFERROR(L166/M166,"")</f>
        <v/>
      </c>
      <c r="O166" s="15" t="n"/>
      <c r="P166" s="15" t="n"/>
      <c r="Q166" s="16">
        <f>IF(A166="","",N(O166)+N(P166))</f>
        <v/>
      </c>
      <c r="R166" s="16">
        <f>IF(A166="","",F166-Q166)</f>
        <v/>
      </c>
      <c r="S166" s="46">
        <f>IFERROR(R166/F166,"")</f>
        <v/>
      </c>
      <c r="T166" s="45" t="n"/>
      <c r="U166" s="45" t="n"/>
      <c r="V166" s="45" t="n"/>
      <c r="W166" s="45" t="n"/>
      <c r="X166" s="45" t="n"/>
      <c r="Y166" s="13" t="n"/>
    </row>
    <row r="167" ht="15" customHeight="1">
      <c r="A167" s="13" t="n"/>
      <c r="B167" s="14">
        <f>IF(A167="","",IF(COUNTIF(lst_Jobs,A167&amp;"")&gt;0,"OK","CHECK"))</f>
        <v/>
      </c>
      <c r="C167" s="14">
        <f>IF(A167="","",IFERROR(INDEX(lst_JobName,MATCH(A167&amp;"",lst_Jobs,0)),""))</f>
        <v/>
      </c>
      <c r="D167" s="14">
        <f>IF(A167="","",IFERROR(INDEX(tbl_Finance[Client],MATCH(A167&amp;"",tbl_Finance[Job Number],0)),""))</f>
        <v/>
      </c>
      <c r="E167" s="44">
        <f>IF(A167="","",COUNTIFS(tbl_Finance[Job Number],A167&amp;"",tbl_Finance[Ex GST],"&lt;&gt;"))</f>
        <v/>
      </c>
      <c r="F167" s="16">
        <f>IF(A167="","",SUMIFS(tbl_Finance[Ex GST],tbl_Finance[Job Number],A167&amp;""))</f>
        <v/>
      </c>
      <c r="G167" s="14">
        <f>IF(A167="","",IFERROR(INDEX(tbl_Finance[Cost Centre],MATCH(A167&amp;"",tbl_Finance[Job Number],0)),"not invoiced yet"))</f>
        <v/>
      </c>
      <c r="H167" s="11" t="n"/>
      <c r="I167" s="13" t="n"/>
      <c r="J167" s="13" t="n"/>
      <c r="K167" s="13" t="n"/>
      <c r="L167" s="15" t="n"/>
      <c r="M167" s="16">
        <f>IF(A167="","",F167+N(L167))</f>
        <v/>
      </c>
      <c r="N167" s="46">
        <f>IFERROR(L167/M167,"")</f>
        <v/>
      </c>
      <c r="O167" s="15" t="n"/>
      <c r="P167" s="15" t="n"/>
      <c r="Q167" s="16">
        <f>IF(A167="","",N(O167)+N(P167))</f>
        <v/>
      </c>
      <c r="R167" s="16">
        <f>IF(A167="","",F167-Q167)</f>
        <v/>
      </c>
      <c r="S167" s="46">
        <f>IFERROR(R167/F167,"")</f>
        <v/>
      </c>
      <c r="T167" s="45" t="n"/>
      <c r="U167" s="45" t="n"/>
      <c r="V167" s="45" t="n"/>
      <c r="W167" s="45" t="n"/>
      <c r="X167" s="45" t="n"/>
      <c r="Y167" s="13" t="n"/>
    </row>
    <row r="168" ht="15" customHeight="1">
      <c r="A168" s="13" t="n"/>
      <c r="B168" s="14">
        <f>IF(A168="","",IF(COUNTIF(lst_Jobs,A168&amp;"")&gt;0,"OK","CHECK"))</f>
        <v/>
      </c>
      <c r="C168" s="14">
        <f>IF(A168="","",IFERROR(INDEX(lst_JobName,MATCH(A168&amp;"",lst_Jobs,0)),""))</f>
        <v/>
      </c>
      <c r="D168" s="14">
        <f>IF(A168="","",IFERROR(INDEX(tbl_Finance[Client],MATCH(A168&amp;"",tbl_Finance[Job Number],0)),""))</f>
        <v/>
      </c>
      <c r="E168" s="44">
        <f>IF(A168="","",COUNTIFS(tbl_Finance[Job Number],A168&amp;"",tbl_Finance[Ex GST],"&lt;&gt;"))</f>
        <v/>
      </c>
      <c r="F168" s="16">
        <f>IF(A168="","",SUMIFS(tbl_Finance[Ex GST],tbl_Finance[Job Number],A168&amp;""))</f>
        <v/>
      </c>
      <c r="G168" s="14">
        <f>IF(A168="","",IFERROR(INDEX(tbl_Finance[Cost Centre],MATCH(A168&amp;"",tbl_Finance[Job Number],0)),"not invoiced yet"))</f>
        <v/>
      </c>
      <c r="H168" s="11" t="n"/>
      <c r="I168" s="13" t="n"/>
      <c r="J168" s="13" t="n"/>
      <c r="K168" s="13" t="n"/>
      <c r="L168" s="15" t="n"/>
      <c r="M168" s="16">
        <f>IF(A168="","",F168+N(L168))</f>
        <v/>
      </c>
      <c r="N168" s="46">
        <f>IFERROR(L168/M168,"")</f>
        <v/>
      </c>
      <c r="O168" s="15" t="n"/>
      <c r="P168" s="15" t="n"/>
      <c r="Q168" s="16">
        <f>IF(A168="","",N(O168)+N(P168))</f>
        <v/>
      </c>
      <c r="R168" s="16">
        <f>IF(A168="","",F168-Q168)</f>
        <v/>
      </c>
      <c r="S168" s="46">
        <f>IFERROR(R168/F168,"")</f>
        <v/>
      </c>
      <c r="T168" s="45" t="n"/>
      <c r="U168" s="45" t="n"/>
      <c r="V168" s="45" t="n"/>
      <c r="W168" s="45" t="n"/>
      <c r="X168" s="45" t="n"/>
      <c r="Y168" s="13" t="n"/>
    </row>
    <row r="169" ht="15" customHeight="1">
      <c r="A169" s="13" t="n"/>
      <c r="B169" s="14">
        <f>IF(A169="","",IF(COUNTIF(lst_Jobs,A169&amp;"")&gt;0,"OK","CHECK"))</f>
        <v/>
      </c>
      <c r="C169" s="14">
        <f>IF(A169="","",IFERROR(INDEX(lst_JobName,MATCH(A169&amp;"",lst_Jobs,0)),""))</f>
        <v/>
      </c>
      <c r="D169" s="14">
        <f>IF(A169="","",IFERROR(INDEX(tbl_Finance[Client],MATCH(A169&amp;"",tbl_Finance[Job Number],0)),""))</f>
        <v/>
      </c>
      <c r="E169" s="44">
        <f>IF(A169="","",COUNTIFS(tbl_Finance[Job Number],A169&amp;"",tbl_Finance[Ex GST],"&lt;&gt;"))</f>
        <v/>
      </c>
      <c r="F169" s="16">
        <f>IF(A169="","",SUMIFS(tbl_Finance[Ex GST],tbl_Finance[Job Number],A169&amp;""))</f>
        <v/>
      </c>
      <c r="G169" s="14">
        <f>IF(A169="","",IFERROR(INDEX(tbl_Finance[Cost Centre],MATCH(A169&amp;"",tbl_Finance[Job Number],0)),"not invoiced yet"))</f>
        <v/>
      </c>
      <c r="H169" s="11" t="n"/>
      <c r="I169" s="13" t="n"/>
      <c r="J169" s="13" t="n"/>
      <c r="K169" s="13" t="n"/>
      <c r="L169" s="15" t="n"/>
      <c r="M169" s="16">
        <f>IF(A169="","",F169+N(L169))</f>
        <v/>
      </c>
      <c r="N169" s="46">
        <f>IFERROR(L169/M169,"")</f>
        <v/>
      </c>
      <c r="O169" s="15" t="n"/>
      <c r="P169" s="15" t="n"/>
      <c r="Q169" s="16">
        <f>IF(A169="","",N(O169)+N(P169))</f>
        <v/>
      </c>
      <c r="R169" s="16">
        <f>IF(A169="","",F169-Q169)</f>
        <v/>
      </c>
      <c r="S169" s="46">
        <f>IFERROR(R169/F169,"")</f>
        <v/>
      </c>
      <c r="T169" s="45" t="n"/>
      <c r="U169" s="45" t="n"/>
      <c r="V169" s="45" t="n"/>
      <c r="W169" s="45" t="n"/>
      <c r="X169" s="45" t="n"/>
      <c r="Y169" s="13" t="n"/>
    </row>
    <row r="170" ht="15" customHeight="1">
      <c r="A170" s="13" t="n"/>
      <c r="B170" s="14">
        <f>IF(A170="","",IF(COUNTIF(lst_Jobs,A170&amp;"")&gt;0,"OK","CHECK"))</f>
        <v/>
      </c>
      <c r="C170" s="14">
        <f>IF(A170="","",IFERROR(INDEX(lst_JobName,MATCH(A170&amp;"",lst_Jobs,0)),""))</f>
        <v/>
      </c>
      <c r="D170" s="14">
        <f>IF(A170="","",IFERROR(INDEX(tbl_Finance[Client],MATCH(A170&amp;"",tbl_Finance[Job Number],0)),""))</f>
        <v/>
      </c>
      <c r="E170" s="44">
        <f>IF(A170="","",COUNTIFS(tbl_Finance[Job Number],A170&amp;"",tbl_Finance[Ex GST],"&lt;&gt;"))</f>
        <v/>
      </c>
      <c r="F170" s="16">
        <f>IF(A170="","",SUMIFS(tbl_Finance[Ex GST],tbl_Finance[Job Number],A170&amp;""))</f>
        <v/>
      </c>
      <c r="G170" s="14">
        <f>IF(A170="","",IFERROR(INDEX(tbl_Finance[Cost Centre],MATCH(A170&amp;"",tbl_Finance[Job Number],0)),"not invoiced yet"))</f>
        <v/>
      </c>
      <c r="H170" s="11" t="n"/>
      <c r="I170" s="13" t="n"/>
      <c r="J170" s="13" t="n"/>
      <c r="K170" s="13" t="n"/>
      <c r="L170" s="15" t="n"/>
      <c r="M170" s="16">
        <f>IF(A170="","",F170+N(L170))</f>
        <v/>
      </c>
      <c r="N170" s="46">
        <f>IFERROR(L170/M170,"")</f>
        <v/>
      </c>
      <c r="O170" s="15" t="n"/>
      <c r="P170" s="15" t="n"/>
      <c r="Q170" s="16">
        <f>IF(A170="","",N(O170)+N(P170))</f>
        <v/>
      </c>
      <c r="R170" s="16">
        <f>IF(A170="","",F170-Q170)</f>
        <v/>
      </c>
      <c r="S170" s="46">
        <f>IFERROR(R170/F170,"")</f>
        <v/>
      </c>
      <c r="T170" s="45" t="n"/>
      <c r="U170" s="45" t="n"/>
      <c r="V170" s="45" t="n"/>
      <c r="W170" s="45" t="n"/>
      <c r="X170" s="45" t="n"/>
      <c r="Y170" s="13" t="n"/>
    </row>
    <row r="171" ht="15" customHeight="1">
      <c r="A171" s="13" t="n"/>
      <c r="B171" s="14">
        <f>IF(A171="","",IF(COUNTIF(lst_Jobs,A171&amp;"")&gt;0,"OK","CHECK"))</f>
        <v/>
      </c>
      <c r="C171" s="14">
        <f>IF(A171="","",IFERROR(INDEX(lst_JobName,MATCH(A171&amp;"",lst_Jobs,0)),""))</f>
        <v/>
      </c>
      <c r="D171" s="14">
        <f>IF(A171="","",IFERROR(INDEX(tbl_Finance[Client],MATCH(A171&amp;"",tbl_Finance[Job Number],0)),""))</f>
        <v/>
      </c>
      <c r="E171" s="44">
        <f>IF(A171="","",COUNTIFS(tbl_Finance[Job Number],A171&amp;"",tbl_Finance[Ex GST],"&lt;&gt;"))</f>
        <v/>
      </c>
      <c r="F171" s="16">
        <f>IF(A171="","",SUMIFS(tbl_Finance[Ex GST],tbl_Finance[Job Number],A171&amp;""))</f>
        <v/>
      </c>
      <c r="G171" s="14">
        <f>IF(A171="","",IFERROR(INDEX(tbl_Finance[Cost Centre],MATCH(A171&amp;"",tbl_Finance[Job Number],0)),"not invoiced yet"))</f>
        <v/>
      </c>
      <c r="H171" s="11" t="n"/>
      <c r="I171" s="13" t="n"/>
      <c r="J171" s="13" t="n"/>
      <c r="K171" s="13" t="n"/>
      <c r="L171" s="15" t="n"/>
      <c r="M171" s="16">
        <f>IF(A171="","",F171+N(L171))</f>
        <v/>
      </c>
      <c r="N171" s="46">
        <f>IFERROR(L171/M171,"")</f>
        <v/>
      </c>
      <c r="O171" s="15" t="n"/>
      <c r="P171" s="15" t="n"/>
      <c r="Q171" s="16">
        <f>IF(A171="","",N(O171)+N(P171))</f>
        <v/>
      </c>
      <c r="R171" s="16">
        <f>IF(A171="","",F171-Q171)</f>
        <v/>
      </c>
      <c r="S171" s="46">
        <f>IFERROR(R171/F171,"")</f>
        <v/>
      </c>
      <c r="T171" s="45" t="n"/>
      <c r="U171" s="45" t="n"/>
      <c r="V171" s="45" t="n"/>
      <c r="W171" s="45" t="n"/>
      <c r="X171" s="45" t="n"/>
      <c r="Y171" s="13" t="n"/>
    </row>
    <row r="172" ht="15" customHeight="1">
      <c r="A172" s="13" t="n"/>
      <c r="B172" s="14">
        <f>IF(A172="","",IF(COUNTIF(lst_Jobs,A172&amp;"")&gt;0,"OK","CHECK"))</f>
        <v/>
      </c>
      <c r="C172" s="14">
        <f>IF(A172="","",IFERROR(INDEX(lst_JobName,MATCH(A172&amp;"",lst_Jobs,0)),""))</f>
        <v/>
      </c>
      <c r="D172" s="14">
        <f>IF(A172="","",IFERROR(INDEX(tbl_Finance[Client],MATCH(A172&amp;"",tbl_Finance[Job Number],0)),""))</f>
        <v/>
      </c>
      <c r="E172" s="44">
        <f>IF(A172="","",COUNTIFS(tbl_Finance[Job Number],A172&amp;"",tbl_Finance[Ex GST],"&lt;&gt;"))</f>
        <v/>
      </c>
      <c r="F172" s="16">
        <f>IF(A172="","",SUMIFS(tbl_Finance[Ex GST],tbl_Finance[Job Number],A172&amp;""))</f>
        <v/>
      </c>
      <c r="G172" s="14">
        <f>IF(A172="","",IFERROR(INDEX(tbl_Finance[Cost Centre],MATCH(A172&amp;"",tbl_Finance[Job Number],0)),"not invoiced yet"))</f>
        <v/>
      </c>
      <c r="H172" s="11" t="n"/>
      <c r="I172" s="13" t="n"/>
      <c r="J172" s="13" t="n"/>
      <c r="K172" s="13" t="n"/>
      <c r="L172" s="15" t="n"/>
      <c r="M172" s="16">
        <f>IF(A172="","",F172+N(L172))</f>
        <v/>
      </c>
      <c r="N172" s="46">
        <f>IFERROR(L172/M172,"")</f>
        <v/>
      </c>
      <c r="O172" s="15" t="n"/>
      <c r="P172" s="15" t="n"/>
      <c r="Q172" s="16">
        <f>IF(A172="","",N(O172)+N(P172))</f>
        <v/>
      </c>
      <c r="R172" s="16">
        <f>IF(A172="","",F172-Q172)</f>
        <v/>
      </c>
      <c r="S172" s="46">
        <f>IFERROR(R172/F172,"")</f>
        <v/>
      </c>
      <c r="T172" s="45" t="n"/>
      <c r="U172" s="45" t="n"/>
      <c r="V172" s="45" t="n"/>
      <c r="W172" s="45" t="n"/>
      <c r="X172" s="45" t="n"/>
      <c r="Y172" s="13" t="n"/>
    </row>
    <row r="173" ht="15" customHeight="1">
      <c r="A173" s="13" t="n"/>
      <c r="B173" s="14">
        <f>IF(A173="","",IF(COUNTIF(lst_Jobs,A173&amp;"")&gt;0,"OK","CHECK"))</f>
        <v/>
      </c>
      <c r="C173" s="14">
        <f>IF(A173="","",IFERROR(INDEX(lst_JobName,MATCH(A173&amp;"",lst_Jobs,0)),""))</f>
        <v/>
      </c>
      <c r="D173" s="14">
        <f>IF(A173="","",IFERROR(INDEX(tbl_Finance[Client],MATCH(A173&amp;"",tbl_Finance[Job Number],0)),""))</f>
        <v/>
      </c>
      <c r="E173" s="44">
        <f>IF(A173="","",COUNTIFS(tbl_Finance[Job Number],A173&amp;"",tbl_Finance[Ex GST],"&lt;&gt;"))</f>
        <v/>
      </c>
      <c r="F173" s="16">
        <f>IF(A173="","",SUMIFS(tbl_Finance[Ex GST],tbl_Finance[Job Number],A173&amp;""))</f>
        <v/>
      </c>
      <c r="G173" s="14">
        <f>IF(A173="","",IFERROR(INDEX(tbl_Finance[Cost Centre],MATCH(A173&amp;"",tbl_Finance[Job Number],0)),"not invoiced yet"))</f>
        <v/>
      </c>
      <c r="H173" s="11" t="n"/>
      <c r="I173" s="13" t="n"/>
      <c r="J173" s="13" t="n"/>
      <c r="K173" s="13" t="n"/>
      <c r="L173" s="15" t="n"/>
      <c r="M173" s="16">
        <f>IF(A173="","",F173+N(L173))</f>
        <v/>
      </c>
      <c r="N173" s="46">
        <f>IFERROR(L173/M173,"")</f>
        <v/>
      </c>
      <c r="O173" s="15" t="n"/>
      <c r="P173" s="15" t="n"/>
      <c r="Q173" s="16">
        <f>IF(A173="","",N(O173)+N(P173))</f>
        <v/>
      </c>
      <c r="R173" s="16">
        <f>IF(A173="","",F173-Q173)</f>
        <v/>
      </c>
      <c r="S173" s="46">
        <f>IFERROR(R173/F173,"")</f>
        <v/>
      </c>
      <c r="T173" s="45" t="n"/>
      <c r="U173" s="45" t="n"/>
      <c r="V173" s="45" t="n"/>
      <c r="W173" s="45" t="n"/>
      <c r="X173" s="45" t="n"/>
      <c r="Y173" s="13" t="n"/>
    </row>
    <row r="174" ht="15" customHeight="1">
      <c r="A174" s="13" t="n"/>
      <c r="B174" s="14">
        <f>IF(A174="","",IF(COUNTIF(lst_Jobs,A174&amp;"")&gt;0,"OK","CHECK"))</f>
        <v/>
      </c>
      <c r="C174" s="14">
        <f>IF(A174="","",IFERROR(INDEX(lst_JobName,MATCH(A174&amp;"",lst_Jobs,0)),""))</f>
        <v/>
      </c>
      <c r="D174" s="14">
        <f>IF(A174="","",IFERROR(INDEX(tbl_Finance[Client],MATCH(A174&amp;"",tbl_Finance[Job Number],0)),""))</f>
        <v/>
      </c>
      <c r="E174" s="44">
        <f>IF(A174="","",COUNTIFS(tbl_Finance[Job Number],A174&amp;"",tbl_Finance[Ex GST],"&lt;&gt;"))</f>
        <v/>
      </c>
      <c r="F174" s="16">
        <f>IF(A174="","",SUMIFS(tbl_Finance[Ex GST],tbl_Finance[Job Number],A174&amp;""))</f>
        <v/>
      </c>
      <c r="G174" s="14">
        <f>IF(A174="","",IFERROR(INDEX(tbl_Finance[Cost Centre],MATCH(A174&amp;"",tbl_Finance[Job Number],0)),"not invoiced yet"))</f>
        <v/>
      </c>
      <c r="H174" s="11" t="n"/>
      <c r="I174" s="13" t="n"/>
      <c r="J174" s="13" t="n"/>
      <c r="K174" s="13" t="n"/>
      <c r="L174" s="15" t="n"/>
      <c r="M174" s="16">
        <f>IF(A174="","",F174+N(L174))</f>
        <v/>
      </c>
      <c r="N174" s="46">
        <f>IFERROR(L174/M174,"")</f>
        <v/>
      </c>
      <c r="O174" s="15" t="n"/>
      <c r="P174" s="15" t="n"/>
      <c r="Q174" s="16">
        <f>IF(A174="","",N(O174)+N(P174))</f>
        <v/>
      </c>
      <c r="R174" s="16">
        <f>IF(A174="","",F174-Q174)</f>
        <v/>
      </c>
      <c r="S174" s="46">
        <f>IFERROR(R174/F174,"")</f>
        <v/>
      </c>
      <c r="T174" s="45" t="n"/>
      <c r="U174" s="45" t="n"/>
      <c r="V174" s="45" t="n"/>
      <c r="W174" s="45" t="n"/>
      <c r="X174" s="45" t="n"/>
      <c r="Y174" s="13" t="n"/>
    </row>
    <row r="175" ht="15" customHeight="1">
      <c r="A175" s="13" t="n"/>
      <c r="B175" s="14">
        <f>IF(A175="","",IF(COUNTIF(lst_Jobs,A175&amp;"")&gt;0,"OK","CHECK"))</f>
        <v/>
      </c>
      <c r="C175" s="14">
        <f>IF(A175="","",IFERROR(INDEX(lst_JobName,MATCH(A175&amp;"",lst_Jobs,0)),""))</f>
        <v/>
      </c>
      <c r="D175" s="14">
        <f>IF(A175="","",IFERROR(INDEX(tbl_Finance[Client],MATCH(A175&amp;"",tbl_Finance[Job Number],0)),""))</f>
        <v/>
      </c>
      <c r="E175" s="44">
        <f>IF(A175="","",COUNTIFS(tbl_Finance[Job Number],A175&amp;"",tbl_Finance[Ex GST],"&lt;&gt;"))</f>
        <v/>
      </c>
      <c r="F175" s="16">
        <f>IF(A175="","",SUMIFS(tbl_Finance[Ex GST],tbl_Finance[Job Number],A175&amp;""))</f>
        <v/>
      </c>
      <c r="G175" s="14">
        <f>IF(A175="","",IFERROR(INDEX(tbl_Finance[Cost Centre],MATCH(A175&amp;"",tbl_Finance[Job Number],0)),"not invoiced yet"))</f>
        <v/>
      </c>
      <c r="H175" s="11" t="n"/>
      <c r="I175" s="13" t="n"/>
      <c r="J175" s="13" t="n"/>
      <c r="K175" s="13" t="n"/>
      <c r="L175" s="15" t="n"/>
      <c r="M175" s="16">
        <f>IF(A175="","",F175+N(L175))</f>
        <v/>
      </c>
      <c r="N175" s="46">
        <f>IFERROR(L175/M175,"")</f>
        <v/>
      </c>
      <c r="O175" s="15" t="n"/>
      <c r="P175" s="15" t="n"/>
      <c r="Q175" s="16">
        <f>IF(A175="","",N(O175)+N(P175))</f>
        <v/>
      </c>
      <c r="R175" s="16">
        <f>IF(A175="","",F175-Q175)</f>
        <v/>
      </c>
      <c r="S175" s="46">
        <f>IFERROR(R175/F175,"")</f>
        <v/>
      </c>
      <c r="T175" s="45" t="n"/>
      <c r="U175" s="45" t="n"/>
      <c r="V175" s="45" t="n"/>
      <c r="W175" s="45" t="n"/>
      <c r="X175" s="45" t="n"/>
      <c r="Y175" s="13" t="n"/>
    </row>
    <row r="176" ht="15" customHeight="1">
      <c r="A176" s="13" t="n"/>
      <c r="B176" s="14">
        <f>IF(A176="","",IF(COUNTIF(lst_Jobs,A176&amp;"")&gt;0,"OK","CHECK"))</f>
        <v/>
      </c>
      <c r="C176" s="14">
        <f>IF(A176="","",IFERROR(INDEX(lst_JobName,MATCH(A176&amp;"",lst_Jobs,0)),""))</f>
        <v/>
      </c>
      <c r="D176" s="14">
        <f>IF(A176="","",IFERROR(INDEX(tbl_Finance[Client],MATCH(A176&amp;"",tbl_Finance[Job Number],0)),""))</f>
        <v/>
      </c>
      <c r="E176" s="44">
        <f>IF(A176="","",COUNTIFS(tbl_Finance[Job Number],A176&amp;"",tbl_Finance[Ex GST],"&lt;&gt;"))</f>
        <v/>
      </c>
      <c r="F176" s="16">
        <f>IF(A176="","",SUMIFS(tbl_Finance[Ex GST],tbl_Finance[Job Number],A176&amp;""))</f>
        <v/>
      </c>
      <c r="G176" s="14">
        <f>IF(A176="","",IFERROR(INDEX(tbl_Finance[Cost Centre],MATCH(A176&amp;"",tbl_Finance[Job Number],0)),"not invoiced yet"))</f>
        <v/>
      </c>
      <c r="H176" s="11" t="n"/>
      <c r="I176" s="13" t="n"/>
      <c r="J176" s="13" t="n"/>
      <c r="K176" s="13" t="n"/>
      <c r="L176" s="15" t="n"/>
      <c r="M176" s="16">
        <f>IF(A176="","",F176+N(L176))</f>
        <v/>
      </c>
      <c r="N176" s="46">
        <f>IFERROR(L176/M176,"")</f>
        <v/>
      </c>
      <c r="O176" s="15" t="n"/>
      <c r="P176" s="15" t="n"/>
      <c r="Q176" s="16">
        <f>IF(A176="","",N(O176)+N(P176))</f>
        <v/>
      </c>
      <c r="R176" s="16">
        <f>IF(A176="","",F176-Q176)</f>
        <v/>
      </c>
      <c r="S176" s="46">
        <f>IFERROR(R176/F176,"")</f>
        <v/>
      </c>
      <c r="T176" s="45" t="n"/>
      <c r="U176" s="45" t="n"/>
      <c r="V176" s="45" t="n"/>
      <c r="W176" s="45" t="n"/>
      <c r="X176" s="45" t="n"/>
      <c r="Y176" s="13" t="n"/>
    </row>
    <row r="177" ht="15" customHeight="1">
      <c r="A177" s="13" t="n"/>
      <c r="B177" s="14">
        <f>IF(A177="","",IF(COUNTIF(lst_Jobs,A177&amp;"")&gt;0,"OK","CHECK"))</f>
        <v/>
      </c>
      <c r="C177" s="14">
        <f>IF(A177="","",IFERROR(INDEX(lst_JobName,MATCH(A177&amp;"",lst_Jobs,0)),""))</f>
        <v/>
      </c>
      <c r="D177" s="14">
        <f>IF(A177="","",IFERROR(INDEX(tbl_Finance[Client],MATCH(A177&amp;"",tbl_Finance[Job Number],0)),""))</f>
        <v/>
      </c>
      <c r="E177" s="44">
        <f>IF(A177="","",COUNTIFS(tbl_Finance[Job Number],A177&amp;"",tbl_Finance[Ex GST],"&lt;&gt;"))</f>
        <v/>
      </c>
      <c r="F177" s="16">
        <f>IF(A177="","",SUMIFS(tbl_Finance[Ex GST],tbl_Finance[Job Number],A177&amp;""))</f>
        <v/>
      </c>
      <c r="G177" s="14">
        <f>IF(A177="","",IFERROR(INDEX(tbl_Finance[Cost Centre],MATCH(A177&amp;"",tbl_Finance[Job Number],0)),"not invoiced yet"))</f>
        <v/>
      </c>
      <c r="H177" s="11" t="n"/>
      <c r="I177" s="13" t="n"/>
      <c r="J177" s="13" t="n"/>
      <c r="K177" s="13" t="n"/>
      <c r="L177" s="15" t="n"/>
      <c r="M177" s="16">
        <f>IF(A177="","",F177+N(L177))</f>
        <v/>
      </c>
      <c r="N177" s="46">
        <f>IFERROR(L177/M177,"")</f>
        <v/>
      </c>
      <c r="O177" s="15" t="n"/>
      <c r="P177" s="15" t="n"/>
      <c r="Q177" s="16">
        <f>IF(A177="","",N(O177)+N(P177))</f>
        <v/>
      </c>
      <c r="R177" s="16">
        <f>IF(A177="","",F177-Q177)</f>
        <v/>
      </c>
      <c r="S177" s="46">
        <f>IFERROR(R177/F177,"")</f>
        <v/>
      </c>
      <c r="T177" s="45" t="n"/>
      <c r="U177" s="45" t="n"/>
      <c r="V177" s="45" t="n"/>
      <c r="W177" s="45" t="n"/>
      <c r="X177" s="45" t="n"/>
      <c r="Y177" s="13" t="n"/>
    </row>
    <row r="178" ht="15" customHeight="1">
      <c r="A178" s="13" t="n"/>
      <c r="B178" s="14">
        <f>IF(A178="","",IF(COUNTIF(lst_Jobs,A178&amp;"")&gt;0,"OK","CHECK"))</f>
        <v/>
      </c>
      <c r="C178" s="14">
        <f>IF(A178="","",IFERROR(INDEX(lst_JobName,MATCH(A178&amp;"",lst_Jobs,0)),""))</f>
        <v/>
      </c>
      <c r="D178" s="14">
        <f>IF(A178="","",IFERROR(INDEX(tbl_Finance[Client],MATCH(A178&amp;"",tbl_Finance[Job Number],0)),""))</f>
        <v/>
      </c>
      <c r="E178" s="44">
        <f>IF(A178="","",COUNTIFS(tbl_Finance[Job Number],A178&amp;"",tbl_Finance[Ex GST],"&lt;&gt;"))</f>
        <v/>
      </c>
      <c r="F178" s="16">
        <f>IF(A178="","",SUMIFS(tbl_Finance[Ex GST],tbl_Finance[Job Number],A178&amp;""))</f>
        <v/>
      </c>
      <c r="G178" s="14">
        <f>IF(A178="","",IFERROR(INDEX(tbl_Finance[Cost Centre],MATCH(A178&amp;"",tbl_Finance[Job Number],0)),"not invoiced yet"))</f>
        <v/>
      </c>
      <c r="H178" s="11" t="n"/>
      <c r="I178" s="13" t="n"/>
      <c r="J178" s="13" t="n"/>
      <c r="K178" s="13" t="n"/>
      <c r="L178" s="15" t="n"/>
      <c r="M178" s="16">
        <f>IF(A178="","",F178+N(L178))</f>
        <v/>
      </c>
      <c r="N178" s="46">
        <f>IFERROR(L178/M178,"")</f>
        <v/>
      </c>
      <c r="O178" s="15" t="n"/>
      <c r="P178" s="15" t="n"/>
      <c r="Q178" s="16">
        <f>IF(A178="","",N(O178)+N(P178))</f>
        <v/>
      </c>
      <c r="R178" s="16">
        <f>IF(A178="","",F178-Q178)</f>
        <v/>
      </c>
      <c r="S178" s="46">
        <f>IFERROR(R178/F178,"")</f>
        <v/>
      </c>
      <c r="T178" s="45" t="n"/>
      <c r="U178" s="45" t="n"/>
      <c r="V178" s="45" t="n"/>
      <c r="W178" s="45" t="n"/>
      <c r="X178" s="45" t="n"/>
      <c r="Y178" s="13" t="n"/>
    </row>
    <row r="179" ht="15" customHeight="1">
      <c r="A179" s="13" t="n"/>
      <c r="B179" s="14">
        <f>IF(A179="","",IF(COUNTIF(lst_Jobs,A179&amp;"")&gt;0,"OK","CHECK"))</f>
        <v/>
      </c>
      <c r="C179" s="14">
        <f>IF(A179="","",IFERROR(INDEX(lst_JobName,MATCH(A179&amp;"",lst_Jobs,0)),""))</f>
        <v/>
      </c>
      <c r="D179" s="14">
        <f>IF(A179="","",IFERROR(INDEX(tbl_Finance[Client],MATCH(A179&amp;"",tbl_Finance[Job Number],0)),""))</f>
        <v/>
      </c>
      <c r="E179" s="44">
        <f>IF(A179="","",COUNTIFS(tbl_Finance[Job Number],A179&amp;"",tbl_Finance[Ex GST],"&lt;&gt;"))</f>
        <v/>
      </c>
      <c r="F179" s="16">
        <f>IF(A179="","",SUMIFS(tbl_Finance[Ex GST],tbl_Finance[Job Number],A179&amp;""))</f>
        <v/>
      </c>
      <c r="G179" s="14">
        <f>IF(A179="","",IFERROR(INDEX(tbl_Finance[Cost Centre],MATCH(A179&amp;"",tbl_Finance[Job Number],0)),"not invoiced yet"))</f>
        <v/>
      </c>
      <c r="H179" s="11" t="n"/>
      <c r="I179" s="13" t="n"/>
      <c r="J179" s="13" t="n"/>
      <c r="K179" s="13" t="n"/>
      <c r="L179" s="15" t="n"/>
      <c r="M179" s="16">
        <f>IF(A179="","",F179+N(L179))</f>
        <v/>
      </c>
      <c r="N179" s="46">
        <f>IFERROR(L179/M179,"")</f>
        <v/>
      </c>
      <c r="O179" s="15" t="n"/>
      <c r="P179" s="15" t="n"/>
      <c r="Q179" s="16">
        <f>IF(A179="","",N(O179)+N(P179))</f>
        <v/>
      </c>
      <c r="R179" s="16">
        <f>IF(A179="","",F179-Q179)</f>
        <v/>
      </c>
      <c r="S179" s="46">
        <f>IFERROR(R179/F179,"")</f>
        <v/>
      </c>
      <c r="T179" s="45" t="n"/>
      <c r="U179" s="45" t="n"/>
      <c r="V179" s="45" t="n"/>
      <c r="W179" s="45" t="n"/>
      <c r="X179" s="45" t="n"/>
      <c r="Y179" s="13" t="n"/>
    </row>
    <row r="180" ht="15" customHeight="1">
      <c r="A180" s="13" t="n"/>
      <c r="B180" s="14">
        <f>IF(A180="","",IF(COUNTIF(lst_Jobs,A180&amp;"")&gt;0,"OK","CHECK"))</f>
        <v/>
      </c>
      <c r="C180" s="14">
        <f>IF(A180="","",IFERROR(INDEX(lst_JobName,MATCH(A180&amp;"",lst_Jobs,0)),""))</f>
        <v/>
      </c>
      <c r="D180" s="14">
        <f>IF(A180="","",IFERROR(INDEX(tbl_Finance[Client],MATCH(A180&amp;"",tbl_Finance[Job Number],0)),""))</f>
        <v/>
      </c>
      <c r="E180" s="44">
        <f>IF(A180="","",COUNTIFS(tbl_Finance[Job Number],A180&amp;"",tbl_Finance[Ex GST],"&lt;&gt;"))</f>
        <v/>
      </c>
      <c r="F180" s="16">
        <f>IF(A180="","",SUMIFS(tbl_Finance[Ex GST],tbl_Finance[Job Number],A180&amp;""))</f>
        <v/>
      </c>
      <c r="G180" s="14">
        <f>IF(A180="","",IFERROR(INDEX(tbl_Finance[Cost Centre],MATCH(A180&amp;"",tbl_Finance[Job Number],0)),"not invoiced yet"))</f>
        <v/>
      </c>
      <c r="H180" s="11" t="n"/>
      <c r="I180" s="13" t="n"/>
      <c r="J180" s="13" t="n"/>
      <c r="K180" s="13" t="n"/>
      <c r="L180" s="15" t="n"/>
      <c r="M180" s="16">
        <f>IF(A180="","",F180+N(L180))</f>
        <v/>
      </c>
      <c r="N180" s="46">
        <f>IFERROR(L180/M180,"")</f>
        <v/>
      </c>
      <c r="O180" s="15" t="n"/>
      <c r="P180" s="15" t="n"/>
      <c r="Q180" s="16">
        <f>IF(A180="","",N(O180)+N(P180))</f>
        <v/>
      </c>
      <c r="R180" s="16">
        <f>IF(A180="","",F180-Q180)</f>
        <v/>
      </c>
      <c r="S180" s="46">
        <f>IFERROR(R180/F180,"")</f>
        <v/>
      </c>
      <c r="T180" s="45" t="n"/>
      <c r="U180" s="45" t="n"/>
      <c r="V180" s="45" t="n"/>
      <c r="W180" s="45" t="n"/>
      <c r="X180" s="45" t="n"/>
      <c r="Y180" s="13" t="n"/>
    </row>
    <row r="181" ht="15" customHeight="1">
      <c r="A181" s="13" t="n"/>
      <c r="B181" s="14">
        <f>IF(A181="","",IF(COUNTIF(lst_Jobs,A181&amp;"")&gt;0,"OK","CHECK"))</f>
        <v/>
      </c>
      <c r="C181" s="14">
        <f>IF(A181="","",IFERROR(INDEX(lst_JobName,MATCH(A181&amp;"",lst_Jobs,0)),""))</f>
        <v/>
      </c>
      <c r="D181" s="14">
        <f>IF(A181="","",IFERROR(INDEX(tbl_Finance[Client],MATCH(A181&amp;"",tbl_Finance[Job Number],0)),""))</f>
        <v/>
      </c>
      <c r="E181" s="44">
        <f>IF(A181="","",COUNTIFS(tbl_Finance[Job Number],A181&amp;"",tbl_Finance[Ex GST],"&lt;&gt;"))</f>
        <v/>
      </c>
      <c r="F181" s="16">
        <f>IF(A181="","",SUMIFS(tbl_Finance[Ex GST],tbl_Finance[Job Number],A181&amp;""))</f>
        <v/>
      </c>
      <c r="G181" s="14">
        <f>IF(A181="","",IFERROR(INDEX(tbl_Finance[Cost Centre],MATCH(A181&amp;"",tbl_Finance[Job Number],0)),"not invoiced yet"))</f>
        <v/>
      </c>
      <c r="H181" s="11" t="n"/>
      <c r="I181" s="13" t="n"/>
      <c r="J181" s="13" t="n"/>
      <c r="K181" s="13" t="n"/>
      <c r="L181" s="15" t="n"/>
      <c r="M181" s="16">
        <f>IF(A181="","",F181+N(L181))</f>
        <v/>
      </c>
      <c r="N181" s="46">
        <f>IFERROR(L181/M181,"")</f>
        <v/>
      </c>
      <c r="O181" s="15" t="n"/>
      <c r="P181" s="15" t="n"/>
      <c r="Q181" s="16">
        <f>IF(A181="","",N(O181)+N(P181))</f>
        <v/>
      </c>
      <c r="R181" s="16">
        <f>IF(A181="","",F181-Q181)</f>
        <v/>
      </c>
      <c r="S181" s="46">
        <f>IFERROR(R181/F181,"")</f>
        <v/>
      </c>
      <c r="T181" s="45" t="n"/>
      <c r="U181" s="45" t="n"/>
      <c r="V181" s="45" t="n"/>
      <c r="W181" s="45" t="n"/>
      <c r="X181" s="45" t="n"/>
      <c r="Y181" s="13" t="n"/>
    </row>
    <row r="182" ht="15" customHeight="1">
      <c r="A182" s="13" t="n"/>
      <c r="B182" s="14">
        <f>IF(A182="","",IF(COUNTIF(lst_Jobs,A182&amp;"")&gt;0,"OK","CHECK"))</f>
        <v/>
      </c>
      <c r="C182" s="14">
        <f>IF(A182="","",IFERROR(INDEX(lst_JobName,MATCH(A182&amp;"",lst_Jobs,0)),""))</f>
        <v/>
      </c>
      <c r="D182" s="14">
        <f>IF(A182="","",IFERROR(INDEX(tbl_Finance[Client],MATCH(A182&amp;"",tbl_Finance[Job Number],0)),""))</f>
        <v/>
      </c>
      <c r="E182" s="44">
        <f>IF(A182="","",COUNTIFS(tbl_Finance[Job Number],A182&amp;"",tbl_Finance[Ex GST],"&lt;&gt;"))</f>
        <v/>
      </c>
      <c r="F182" s="16">
        <f>IF(A182="","",SUMIFS(tbl_Finance[Ex GST],tbl_Finance[Job Number],A182&amp;""))</f>
        <v/>
      </c>
      <c r="G182" s="14">
        <f>IF(A182="","",IFERROR(INDEX(tbl_Finance[Cost Centre],MATCH(A182&amp;"",tbl_Finance[Job Number],0)),"not invoiced yet"))</f>
        <v/>
      </c>
      <c r="H182" s="11" t="n"/>
      <c r="I182" s="13" t="n"/>
      <c r="J182" s="13" t="n"/>
      <c r="K182" s="13" t="n"/>
      <c r="L182" s="15" t="n"/>
      <c r="M182" s="16">
        <f>IF(A182="","",F182+N(L182))</f>
        <v/>
      </c>
      <c r="N182" s="46">
        <f>IFERROR(L182/M182,"")</f>
        <v/>
      </c>
      <c r="O182" s="15" t="n"/>
      <c r="P182" s="15" t="n"/>
      <c r="Q182" s="16">
        <f>IF(A182="","",N(O182)+N(P182))</f>
        <v/>
      </c>
      <c r="R182" s="16">
        <f>IF(A182="","",F182-Q182)</f>
        <v/>
      </c>
      <c r="S182" s="46">
        <f>IFERROR(R182/F182,"")</f>
        <v/>
      </c>
      <c r="T182" s="45" t="n"/>
      <c r="U182" s="45" t="n"/>
      <c r="V182" s="45" t="n"/>
      <c r="W182" s="45" t="n"/>
      <c r="X182" s="45" t="n"/>
      <c r="Y182" s="13" t="n"/>
    </row>
    <row r="183" ht="15" customHeight="1">
      <c r="A183" s="13" t="n"/>
      <c r="B183" s="14">
        <f>IF(A183="","",IF(COUNTIF(lst_Jobs,A183&amp;"")&gt;0,"OK","CHECK"))</f>
        <v/>
      </c>
      <c r="C183" s="14">
        <f>IF(A183="","",IFERROR(INDEX(lst_JobName,MATCH(A183&amp;"",lst_Jobs,0)),""))</f>
        <v/>
      </c>
      <c r="D183" s="14">
        <f>IF(A183="","",IFERROR(INDEX(tbl_Finance[Client],MATCH(A183&amp;"",tbl_Finance[Job Number],0)),""))</f>
        <v/>
      </c>
      <c r="E183" s="44">
        <f>IF(A183="","",COUNTIFS(tbl_Finance[Job Number],A183&amp;"",tbl_Finance[Ex GST],"&lt;&gt;"))</f>
        <v/>
      </c>
      <c r="F183" s="16">
        <f>IF(A183="","",SUMIFS(tbl_Finance[Ex GST],tbl_Finance[Job Number],A183&amp;""))</f>
        <v/>
      </c>
      <c r="G183" s="14">
        <f>IF(A183="","",IFERROR(INDEX(tbl_Finance[Cost Centre],MATCH(A183&amp;"",tbl_Finance[Job Number],0)),"not invoiced yet"))</f>
        <v/>
      </c>
      <c r="H183" s="11" t="n"/>
      <c r="I183" s="13" t="n"/>
      <c r="J183" s="13" t="n"/>
      <c r="K183" s="13" t="n"/>
      <c r="L183" s="15" t="n"/>
      <c r="M183" s="16">
        <f>IF(A183="","",F183+N(L183))</f>
        <v/>
      </c>
      <c r="N183" s="46">
        <f>IFERROR(L183/M183,"")</f>
        <v/>
      </c>
      <c r="O183" s="15" t="n"/>
      <c r="P183" s="15" t="n"/>
      <c r="Q183" s="16">
        <f>IF(A183="","",N(O183)+N(P183))</f>
        <v/>
      </c>
      <c r="R183" s="16">
        <f>IF(A183="","",F183-Q183)</f>
        <v/>
      </c>
      <c r="S183" s="46">
        <f>IFERROR(R183/F183,"")</f>
        <v/>
      </c>
      <c r="T183" s="45" t="n"/>
      <c r="U183" s="45" t="n"/>
      <c r="V183" s="45" t="n"/>
      <c r="W183" s="45" t="n"/>
      <c r="X183" s="45" t="n"/>
      <c r="Y183" s="13" t="n"/>
    </row>
    <row r="184" ht="15" customHeight="1">
      <c r="A184" s="13" t="n"/>
      <c r="B184" s="14">
        <f>IF(A184="","",IF(COUNTIF(lst_Jobs,A184&amp;"")&gt;0,"OK","CHECK"))</f>
        <v/>
      </c>
      <c r="C184" s="14">
        <f>IF(A184="","",IFERROR(INDEX(lst_JobName,MATCH(A184&amp;"",lst_Jobs,0)),""))</f>
        <v/>
      </c>
      <c r="D184" s="14">
        <f>IF(A184="","",IFERROR(INDEX(tbl_Finance[Client],MATCH(A184&amp;"",tbl_Finance[Job Number],0)),""))</f>
        <v/>
      </c>
      <c r="E184" s="44">
        <f>IF(A184="","",COUNTIFS(tbl_Finance[Job Number],A184&amp;"",tbl_Finance[Ex GST],"&lt;&gt;"))</f>
        <v/>
      </c>
      <c r="F184" s="16">
        <f>IF(A184="","",SUMIFS(tbl_Finance[Ex GST],tbl_Finance[Job Number],A184&amp;""))</f>
        <v/>
      </c>
      <c r="G184" s="14">
        <f>IF(A184="","",IFERROR(INDEX(tbl_Finance[Cost Centre],MATCH(A184&amp;"",tbl_Finance[Job Number],0)),"not invoiced yet"))</f>
        <v/>
      </c>
      <c r="H184" s="11" t="n"/>
      <c r="I184" s="13" t="n"/>
      <c r="J184" s="13" t="n"/>
      <c r="K184" s="13" t="n"/>
      <c r="L184" s="15" t="n"/>
      <c r="M184" s="16">
        <f>IF(A184="","",F184+N(L184))</f>
        <v/>
      </c>
      <c r="N184" s="46">
        <f>IFERROR(L184/M184,"")</f>
        <v/>
      </c>
      <c r="O184" s="15" t="n"/>
      <c r="P184" s="15" t="n"/>
      <c r="Q184" s="16">
        <f>IF(A184="","",N(O184)+N(P184))</f>
        <v/>
      </c>
      <c r="R184" s="16">
        <f>IF(A184="","",F184-Q184)</f>
        <v/>
      </c>
      <c r="S184" s="46">
        <f>IFERROR(R184/F184,"")</f>
        <v/>
      </c>
      <c r="T184" s="45" t="n"/>
      <c r="U184" s="45" t="n"/>
      <c r="V184" s="45" t="n"/>
      <c r="W184" s="45" t="n"/>
      <c r="X184" s="45" t="n"/>
      <c r="Y184" s="13" t="n"/>
    </row>
    <row r="185" ht="15" customHeight="1">
      <c r="A185" s="13" t="n"/>
      <c r="B185" s="14">
        <f>IF(A185="","",IF(COUNTIF(lst_Jobs,A185&amp;"")&gt;0,"OK","CHECK"))</f>
        <v/>
      </c>
      <c r="C185" s="14">
        <f>IF(A185="","",IFERROR(INDEX(lst_JobName,MATCH(A185&amp;"",lst_Jobs,0)),""))</f>
        <v/>
      </c>
      <c r="D185" s="14">
        <f>IF(A185="","",IFERROR(INDEX(tbl_Finance[Client],MATCH(A185&amp;"",tbl_Finance[Job Number],0)),""))</f>
        <v/>
      </c>
      <c r="E185" s="44">
        <f>IF(A185="","",COUNTIFS(tbl_Finance[Job Number],A185&amp;"",tbl_Finance[Ex GST],"&lt;&gt;"))</f>
        <v/>
      </c>
      <c r="F185" s="16">
        <f>IF(A185="","",SUMIFS(tbl_Finance[Ex GST],tbl_Finance[Job Number],A185&amp;""))</f>
        <v/>
      </c>
      <c r="G185" s="14">
        <f>IF(A185="","",IFERROR(INDEX(tbl_Finance[Cost Centre],MATCH(A185&amp;"",tbl_Finance[Job Number],0)),"not invoiced yet"))</f>
        <v/>
      </c>
      <c r="H185" s="11" t="n"/>
      <c r="I185" s="13" t="n"/>
      <c r="J185" s="13" t="n"/>
      <c r="K185" s="13" t="n"/>
      <c r="L185" s="15" t="n"/>
      <c r="M185" s="16">
        <f>IF(A185="","",F185+N(L185))</f>
        <v/>
      </c>
      <c r="N185" s="46">
        <f>IFERROR(L185/M185,"")</f>
        <v/>
      </c>
      <c r="O185" s="15" t="n"/>
      <c r="P185" s="15" t="n"/>
      <c r="Q185" s="16">
        <f>IF(A185="","",N(O185)+N(P185))</f>
        <v/>
      </c>
      <c r="R185" s="16">
        <f>IF(A185="","",F185-Q185)</f>
        <v/>
      </c>
      <c r="S185" s="46">
        <f>IFERROR(R185/F185,"")</f>
        <v/>
      </c>
      <c r="T185" s="45" t="n"/>
      <c r="U185" s="45" t="n"/>
      <c r="V185" s="45" t="n"/>
      <c r="W185" s="45" t="n"/>
      <c r="X185" s="45" t="n"/>
      <c r="Y185" s="13" t="n"/>
    </row>
    <row r="186" ht="15" customHeight="1">
      <c r="A186" s="13" t="n"/>
      <c r="B186" s="14">
        <f>IF(A186="","",IF(COUNTIF(lst_Jobs,A186&amp;"")&gt;0,"OK","CHECK"))</f>
        <v/>
      </c>
      <c r="C186" s="14">
        <f>IF(A186="","",IFERROR(INDEX(lst_JobName,MATCH(A186&amp;"",lst_Jobs,0)),""))</f>
        <v/>
      </c>
      <c r="D186" s="14">
        <f>IF(A186="","",IFERROR(INDEX(tbl_Finance[Client],MATCH(A186&amp;"",tbl_Finance[Job Number],0)),""))</f>
        <v/>
      </c>
      <c r="E186" s="44">
        <f>IF(A186="","",COUNTIFS(tbl_Finance[Job Number],A186&amp;"",tbl_Finance[Ex GST],"&lt;&gt;"))</f>
        <v/>
      </c>
      <c r="F186" s="16">
        <f>IF(A186="","",SUMIFS(tbl_Finance[Ex GST],tbl_Finance[Job Number],A186&amp;""))</f>
        <v/>
      </c>
      <c r="G186" s="14">
        <f>IF(A186="","",IFERROR(INDEX(tbl_Finance[Cost Centre],MATCH(A186&amp;"",tbl_Finance[Job Number],0)),"not invoiced yet"))</f>
        <v/>
      </c>
      <c r="H186" s="11" t="n"/>
      <c r="I186" s="13" t="n"/>
      <c r="J186" s="13" t="n"/>
      <c r="K186" s="13" t="n"/>
      <c r="L186" s="15" t="n"/>
      <c r="M186" s="16">
        <f>IF(A186="","",F186+N(L186))</f>
        <v/>
      </c>
      <c r="N186" s="46">
        <f>IFERROR(L186/M186,"")</f>
        <v/>
      </c>
      <c r="O186" s="15" t="n"/>
      <c r="P186" s="15" t="n"/>
      <c r="Q186" s="16">
        <f>IF(A186="","",N(O186)+N(P186))</f>
        <v/>
      </c>
      <c r="R186" s="16">
        <f>IF(A186="","",F186-Q186)</f>
        <v/>
      </c>
      <c r="S186" s="46">
        <f>IFERROR(R186/F186,"")</f>
        <v/>
      </c>
      <c r="T186" s="45" t="n"/>
      <c r="U186" s="45" t="n"/>
      <c r="V186" s="45" t="n"/>
      <c r="W186" s="45" t="n"/>
      <c r="X186" s="45" t="n"/>
      <c r="Y186" s="13" t="n"/>
    </row>
    <row r="187" ht="15" customHeight="1">
      <c r="A187" s="13" t="n"/>
      <c r="B187" s="14">
        <f>IF(A187="","",IF(COUNTIF(lst_Jobs,A187&amp;"")&gt;0,"OK","CHECK"))</f>
        <v/>
      </c>
      <c r="C187" s="14">
        <f>IF(A187="","",IFERROR(INDEX(lst_JobName,MATCH(A187&amp;"",lst_Jobs,0)),""))</f>
        <v/>
      </c>
      <c r="D187" s="14">
        <f>IF(A187="","",IFERROR(INDEX(tbl_Finance[Client],MATCH(A187&amp;"",tbl_Finance[Job Number],0)),""))</f>
        <v/>
      </c>
      <c r="E187" s="44">
        <f>IF(A187="","",COUNTIFS(tbl_Finance[Job Number],A187&amp;"",tbl_Finance[Ex GST],"&lt;&gt;"))</f>
        <v/>
      </c>
      <c r="F187" s="16">
        <f>IF(A187="","",SUMIFS(tbl_Finance[Ex GST],tbl_Finance[Job Number],A187&amp;""))</f>
        <v/>
      </c>
      <c r="G187" s="14">
        <f>IF(A187="","",IFERROR(INDEX(tbl_Finance[Cost Centre],MATCH(A187&amp;"",tbl_Finance[Job Number],0)),"not invoiced yet"))</f>
        <v/>
      </c>
      <c r="H187" s="11" t="n"/>
      <c r="I187" s="13" t="n"/>
      <c r="J187" s="13" t="n"/>
      <c r="K187" s="13" t="n"/>
      <c r="L187" s="15" t="n"/>
      <c r="M187" s="16">
        <f>IF(A187="","",F187+N(L187))</f>
        <v/>
      </c>
      <c r="N187" s="46">
        <f>IFERROR(L187/M187,"")</f>
        <v/>
      </c>
      <c r="O187" s="15" t="n"/>
      <c r="P187" s="15" t="n"/>
      <c r="Q187" s="16">
        <f>IF(A187="","",N(O187)+N(P187))</f>
        <v/>
      </c>
      <c r="R187" s="16">
        <f>IF(A187="","",F187-Q187)</f>
        <v/>
      </c>
      <c r="S187" s="46">
        <f>IFERROR(R187/F187,"")</f>
        <v/>
      </c>
      <c r="T187" s="45" t="n"/>
      <c r="U187" s="45" t="n"/>
      <c r="V187" s="45" t="n"/>
      <c r="W187" s="45" t="n"/>
      <c r="X187" s="45" t="n"/>
      <c r="Y187" s="13" t="n"/>
    </row>
    <row r="188" ht="15" customHeight="1">
      <c r="A188" s="13" t="n"/>
      <c r="B188" s="14">
        <f>IF(A188="","",IF(COUNTIF(lst_Jobs,A188&amp;"")&gt;0,"OK","CHECK"))</f>
        <v/>
      </c>
      <c r="C188" s="14">
        <f>IF(A188="","",IFERROR(INDEX(lst_JobName,MATCH(A188&amp;"",lst_Jobs,0)),""))</f>
        <v/>
      </c>
      <c r="D188" s="14">
        <f>IF(A188="","",IFERROR(INDEX(tbl_Finance[Client],MATCH(A188&amp;"",tbl_Finance[Job Number],0)),""))</f>
        <v/>
      </c>
      <c r="E188" s="44">
        <f>IF(A188="","",COUNTIFS(tbl_Finance[Job Number],A188&amp;"",tbl_Finance[Ex GST],"&lt;&gt;"))</f>
        <v/>
      </c>
      <c r="F188" s="16">
        <f>IF(A188="","",SUMIFS(tbl_Finance[Ex GST],tbl_Finance[Job Number],A188&amp;""))</f>
        <v/>
      </c>
      <c r="G188" s="14">
        <f>IF(A188="","",IFERROR(INDEX(tbl_Finance[Cost Centre],MATCH(A188&amp;"",tbl_Finance[Job Number],0)),"not invoiced yet"))</f>
        <v/>
      </c>
      <c r="H188" s="11" t="n"/>
      <c r="I188" s="13" t="n"/>
      <c r="J188" s="13" t="n"/>
      <c r="K188" s="13" t="n"/>
      <c r="L188" s="15" t="n"/>
      <c r="M188" s="16">
        <f>IF(A188="","",F188+N(L188))</f>
        <v/>
      </c>
      <c r="N188" s="46">
        <f>IFERROR(L188/M188,"")</f>
        <v/>
      </c>
      <c r="O188" s="15" t="n"/>
      <c r="P188" s="15" t="n"/>
      <c r="Q188" s="16">
        <f>IF(A188="","",N(O188)+N(P188))</f>
        <v/>
      </c>
      <c r="R188" s="16">
        <f>IF(A188="","",F188-Q188)</f>
        <v/>
      </c>
      <c r="S188" s="46">
        <f>IFERROR(R188/F188,"")</f>
        <v/>
      </c>
      <c r="T188" s="45" t="n"/>
      <c r="U188" s="45" t="n"/>
      <c r="V188" s="45" t="n"/>
      <c r="W188" s="45" t="n"/>
      <c r="X188" s="45" t="n"/>
      <c r="Y188" s="13" t="n"/>
    </row>
    <row r="189" ht="15" customHeight="1">
      <c r="A189" s="13" t="n"/>
      <c r="B189" s="14">
        <f>IF(A189="","",IF(COUNTIF(lst_Jobs,A189&amp;"")&gt;0,"OK","CHECK"))</f>
        <v/>
      </c>
      <c r="C189" s="14">
        <f>IF(A189="","",IFERROR(INDEX(lst_JobName,MATCH(A189&amp;"",lst_Jobs,0)),""))</f>
        <v/>
      </c>
      <c r="D189" s="14">
        <f>IF(A189="","",IFERROR(INDEX(tbl_Finance[Client],MATCH(A189&amp;"",tbl_Finance[Job Number],0)),""))</f>
        <v/>
      </c>
      <c r="E189" s="44">
        <f>IF(A189="","",COUNTIFS(tbl_Finance[Job Number],A189&amp;"",tbl_Finance[Ex GST],"&lt;&gt;"))</f>
        <v/>
      </c>
      <c r="F189" s="16">
        <f>IF(A189="","",SUMIFS(tbl_Finance[Ex GST],tbl_Finance[Job Number],A189&amp;""))</f>
        <v/>
      </c>
      <c r="G189" s="14">
        <f>IF(A189="","",IFERROR(INDEX(tbl_Finance[Cost Centre],MATCH(A189&amp;"",tbl_Finance[Job Number],0)),"not invoiced yet"))</f>
        <v/>
      </c>
      <c r="H189" s="11" t="n"/>
      <c r="I189" s="13" t="n"/>
      <c r="J189" s="13" t="n"/>
      <c r="K189" s="13" t="n"/>
      <c r="L189" s="15" t="n"/>
      <c r="M189" s="16">
        <f>IF(A189="","",F189+N(L189))</f>
        <v/>
      </c>
      <c r="N189" s="46">
        <f>IFERROR(L189/M189,"")</f>
        <v/>
      </c>
      <c r="O189" s="15" t="n"/>
      <c r="P189" s="15" t="n"/>
      <c r="Q189" s="16">
        <f>IF(A189="","",N(O189)+N(P189))</f>
        <v/>
      </c>
      <c r="R189" s="16">
        <f>IF(A189="","",F189-Q189)</f>
        <v/>
      </c>
      <c r="S189" s="46">
        <f>IFERROR(R189/F189,"")</f>
        <v/>
      </c>
      <c r="T189" s="45" t="n"/>
      <c r="U189" s="45" t="n"/>
      <c r="V189" s="45" t="n"/>
      <c r="W189" s="45" t="n"/>
      <c r="X189" s="45" t="n"/>
      <c r="Y189" s="13" t="n"/>
    </row>
    <row r="190" ht="15" customHeight="1">
      <c r="A190" s="13" t="n"/>
      <c r="B190" s="14">
        <f>IF(A190="","",IF(COUNTIF(lst_Jobs,A190&amp;"")&gt;0,"OK","CHECK"))</f>
        <v/>
      </c>
      <c r="C190" s="14">
        <f>IF(A190="","",IFERROR(INDEX(lst_JobName,MATCH(A190&amp;"",lst_Jobs,0)),""))</f>
        <v/>
      </c>
      <c r="D190" s="14">
        <f>IF(A190="","",IFERROR(INDEX(tbl_Finance[Client],MATCH(A190&amp;"",tbl_Finance[Job Number],0)),""))</f>
        <v/>
      </c>
      <c r="E190" s="44">
        <f>IF(A190="","",COUNTIFS(tbl_Finance[Job Number],A190&amp;"",tbl_Finance[Ex GST],"&lt;&gt;"))</f>
        <v/>
      </c>
      <c r="F190" s="16">
        <f>IF(A190="","",SUMIFS(tbl_Finance[Ex GST],tbl_Finance[Job Number],A190&amp;""))</f>
        <v/>
      </c>
      <c r="G190" s="14">
        <f>IF(A190="","",IFERROR(INDEX(tbl_Finance[Cost Centre],MATCH(A190&amp;"",tbl_Finance[Job Number],0)),"not invoiced yet"))</f>
        <v/>
      </c>
      <c r="H190" s="11" t="n"/>
      <c r="I190" s="13" t="n"/>
      <c r="J190" s="13" t="n"/>
      <c r="K190" s="13" t="n"/>
      <c r="L190" s="15" t="n"/>
      <c r="M190" s="16">
        <f>IF(A190="","",F190+N(L190))</f>
        <v/>
      </c>
      <c r="N190" s="46">
        <f>IFERROR(L190/M190,"")</f>
        <v/>
      </c>
      <c r="O190" s="15" t="n"/>
      <c r="P190" s="15" t="n"/>
      <c r="Q190" s="16">
        <f>IF(A190="","",N(O190)+N(P190))</f>
        <v/>
      </c>
      <c r="R190" s="16">
        <f>IF(A190="","",F190-Q190)</f>
        <v/>
      </c>
      <c r="S190" s="46">
        <f>IFERROR(R190/F190,"")</f>
        <v/>
      </c>
      <c r="T190" s="45" t="n"/>
      <c r="U190" s="45" t="n"/>
      <c r="V190" s="45" t="n"/>
      <c r="W190" s="45" t="n"/>
      <c r="X190" s="45" t="n"/>
      <c r="Y190" s="13" t="n"/>
    </row>
    <row r="191" ht="15" customHeight="1">
      <c r="A191" s="13" t="n"/>
      <c r="B191" s="14">
        <f>IF(A191="","",IF(COUNTIF(lst_Jobs,A191&amp;"")&gt;0,"OK","CHECK"))</f>
        <v/>
      </c>
      <c r="C191" s="14">
        <f>IF(A191="","",IFERROR(INDEX(lst_JobName,MATCH(A191&amp;"",lst_Jobs,0)),""))</f>
        <v/>
      </c>
      <c r="D191" s="14">
        <f>IF(A191="","",IFERROR(INDEX(tbl_Finance[Client],MATCH(A191&amp;"",tbl_Finance[Job Number],0)),""))</f>
        <v/>
      </c>
      <c r="E191" s="44">
        <f>IF(A191="","",COUNTIFS(tbl_Finance[Job Number],A191&amp;"",tbl_Finance[Ex GST],"&lt;&gt;"))</f>
        <v/>
      </c>
      <c r="F191" s="16">
        <f>IF(A191="","",SUMIFS(tbl_Finance[Ex GST],tbl_Finance[Job Number],A191&amp;""))</f>
        <v/>
      </c>
      <c r="G191" s="14">
        <f>IF(A191="","",IFERROR(INDEX(tbl_Finance[Cost Centre],MATCH(A191&amp;"",tbl_Finance[Job Number],0)),"not invoiced yet"))</f>
        <v/>
      </c>
      <c r="H191" s="11" t="n"/>
      <c r="I191" s="13" t="n"/>
      <c r="J191" s="13" t="n"/>
      <c r="K191" s="13" t="n"/>
      <c r="L191" s="15" t="n"/>
      <c r="M191" s="16">
        <f>IF(A191="","",F191+N(L191))</f>
        <v/>
      </c>
      <c r="N191" s="46">
        <f>IFERROR(L191/M191,"")</f>
        <v/>
      </c>
      <c r="O191" s="15" t="n"/>
      <c r="P191" s="15" t="n"/>
      <c r="Q191" s="16">
        <f>IF(A191="","",N(O191)+N(P191))</f>
        <v/>
      </c>
      <c r="R191" s="16">
        <f>IF(A191="","",F191-Q191)</f>
        <v/>
      </c>
      <c r="S191" s="46">
        <f>IFERROR(R191/F191,"")</f>
        <v/>
      </c>
      <c r="T191" s="45" t="n"/>
      <c r="U191" s="45" t="n"/>
      <c r="V191" s="45" t="n"/>
      <c r="W191" s="45" t="n"/>
      <c r="X191" s="45" t="n"/>
      <c r="Y191" s="13" t="n"/>
    </row>
    <row r="192" ht="15" customHeight="1">
      <c r="A192" s="13" t="n"/>
      <c r="B192" s="14">
        <f>IF(A192="","",IF(COUNTIF(lst_Jobs,A192&amp;"")&gt;0,"OK","CHECK"))</f>
        <v/>
      </c>
      <c r="C192" s="14">
        <f>IF(A192="","",IFERROR(INDEX(lst_JobName,MATCH(A192&amp;"",lst_Jobs,0)),""))</f>
        <v/>
      </c>
      <c r="D192" s="14">
        <f>IF(A192="","",IFERROR(INDEX(tbl_Finance[Client],MATCH(A192&amp;"",tbl_Finance[Job Number],0)),""))</f>
        <v/>
      </c>
      <c r="E192" s="44">
        <f>IF(A192="","",COUNTIFS(tbl_Finance[Job Number],A192&amp;"",tbl_Finance[Ex GST],"&lt;&gt;"))</f>
        <v/>
      </c>
      <c r="F192" s="16">
        <f>IF(A192="","",SUMIFS(tbl_Finance[Ex GST],tbl_Finance[Job Number],A192&amp;""))</f>
        <v/>
      </c>
      <c r="G192" s="14">
        <f>IF(A192="","",IFERROR(INDEX(tbl_Finance[Cost Centre],MATCH(A192&amp;"",tbl_Finance[Job Number],0)),"not invoiced yet"))</f>
        <v/>
      </c>
      <c r="H192" s="11" t="n"/>
      <c r="I192" s="13" t="n"/>
      <c r="J192" s="13" t="n"/>
      <c r="K192" s="13" t="n"/>
      <c r="L192" s="15" t="n"/>
      <c r="M192" s="16">
        <f>IF(A192="","",F192+N(L192))</f>
        <v/>
      </c>
      <c r="N192" s="46">
        <f>IFERROR(L192/M192,"")</f>
        <v/>
      </c>
      <c r="O192" s="15" t="n"/>
      <c r="P192" s="15" t="n"/>
      <c r="Q192" s="16">
        <f>IF(A192="","",N(O192)+N(P192))</f>
        <v/>
      </c>
      <c r="R192" s="16">
        <f>IF(A192="","",F192-Q192)</f>
        <v/>
      </c>
      <c r="S192" s="46">
        <f>IFERROR(R192/F192,"")</f>
        <v/>
      </c>
      <c r="T192" s="45" t="n"/>
      <c r="U192" s="45" t="n"/>
      <c r="V192" s="45" t="n"/>
      <c r="W192" s="45" t="n"/>
      <c r="X192" s="45" t="n"/>
      <c r="Y192" s="13" t="n"/>
    </row>
    <row r="193" ht="15" customHeight="1">
      <c r="A193" s="13" t="n"/>
      <c r="B193" s="14">
        <f>IF(A193="","",IF(COUNTIF(lst_Jobs,A193&amp;"")&gt;0,"OK","CHECK"))</f>
        <v/>
      </c>
      <c r="C193" s="14">
        <f>IF(A193="","",IFERROR(INDEX(lst_JobName,MATCH(A193&amp;"",lst_Jobs,0)),""))</f>
        <v/>
      </c>
      <c r="D193" s="14">
        <f>IF(A193="","",IFERROR(INDEX(tbl_Finance[Client],MATCH(A193&amp;"",tbl_Finance[Job Number],0)),""))</f>
        <v/>
      </c>
      <c r="E193" s="44">
        <f>IF(A193="","",COUNTIFS(tbl_Finance[Job Number],A193&amp;"",tbl_Finance[Ex GST],"&lt;&gt;"))</f>
        <v/>
      </c>
      <c r="F193" s="16">
        <f>IF(A193="","",SUMIFS(tbl_Finance[Ex GST],tbl_Finance[Job Number],A193&amp;""))</f>
        <v/>
      </c>
      <c r="G193" s="14">
        <f>IF(A193="","",IFERROR(INDEX(tbl_Finance[Cost Centre],MATCH(A193&amp;"",tbl_Finance[Job Number],0)),"not invoiced yet"))</f>
        <v/>
      </c>
      <c r="H193" s="11" t="n"/>
      <c r="I193" s="13" t="n"/>
      <c r="J193" s="13" t="n"/>
      <c r="K193" s="13" t="n"/>
      <c r="L193" s="15" t="n"/>
      <c r="M193" s="16">
        <f>IF(A193="","",F193+N(L193))</f>
        <v/>
      </c>
      <c r="N193" s="46">
        <f>IFERROR(L193/M193,"")</f>
        <v/>
      </c>
      <c r="O193" s="15" t="n"/>
      <c r="P193" s="15" t="n"/>
      <c r="Q193" s="16">
        <f>IF(A193="","",N(O193)+N(P193))</f>
        <v/>
      </c>
      <c r="R193" s="16">
        <f>IF(A193="","",F193-Q193)</f>
        <v/>
      </c>
      <c r="S193" s="46">
        <f>IFERROR(R193/F193,"")</f>
        <v/>
      </c>
      <c r="T193" s="45" t="n"/>
      <c r="U193" s="45" t="n"/>
      <c r="V193" s="45" t="n"/>
      <c r="W193" s="45" t="n"/>
      <c r="X193" s="45" t="n"/>
      <c r="Y193" s="13" t="n"/>
    </row>
    <row r="194" ht="15" customHeight="1">
      <c r="A194" s="13" t="n"/>
      <c r="B194" s="14">
        <f>IF(A194="","",IF(COUNTIF(lst_Jobs,A194&amp;"")&gt;0,"OK","CHECK"))</f>
        <v/>
      </c>
      <c r="C194" s="14">
        <f>IF(A194="","",IFERROR(INDEX(lst_JobName,MATCH(A194&amp;"",lst_Jobs,0)),""))</f>
        <v/>
      </c>
      <c r="D194" s="14">
        <f>IF(A194="","",IFERROR(INDEX(tbl_Finance[Client],MATCH(A194&amp;"",tbl_Finance[Job Number],0)),""))</f>
        <v/>
      </c>
      <c r="E194" s="44">
        <f>IF(A194="","",COUNTIFS(tbl_Finance[Job Number],A194&amp;"",tbl_Finance[Ex GST],"&lt;&gt;"))</f>
        <v/>
      </c>
      <c r="F194" s="16">
        <f>IF(A194="","",SUMIFS(tbl_Finance[Ex GST],tbl_Finance[Job Number],A194&amp;""))</f>
        <v/>
      </c>
      <c r="G194" s="14">
        <f>IF(A194="","",IFERROR(INDEX(tbl_Finance[Cost Centre],MATCH(A194&amp;"",tbl_Finance[Job Number],0)),"not invoiced yet"))</f>
        <v/>
      </c>
      <c r="H194" s="11" t="n"/>
      <c r="I194" s="13" t="n"/>
      <c r="J194" s="13" t="n"/>
      <c r="K194" s="13" t="n"/>
      <c r="L194" s="15" t="n"/>
      <c r="M194" s="16">
        <f>IF(A194="","",F194+N(L194))</f>
        <v/>
      </c>
      <c r="N194" s="46">
        <f>IFERROR(L194/M194,"")</f>
        <v/>
      </c>
      <c r="O194" s="15" t="n"/>
      <c r="P194" s="15" t="n"/>
      <c r="Q194" s="16">
        <f>IF(A194="","",N(O194)+N(P194))</f>
        <v/>
      </c>
      <c r="R194" s="16">
        <f>IF(A194="","",F194-Q194)</f>
        <v/>
      </c>
      <c r="S194" s="46">
        <f>IFERROR(R194/F194,"")</f>
        <v/>
      </c>
      <c r="T194" s="45" t="n"/>
      <c r="U194" s="45" t="n"/>
      <c r="V194" s="45" t="n"/>
      <c r="W194" s="45" t="n"/>
      <c r="X194" s="45" t="n"/>
      <c r="Y194" s="13" t="n"/>
    </row>
    <row r="195" ht="15" customHeight="1">
      <c r="A195" s="13" t="n"/>
      <c r="B195" s="14">
        <f>IF(A195="","",IF(COUNTIF(lst_Jobs,A195&amp;"")&gt;0,"OK","CHECK"))</f>
        <v/>
      </c>
      <c r="C195" s="14">
        <f>IF(A195="","",IFERROR(INDEX(lst_JobName,MATCH(A195&amp;"",lst_Jobs,0)),""))</f>
        <v/>
      </c>
      <c r="D195" s="14">
        <f>IF(A195="","",IFERROR(INDEX(tbl_Finance[Client],MATCH(A195&amp;"",tbl_Finance[Job Number],0)),""))</f>
        <v/>
      </c>
      <c r="E195" s="44">
        <f>IF(A195="","",COUNTIFS(tbl_Finance[Job Number],A195&amp;"",tbl_Finance[Ex GST],"&lt;&gt;"))</f>
        <v/>
      </c>
      <c r="F195" s="16">
        <f>IF(A195="","",SUMIFS(tbl_Finance[Ex GST],tbl_Finance[Job Number],A195&amp;""))</f>
        <v/>
      </c>
      <c r="G195" s="14">
        <f>IF(A195="","",IFERROR(INDEX(tbl_Finance[Cost Centre],MATCH(A195&amp;"",tbl_Finance[Job Number],0)),"not invoiced yet"))</f>
        <v/>
      </c>
      <c r="H195" s="11" t="n"/>
      <c r="I195" s="13" t="n"/>
      <c r="J195" s="13" t="n"/>
      <c r="K195" s="13" t="n"/>
      <c r="L195" s="15" t="n"/>
      <c r="M195" s="16">
        <f>IF(A195="","",F195+N(L195))</f>
        <v/>
      </c>
      <c r="N195" s="46">
        <f>IFERROR(L195/M195,"")</f>
        <v/>
      </c>
      <c r="O195" s="15" t="n"/>
      <c r="P195" s="15" t="n"/>
      <c r="Q195" s="16">
        <f>IF(A195="","",N(O195)+N(P195))</f>
        <v/>
      </c>
      <c r="R195" s="16">
        <f>IF(A195="","",F195-Q195)</f>
        <v/>
      </c>
      <c r="S195" s="46">
        <f>IFERROR(R195/F195,"")</f>
        <v/>
      </c>
      <c r="T195" s="45" t="n"/>
      <c r="U195" s="45" t="n"/>
      <c r="V195" s="45" t="n"/>
      <c r="W195" s="45" t="n"/>
      <c r="X195" s="45" t="n"/>
      <c r="Y195" s="13" t="n"/>
    </row>
    <row r="196" ht="15" customHeight="1">
      <c r="A196" s="13" t="n"/>
      <c r="B196" s="14">
        <f>IF(A196="","",IF(COUNTIF(lst_Jobs,A196&amp;"")&gt;0,"OK","CHECK"))</f>
        <v/>
      </c>
      <c r="C196" s="14">
        <f>IF(A196="","",IFERROR(INDEX(lst_JobName,MATCH(A196&amp;"",lst_Jobs,0)),""))</f>
        <v/>
      </c>
      <c r="D196" s="14">
        <f>IF(A196="","",IFERROR(INDEX(tbl_Finance[Client],MATCH(A196&amp;"",tbl_Finance[Job Number],0)),""))</f>
        <v/>
      </c>
      <c r="E196" s="44">
        <f>IF(A196="","",COUNTIFS(tbl_Finance[Job Number],A196&amp;"",tbl_Finance[Ex GST],"&lt;&gt;"))</f>
        <v/>
      </c>
      <c r="F196" s="16">
        <f>IF(A196="","",SUMIFS(tbl_Finance[Ex GST],tbl_Finance[Job Number],A196&amp;""))</f>
        <v/>
      </c>
      <c r="G196" s="14">
        <f>IF(A196="","",IFERROR(INDEX(tbl_Finance[Cost Centre],MATCH(A196&amp;"",tbl_Finance[Job Number],0)),"not invoiced yet"))</f>
        <v/>
      </c>
      <c r="H196" s="11" t="n"/>
      <c r="I196" s="13" t="n"/>
      <c r="J196" s="13" t="n"/>
      <c r="K196" s="13" t="n"/>
      <c r="L196" s="15" t="n"/>
      <c r="M196" s="16">
        <f>IF(A196="","",F196+N(L196))</f>
        <v/>
      </c>
      <c r="N196" s="46">
        <f>IFERROR(L196/M196,"")</f>
        <v/>
      </c>
      <c r="O196" s="15" t="n"/>
      <c r="P196" s="15" t="n"/>
      <c r="Q196" s="16">
        <f>IF(A196="","",N(O196)+N(P196))</f>
        <v/>
      </c>
      <c r="R196" s="16">
        <f>IF(A196="","",F196-Q196)</f>
        <v/>
      </c>
      <c r="S196" s="46">
        <f>IFERROR(R196/F196,"")</f>
        <v/>
      </c>
      <c r="T196" s="45" t="n"/>
      <c r="U196" s="45" t="n"/>
      <c r="V196" s="45" t="n"/>
      <c r="W196" s="45" t="n"/>
      <c r="X196" s="45" t="n"/>
      <c r="Y196" s="13" t="n"/>
    </row>
    <row r="197" ht="15" customHeight="1">
      <c r="A197" s="13" t="n"/>
      <c r="B197" s="14">
        <f>IF(A197="","",IF(COUNTIF(lst_Jobs,A197&amp;"")&gt;0,"OK","CHECK"))</f>
        <v/>
      </c>
      <c r="C197" s="14">
        <f>IF(A197="","",IFERROR(INDEX(lst_JobName,MATCH(A197&amp;"",lst_Jobs,0)),""))</f>
        <v/>
      </c>
      <c r="D197" s="14">
        <f>IF(A197="","",IFERROR(INDEX(tbl_Finance[Client],MATCH(A197&amp;"",tbl_Finance[Job Number],0)),""))</f>
        <v/>
      </c>
      <c r="E197" s="44">
        <f>IF(A197="","",COUNTIFS(tbl_Finance[Job Number],A197&amp;"",tbl_Finance[Ex GST],"&lt;&gt;"))</f>
        <v/>
      </c>
      <c r="F197" s="16">
        <f>IF(A197="","",SUMIFS(tbl_Finance[Ex GST],tbl_Finance[Job Number],A197&amp;""))</f>
        <v/>
      </c>
      <c r="G197" s="14">
        <f>IF(A197="","",IFERROR(INDEX(tbl_Finance[Cost Centre],MATCH(A197&amp;"",tbl_Finance[Job Number],0)),"not invoiced yet"))</f>
        <v/>
      </c>
      <c r="H197" s="11" t="n"/>
      <c r="I197" s="13" t="n"/>
      <c r="J197" s="13" t="n"/>
      <c r="K197" s="13" t="n"/>
      <c r="L197" s="15" t="n"/>
      <c r="M197" s="16">
        <f>IF(A197="","",F197+N(L197))</f>
        <v/>
      </c>
      <c r="N197" s="46">
        <f>IFERROR(L197/M197,"")</f>
        <v/>
      </c>
      <c r="O197" s="15" t="n"/>
      <c r="P197" s="15" t="n"/>
      <c r="Q197" s="16">
        <f>IF(A197="","",N(O197)+N(P197))</f>
        <v/>
      </c>
      <c r="R197" s="16">
        <f>IF(A197="","",F197-Q197)</f>
        <v/>
      </c>
      <c r="S197" s="46">
        <f>IFERROR(R197/F197,"")</f>
        <v/>
      </c>
      <c r="T197" s="45" t="n"/>
      <c r="U197" s="45" t="n"/>
      <c r="V197" s="45" t="n"/>
      <c r="W197" s="45" t="n"/>
      <c r="X197" s="45" t="n"/>
      <c r="Y197" s="13" t="n"/>
    </row>
    <row r="198" ht="15" customHeight="1">
      <c r="A198" s="13" t="n"/>
      <c r="B198" s="14">
        <f>IF(A198="","",IF(COUNTIF(lst_Jobs,A198&amp;"")&gt;0,"OK","CHECK"))</f>
        <v/>
      </c>
      <c r="C198" s="14">
        <f>IF(A198="","",IFERROR(INDEX(lst_JobName,MATCH(A198&amp;"",lst_Jobs,0)),""))</f>
        <v/>
      </c>
      <c r="D198" s="14">
        <f>IF(A198="","",IFERROR(INDEX(tbl_Finance[Client],MATCH(A198&amp;"",tbl_Finance[Job Number],0)),""))</f>
        <v/>
      </c>
      <c r="E198" s="44">
        <f>IF(A198="","",COUNTIFS(tbl_Finance[Job Number],A198&amp;"",tbl_Finance[Ex GST],"&lt;&gt;"))</f>
        <v/>
      </c>
      <c r="F198" s="16">
        <f>IF(A198="","",SUMIFS(tbl_Finance[Ex GST],tbl_Finance[Job Number],A198&amp;""))</f>
        <v/>
      </c>
      <c r="G198" s="14">
        <f>IF(A198="","",IFERROR(INDEX(tbl_Finance[Cost Centre],MATCH(A198&amp;"",tbl_Finance[Job Number],0)),"not invoiced yet"))</f>
        <v/>
      </c>
      <c r="H198" s="11" t="n"/>
      <c r="I198" s="13" t="n"/>
      <c r="J198" s="13" t="n"/>
      <c r="K198" s="13" t="n"/>
      <c r="L198" s="15" t="n"/>
      <c r="M198" s="16">
        <f>IF(A198="","",F198+N(L198))</f>
        <v/>
      </c>
      <c r="N198" s="46">
        <f>IFERROR(L198/M198,"")</f>
        <v/>
      </c>
      <c r="O198" s="15" t="n"/>
      <c r="P198" s="15" t="n"/>
      <c r="Q198" s="16">
        <f>IF(A198="","",N(O198)+N(P198))</f>
        <v/>
      </c>
      <c r="R198" s="16">
        <f>IF(A198="","",F198-Q198)</f>
        <v/>
      </c>
      <c r="S198" s="46">
        <f>IFERROR(R198/F198,"")</f>
        <v/>
      </c>
      <c r="T198" s="45" t="n"/>
      <c r="U198" s="45" t="n"/>
      <c r="V198" s="45" t="n"/>
      <c r="W198" s="45" t="n"/>
      <c r="X198" s="45" t="n"/>
      <c r="Y198" s="13" t="n"/>
    </row>
    <row r="199" ht="15" customHeight="1">
      <c r="A199" s="13" t="n"/>
      <c r="B199" s="14">
        <f>IF(A199="","",IF(COUNTIF(lst_Jobs,A199&amp;"")&gt;0,"OK","CHECK"))</f>
        <v/>
      </c>
      <c r="C199" s="14">
        <f>IF(A199="","",IFERROR(INDEX(lst_JobName,MATCH(A199&amp;"",lst_Jobs,0)),""))</f>
        <v/>
      </c>
      <c r="D199" s="14">
        <f>IF(A199="","",IFERROR(INDEX(tbl_Finance[Client],MATCH(A199&amp;"",tbl_Finance[Job Number],0)),""))</f>
        <v/>
      </c>
      <c r="E199" s="44">
        <f>IF(A199="","",COUNTIFS(tbl_Finance[Job Number],A199&amp;"",tbl_Finance[Ex GST],"&lt;&gt;"))</f>
        <v/>
      </c>
      <c r="F199" s="16">
        <f>IF(A199="","",SUMIFS(tbl_Finance[Ex GST],tbl_Finance[Job Number],A199&amp;""))</f>
        <v/>
      </c>
      <c r="G199" s="14">
        <f>IF(A199="","",IFERROR(INDEX(tbl_Finance[Cost Centre],MATCH(A199&amp;"",tbl_Finance[Job Number],0)),"not invoiced yet"))</f>
        <v/>
      </c>
      <c r="H199" s="11" t="n"/>
      <c r="I199" s="13" t="n"/>
      <c r="J199" s="13" t="n"/>
      <c r="K199" s="13" t="n"/>
      <c r="L199" s="15" t="n"/>
      <c r="M199" s="16">
        <f>IF(A199="","",F199+N(L199))</f>
        <v/>
      </c>
      <c r="N199" s="46">
        <f>IFERROR(L199/M199,"")</f>
        <v/>
      </c>
      <c r="O199" s="15" t="n"/>
      <c r="P199" s="15" t="n"/>
      <c r="Q199" s="16">
        <f>IF(A199="","",N(O199)+N(P199))</f>
        <v/>
      </c>
      <c r="R199" s="16">
        <f>IF(A199="","",F199-Q199)</f>
        <v/>
      </c>
      <c r="S199" s="46">
        <f>IFERROR(R199/F199,"")</f>
        <v/>
      </c>
      <c r="T199" s="45" t="n"/>
      <c r="U199" s="45" t="n"/>
      <c r="V199" s="45" t="n"/>
      <c r="W199" s="45" t="n"/>
      <c r="X199" s="45" t="n"/>
      <c r="Y199" s="13" t="n"/>
    </row>
    <row r="200" ht="15" customHeight="1">
      <c r="A200" s="13" t="n"/>
      <c r="B200" s="14">
        <f>IF(A200="","",IF(COUNTIF(lst_Jobs,A200&amp;"")&gt;0,"OK","CHECK"))</f>
        <v/>
      </c>
      <c r="C200" s="14">
        <f>IF(A200="","",IFERROR(INDEX(lst_JobName,MATCH(A200&amp;"",lst_Jobs,0)),""))</f>
        <v/>
      </c>
      <c r="D200" s="14">
        <f>IF(A200="","",IFERROR(INDEX(tbl_Finance[Client],MATCH(A200&amp;"",tbl_Finance[Job Number],0)),""))</f>
        <v/>
      </c>
      <c r="E200" s="44">
        <f>IF(A200="","",COUNTIFS(tbl_Finance[Job Number],A200&amp;"",tbl_Finance[Ex GST],"&lt;&gt;"))</f>
        <v/>
      </c>
      <c r="F200" s="16">
        <f>IF(A200="","",SUMIFS(tbl_Finance[Ex GST],tbl_Finance[Job Number],A200&amp;""))</f>
        <v/>
      </c>
      <c r="G200" s="14">
        <f>IF(A200="","",IFERROR(INDEX(tbl_Finance[Cost Centre],MATCH(A200&amp;"",tbl_Finance[Job Number],0)),"not invoiced yet"))</f>
        <v/>
      </c>
      <c r="H200" s="11" t="n"/>
      <c r="I200" s="13" t="n"/>
      <c r="J200" s="13" t="n"/>
      <c r="K200" s="13" t="n"/>
      <c r="L200" s="15" t="n"/>
      <c r="M200" s="16">
        <f>IF(A200="","",F200+N(L200))</f>
        <v/>
      </c>
      <c r="N200" s="46">
        <f>IFERROR(L200/M200,"")</f>
        <v/>
      </c>
      <c r="O200" s="15" t="n"/>
      <c r="P200" s="15" t="n"/>
      <c r="Q200" s="16">
        <f>IF(A200="","",N(O200)+N(P200))</f>
        <v/>
      </c>
      <c r="R200" s="16">
        <f>IF(A200="","",F200-Q200)</f>
        <v/>
      </c>
      <c r="S200" s="46">
        <f>IFERROR(R200/F200,"")</f>
        <v/>
      </c>
      <c r="T200" s="45" t="n"/>
      <c r="U200" s="45" t="n"/>
      <c r="V200" s="45" t="n"/>
      <c r="W200" s="45" t="n"/>
      <c r="X200" s="45" t="n"/>
      <c r="Y200" s="13" t="n"/>
    </row>
    <row r="201" ht="15" customHeight="1">
      <c r="A201" s="13" t="n"/>
      <c r="B201" s="14">
        <f>IF(A201="","",IF(COUNTIF(lst_Jobs,A201&amp;"")&gt;0,"OK","CHECK"))</f>
        <v/>
      </c>
      <c r="C201" s="14">
        <f>IF(A201="","",IFERROR(INDEX(lst_JobName,MATCH(A201&amp;"",lst_Jobs,0)),""))</f>
        <v/>
      </c>
      <c r="D201" s="14">
        <f>IF(A201="","",IFERROR(INDEX(tbl_Finance[Client],MATCH(A201&amp;"",tbl_Finance[Job Number],0)),""))</f>
        <v/>
      </c>
      <c r="E201" s="44">
        <f>IF(A201="","",COUNTIFS(tbl_Finance[Job Number],A201&amp;"",tbl_Finance[Ex GST],"&lt;&gt;"))</f>
        <v/>
      </c>
      <c r="F201" s="16">
        <f>IF(A201="","",SUMIFS(tbl_Finance[Ex GST],tbl_Finance[Job Number],A201&amp;""))</f>
        <v/>
      </c>
      <c r="G201" s="14">
        <f>IF(A201="","",IFERROR(INDEX(tbl_Finance[Cost Centre],MATCH(A201&amp;"",tbl_Finance[Job Number],0)),"not invoiced yet"))</f>
        <v/>
      </c>
      <c r="H201" s="11" t="n"/>
      <c r="I201" s="13" t="n"/>
      <c r="J201" s="13" t="n"/>
      <c r="K201" s="13" t="n"/>
      <c r="L201" s="15" t="n"/>
      <c r="M201" s="16">
        <f>IF(A201="","",F201+N(L201))</f>
        <v/>
      </c>
      <c r="N201" s="46">
        <f>IFERROR(L201/M201,"")</f>
        <v/>
      </c>
      <c r="O201" s="15" t="n"/>
      <c r="P201" s="15" t="n"/>
      <c r="Q201" s="16">
        <f>IF(A201="","",N(O201)+N(P201))</f>
        <v/>
      </c>
      <c r="R201" s="16">
        <f>IF(A201="","",F201-Q201)</f>
        <v/>
      </c>
      <c r="S201" s="46">
        <f>IFERROR(R201/F201,"")</f>
        <v/>
      </c>
      <c r="T201" s="45" t="n"/>
      <c r="U201" s="45" t="n"/>
      <c r="V201" s="45" t="n"/>
      <c r="W201" s="45" t="n"/>
      <c r="X201" s="45" t="n"/>
      <c r="Y201" s="13" t="n"/>
    </row>
    <row r="202" ht="15" customHeight="1">
      <c r="A202" s="13" t="n"/>
      <c r="B202" s="14">
        <f>IF(A202="","",IF(COUNTIF(lst_Jobs,A202&amp;"")&gt;0,"OK","CHECK"))</f>
        <v/>
      </c>
      <c r="C202" s="14">
        <f>IF(A202="","",IFERROR(INDEX(lst_JobName,MATCH(A202&amp;"",lst_Jobs,0)),""))</f>
        <v/>
      </c>
      <c r="D202" s="14">
        <f>IF(A202="","",IFERROR(INDEX(tbl_Finance[Client],MATCH(A202&amp;"",tbl_Finance[Job Number],0)),""))</f>
        <v/>
      </c>
      <c r="E202" s="44">
        <f>IF(A202="","",COUNTIFS(tbl_Finance[Job Number],A202&amp;"",tbl_Finance[Ex GST],"&lt;&gt;"))</f>
        <v/>
      </c>
      <c r="F202" s="16">
        <f>IF(A202="","",SUMIFS(tbl_Finance[Ex GST],tbl_Finance[Job Number],A202&amp;""))</f>
        <v/>
      </c>
      <c r="G202" s="14">
        <f>IF(A202="","",IFERROR(INDEX(tbl_Finance[Cost Centre],MATCH(A202&amp;"",tbl_Finance[Job Number],0)),"not invoiced yet"))</f>
        <v/>
      </c>
      <c r="H202" s="11" t="n"/>
      <c r="I202" s="13" t="n"/>
      <c r="J202" s="13" t="n"/>
      <c r="K202" s="13" t="n"/>
      <c r="L202" s="15" t="n"/>
      <c r="M202" s="16">
        <f>IF(A202="","",F202+N(L202))</f>
        <v/>
      </c>
      <c r="N202" s="46">
        <f>IFERROR(L202/M202,"")</f>
        <v/>
      </c>
      <c r="O202" s="15" t="n"/>
      <c r="P202" s="15" t="n"/>
      <c r="Q202" s="16">
        <f>IF(A202="","",N(O202)+N(P202))</f>
        <v/>
      </c>
      <c r="R202" s="16">
        <f>IF(A202="","",F202-Q202)</f>
        <v/>
      </c>
      <c r="S202" s="46">
        <f>IFERROR(R202/F202,"")</f>
        <v/>
      </c>
      <c r="T202" s="45" t="n"/>
      <c r="U202" s="45" t="n"/>
      <c r="V202" s="45" t="n"/>
      <c r="W202" s="45" t="n"/>
      <c r="X202" s="45" t="n"/>
      <c r="Y202" s="13" t="n"/>
    </row>
    <row r="203" ht="15" customHeight="1">
      <c r="A203" s="13" t="n"/>
      <c r="B203" s="14">
        <f>IF(A203="","",IF(COUNTIF(lst_Jobs,A203&amp;"")&gt;0,"OK","CHECK"))</f>
        <v/>
      </c>
      <c r="C203" s="14">
        <f>IF(A203="","",IFERROR(INDEX(lst_JobName,MATCH(A203&amp;"",lst_Jobs,0)),""))</f>
        <v/>
      </c>
      <c r="D203" s="14">
        <f>IF(A203="","",IFERROR(INDEX(tbl_Finance[Client],MATCH(A203&amp;"",tbl_Finance[Job Number],0)),""))</f>
        <v/>
      </c>
      <c r="E203" s="44">
        <f>IF(A203="","",COUNTIFS(tbl_Finance[Job Number],A203&amp;"",tbl_Finance[Ex GST],"&lt;&gt;"))</f>
        <v/>
      </c>
      <c r="F203" s="16">
        <f>IF(A203="","",SUMIFS(tbl_Finance[Ex GST],tbl_Finance[Job Number],A203&amp;""))</f>
        <v/>
      </c>
      <c r="G203" s="14">
        <f>IF(A203="","",IFERROR(INDEX(tbl_Finance[Cost Centre],MATCH(A203&amp;"",tbl_Finance[Job Number],0)),"not invoiced yet"))</f>
        <v/>
      </c>
      <c r="H203" s="11" t="n"/>
      <c r="I203" s="13" t="n"/>
      <c r="J203" s="13" t="n"/>
      <c r="K203" s="13" t="n"/>
      <c r="L203" s="15" t="n"/>
      <c r="M203" s="16">
        <f>IF(A203="","",F203+N(L203))</f>
        <v/>
      </c>
      <c r="N203" s="46">
        <f>IFERROR(L203/M203,"")</f>
        <v/>
      </c>
      <c r="O203" s="15" t="n"/>
      <c r="P203" s="15" t="n"/>
      <c r="Q203" s="16">
        <f>IF(A203="","",N(O203)+N(P203))</f>
        <v/>
      </c>
      <c r="R203" s="16">
        <f>IF(A203="","",F203-Q203)</f>
        <v/>
      </c>
      <c r="S203" s="46">
        <f>IFERROR(R203/F203,"")</f>
        <v/>
      </c>
      <c r="T203" s="45" t="n"/>
      <c r="U203" s="45" t="n"/>
      <c r="V203" s="45" t="n"/>
      <c r="W203" s="45" t="n"/>
      <c r="X203" s="45" t="n"/>
      <c r="Y203" s="13" t="n"/>
    </row>
    <row r="204" ht="15" customHeight="1">
      <c r="A204" s="13" t="n"/>
      <c r="B204" s="14">
        <f>IF(A204="","",IF(COUNTIF(lst_Jobs,A204&amp;"")&gt;0,"OK","CHECK"))</f>
        <v/>
      </c>
      <c r="C204" s="14">
        <f>IF(A204="","",IFERROR(INDEX(lst_JobName,MATCH(A204&amp;"",lst_Jobs,0)),""))</f>
        <v/>
      </c>
      <c r="D204" s="14">
        <f>IF(A204="","",IFERROR(INDEX(tbl_Finance[Client],MATCH(A204&amp;"",tbl_Finance[Job Number],0)),""))</f>
        <v/>
      </c>
      <c r="E204" s="44">
        <f>IF(A204="","",COUNTIFS(tbl_Finance[Job Number],A204&amp;"",tbl_Finance[Ex GST],"&lt;&gt;"))</f>
        <v/>
      </c>
      <c r="F204" s="16">
        <f>IF(A204="","",SUMIFS(tbl_Finance[Ex GST],tbl_Finance[Job Number],A204&amp;""))</f>
        <v/>
      </c>
      <c r="G204" s="14">
        <f>IF(A204="","",IFERROR(INDEX(tbl_Finance[Cost Centre],MATCH(A204&amp;"",tbl_Finance[Job Number],0)),"not invoiced yet"))</f>
        <v/>
      </c>
      <c r="H204" s="11" t="n"/>
      <c r="I204" s="13" t="n"/>
      <c r="J204" s="13" t="n"/>
      <c r="K204" s="13" t="n"/>
      <c r="L204" s="15" t="n"/>
      <c r="M204" s="16">
        <f>IF(A204="","",F204+N(L204))</f>
        <v/>
      </c>
      <c r="N204" s="46">
        <f>IFERROR(L204/M204,"")</f>
        <v/>
      </c>
      <c r="O204" s="15" t="n"/>
      <c r="P204" s="15" t="n"/>
      <c r="Q204" s="16">
        <f>IF(A204="","",N(O204)+N(P204))</f>
        <v/>
      </c>
      <c r="R204" s="16">
        <f>IF(A204="","",F204-Q204)</f>
        <v/>
      </c>
      <c r="S204" s="46">
        <f>IFERROR(R204/F204,"")</f>
        <v/>
      </c>
      <c r="T204" s="45" t="n"/>
      <c r="U204" s="45" t="n"/>
      <c r="V204" s="45" t="n"/>
      <c r="W204" s="45" t="n"/>
      <c r="X204" s="45" t="n"/>
      <c r="Y204" s="13" t="n"/>
    </row>
    <row r="205" ht="15" customHeight="1">
      <c r="A205" s="13" t="n"/>
      <c r="B205" s="14">
        <f>IF(A205="","",IF(COUNTIF(lst_Jobs,A205&amp;"")&gt;0,"OK","CHECK"))</f>
        <v/>
      </c>
      <c r="C205" s="14">
        <f>IF(A205="","",IFERROR(INDEX(lst_JobName,MATCH(A205&amp;"",lst_Jobs,0)),""))</f>
        <v/>
      </c>
      <c r="D205" s="14">
        <f>IF(A205="","",IFERROR(INDEX(tbl_Finance[Client],MATCH(A205&amp;"",tbl_Finance[Job Number],0)),""))</f>
        <v/>
      </c>
      <c r="E205" s="44">
        <f>IF(A205="","",COUNTIFS(tbl_Finance[Job Number],A205&amp;"",tbl_Finance[Ex GST],"&lt;&gt;"))</f>
        <v/>
      </c>
      <c r="F205" s="16">
        <f>IF(A205="","",SUMIFS(tbl_Finance[Ex GST],tbl_Finance[Job Number],A205&amp;""))</f>
        <v/>
      </c>
      <c r="G205" s="14">
        <f>IF(A205="","",IFERROR(INDEX(tbl_Finance[Cost Centre],MATCH(A205&amp;"",tbl_Finance[Job Number],0)),"not invoiced yet"))</f>
        <v/>
      </c>
      <c r="H205" s="11" t="n"/>
      <c r="I205" s="13" t="n"/>
      <c r="J205" s="13" t="n"/>
      <c r="K205" s="13" t="n"/>
      <c r="L205" s="15" t="n"/>
      <c r="M205" s="16">
        <f>IF(A205="","",F205+N(L205))</f>
        <v/>
      </c>
      <c r="N205" s="46">
        <f>IFERROR(L205/M205,"")</f>
        <v/>
      </c>
      <c r="O205" s="15" t="n"/>
      <c r="P205" s="15" t="n"/>
      <c r="Q205" s="16">
        <f>IF(A205="","",N(O205)+N(P205))</f>
        <v/>
      </c>
      <c r="R205" s="16">
        <f>IF(A205="","",F205-Q205)</f>
        <v/>
      </c>
      <c r="S205" s="46">
        <f>IFERROR(R205/F205,"")</f>
        <v/>
      </c>
      <c r="T205" s="45" t="n"/>
      <c r="U205" s="45" t="n"/>
      <c r="V205" s="45" t="n"/>
      <c r="W205" s="45" t="n"/>
      <c r="X205" s="45" t="n"/>
      <c r="Y205" s="13" t="n"/>
    </row>
    <row r="206" ht="15" customHeight="1">
      <c r="A206" s="13" t="n"/>
      <c r="B206" s="14">
        <f>IF(A206="","",IF(COUNTIF(lst_Jobs,A206&amp;"")&gt;0,"OK","CHECK"))</f>
        <v/>
      </c>
      <c r="C206" s="14">
        <f>IF(A206="","",IFERROR(INDEX(lst_JobName,MATCH(A206&amp;"",lst_Jobs,0)),""))</f>
        <v/>
      </c>
      <c r="D206" s="14">
        <f>IF(A206="","",IFERROR(INDEX(tbl_Finance[Client],MATCH(A206&amp;"",tbl_Finance[Job Number],0)),""))</f>
        <v/>
      </c>
      <c r="E206" s="44">
        <f>IF(A206="","",COUNTIFS(tbl_Finance[Job Number],A206&amp;"",tbl_Finance[Ex GST],"&lt;&gt;"))</f>
        <v/>
      </c>
      <c r="F206" s="16">
        <f>IF(A206="","",SUMIFS(tbl_Finance[Ex GST],tbl_Finance[Job Number],A206&amp;""))</f>
        <v/>
      </c>
      <c r="G206" s="14">
        <f>IF(A206="","",IFERROR(INDEX(tbl_Finance[Cost Centre],MATCH(A206&amp;"",tbl_Finance[Job Number],0)),"not invoiced yet"))</f>
        <v/>
      </c>
      <c r="H206" s="11" t="n"/>
      <c r="I206" s="13" t="n"/>
      <c r="J206" s="13" t="n"/>
      <c r="K206" s="13" t="n"/>
      <c r="L206" s="15" t="n"/>
      <c r="M206" s="16">
        <f>IF(A206="","",F206+N(L206))</f>
        <v/>
      </c>
      <c r="N206" s="46">
        <f>IFERROR(L206/M206,"")</f>
        <v/>
      </c>
      <c r="O206" s="15" t="n"/>
      <c r="P206" s="15" t="n"/>
      <c r="Q206" s="16">
        <f>IF(A206="","",N(O206)+N(P206))</f>
        <v/>
      </c>
      <c r="R206" s="16">
        <f>IF(A206="","",F206-Q206)</f>
        <v/>
      </c>
      <c r="S206" s="46">
        <f>IFERROR(R206/F206,"")</f>
        <v/>
      </c>
      <c r="T206" s="45" t="n"/>
      <c r="U206" s="45" t="n"/>
      <c r="V206" s="45" t="n"/>
      <c r="W206" s="45" t="n"/>
      <c r="X206" s="45" t="n"/>
      <c r="Y206" s="13" t="n"/>
    </row>
    <row r="207" ht="15" customHeight="1">
      <c r="A207" s="13" t="n"/>
      <c r="B207" s="14">
        <f>IF(A207="","",IF(COUNTIF(lst_Jobs,A207&amp;"")&gt;0,"OK","CHECK"))</f>
        <v/>
      </c>
      <c r="C207" s="14">
        <f>IF(A207="","",IFERROR(INDEX(lst_JobName,MATCH(A207&amp;"",lst_Jobs,0)),""))</f>
        <v/>
      </c>
      <c r="D207" s="14">
        <f>IF(A207="","",IFERROR(INDEX(tbl_Finance[Client],MATCH(A207&amp;"",tbl_Finance[Job Number],0)),""))</f>
        <v/>
      </c>
      <c r="E207" s="44">
        <f>IF(A207="","",COUNTIFS(tbl_Finance[Job Number],A207&amp;"",tbl_Finance[Ex GST],"&lt;&gt;"))</f>
        <v/>
      </c>
      <c r="F207" s="16">
        <f>IF(A207="","",SUMIFS(tbl_Finance[Ex GST],tbl_Finance[Job Number],A207&amp;""))</f>
        <v/>
      </c>
      <c r="G207" s="14">
        <f>IF(A207="","",IFERROR(INDEX(tbl_Finance[Cost Centre],MATCH(A207&amp;"",tbl_Finance[Job Number],0)),"not invoiced yet"))</f>
        <v/>
      </c>
      <c r="H207" s="11" t="n"/>
      <c r="I207" s="13" t="n"/>
      <c r="J207" s="13" t="n"/>
      <c r="K207" s="13" t="n"/>
      <c r="L207" s="15" t="n"/>
      <c r="M207" s="16">
        <f>IF(A207="","",F207+N(L207))</f>
        <v/>
      </c>
      <c r="N207" s="46">
        <f>IFERROR(L207/M207,"")</f>
        <v/>
      </c>
      <c r="O207" s="15" t="n"/>
      <c r="P207" s="15" t="n"/>
      <c r="Q207" s="16">
        <f>IF(A207="","",N(O207)+N(P207))</f>
        <v/>
      </c>
      <c r="R207" s="16">
        <f>IF(A207="","",F207-Q207)</f>
        <v/>
      </c>
      <c r="S207" s="46">
        <f>IFERROR(R207/F207,"")</f>
        <v/>
      </c>
      <c r="T207" s="45" t="n"/>
      <c r="U207" s="45" t="n"/>
      <c r="V207" s="45" t="n"/>
      <c r="W207" s="45" t="n"/>
      <c r="X207" s="45" t="n"/>
      <c r="Y207" s="13" t="n"/>
    </row>
    <row r="208" ht="15" customHeight="1">
      <c r="A208" s="13" t="n"/>
      <c r="B208" s="14">
        <f>IF(A208="","",IF(COUNTIF(lst_Jobs,A208&amp;"")&gt;0,"OK","CHECK"))</f>
        <v/>
      </c>
      <c r="C208" s="14">
        <f>IF(A208="","",IFERROR(INDEX(lst_JobName,MATCH(A208&amp;"",lst_Jobs,0)),""))</f>
        <v/>
      </c>
      <c r="D208" s="14">
        <f>IF(A208="","",IFERROR(INDEX(tbl_Finance[Client],MATCH(A208&amp;"",tbl_Finance[Job Number],0)),""))</f>
        <v/>
      </c>
      <c r="E208" s="44">
        <f>IF(A208="","",COUNTIFS(tbl_Finance[Job Number],A208&amp;"",tbl_Finance[Ex GST],"&lt;&gt;"))</f>
        <v/>
      </c>
      <c r="F208" s="16">
        <f>IF(A208="","",SUMIFS(tbl_Finance[Ex GST],tbl_Finance[Job Number],A208&amp;""))</f>
        <v/>
      </c>
      <c r="G208" s="14">
        <f>IF(A208="","",IFERROR(INDEX(tbl_Finance[Cost Centre],MATCH(A208&amp;"",tbl_Finance[Job Number],0)),"not invoiced yet"))</f>
        <v/>
      </c>
      <c r="H208" s="11" t="n"/>
      <c r="I208" s="13" t="n"/>
      <c r="J208" s="13" t="n"/>
      <c r="K208" s="13" t="n"/>
      <c r="L208" s="15" t="n"/>
      <c r="M208" s="16">
        <f>IF(A208="","",F208+N(L208))</f>
        <v/>
      </c>
      <c r="N208" s="46">
        <f>IFERROR(L208/M208,"")</f>
        <v/>
      </c>
      <c r="O208" s="15" t="n"/>
      <c r="P208" s="15" t="n"/>
      <c r="Q208" s="16">
        <f>IF(A208="","",N(O208)+N(P208))</f>
        <v/>
      </c>
      <c r="R208" s="16">
        <f>IF(A208="","",F208-Q208)</f>
        <v/>
      </c>
      <c r="S208" s="46">
        <f>IFERROR(R208/F208,"")</f>
        <v/>
      </c>
      <c r="T208" s="45" t="n"/>
      <c r="U208" s="45" t="n"/>
      <c r="V208" s="45" t="n"/>
      <c r="W208" s="45" t="n"/>
      <c r="X208" s="45" t="n"/>
      <c r="Y208" s="13" t="n"/>
    </row>
    <row r="209" ht="15" customHeight="1">
      <c r="A209" s="13" t="n"/>
      <c r="B209" s="14">
        <f>IF(A209="","",IF(COUNTIF(lst_Jobs,A209&amp;"")&gt;0,"OK","CHECK"))</f>
        <v/>
      </c>
      <c r="C209" s="14">
        <f>IF(A209="","",IFERROR(INDEX(lst_JobName,MATCH(A209&amp;"",lst_Jobs,0)),""))</f>
        <v/>
      </c>
      <c r="D209" s="14">
        <f>IF(A209="","",IFERROR(INDEX(tbl_Finance[Client],MATCH(A209&amp;"",tbl_Finance[Job Number],0)),""))</f>
        <v/>
      </c>
      <c r="E209" s="44">
        <f>IF(A209="","",COUNTIFS(tbl_Finance[Job Number],A209&amp;"",tbl_Finance[Ex GST],"&lt;&gt;"))</f>
        <v/>
      </c>
      <c r="F209" s="16">
        <f>IF(A209="","",SUMIFS(tbl_Finance[Ex GST],tbl_Finance[Job Number],A209&amp;""))</f>
        <v/>
      </c>
      <c r="G209" s="14">
        <f>IF(A209="","",IFERROR(INDEX(tbl_Finance[Cost Centre],MATCH(A209&amp;"",tbl_Finance[Job Number],0)),"not invoiced yet"))</f>
        <v/>
      </c>
      <c r="H209" s="11" t="n"/>
      <c r="I209" s="13" t="n"/>
      <c r="J209" s="13" t="n"/>
      <c r="K209" s="13" t="n"/>
      <c r="L209" s="15" t="n"/>
      <c r="M209" s="16">
        <f>IF(A209="","",F209+N(L209))</f>
        <v/>
      </c>
      <c r="N209" s="46">
        <f>IFERROR(L209/M209,"")</f>
        <v/>
      </c>
      <c r="O209" s="15" t="n"/>
      <c r="P209" s="15" t="n"/>
      <c r="Q209" s="16">
        <f>IF(A209="","",N(O209)+N(P209))</f>
        <v/>
      </c>
      <c r="R209" s="16">
        <f>IF(A209="","",F209-Q209)</f>
        <v/>
      </c>
      <c r="S209" s="46">
        <f>IFERROR(R209/F209,"")</f>
        <v/>
      </c>
      <c r="T209" s="45" t="n"/>
      <c r="U209" s="45" t="n"/>
      <c r="V209" s="45" t="n"/>
      <c r="W209" s="45" t="n"/>
      <c r="X209" s="45" t="n"/>
      <c r="Y209" s="13" t="n"/>
    </row>
    <row r="210" ht="15" customHeight="1">
      <c r="A210" s="13" t="n"/>
      <c r="B210" s="14">
        <f>IF(A210="","",IF(COUNTIF(lst_Jobs,A210&amp;"")&gt;0,"OK","CHECK"))</f>
        <v/>
      </c>
      <c r="C210" s="14">
        <f>IF(A210="","",IFERROR(INDEX(lst_JobName,MATCH(A210&amp;"",lst_Jobs,0)),""))</f>
        <v/>
      </c>
      <c r="D210" s="14">
        <f>IF(A210="","",IFERROR(INDEX(tbl_Finance[Client],MATCH(A210&amp;"",tbl_Finance[Job Number],0)),""))</f>
        <v/>
      </c>
      <c r="E210" s="44">
        <f>IF(A210="","",COUNTIFS(tbl_Finance[Job Number],A210&amp;"",tbl_Finance[Ex GST],"&lt;&gt;"))</f>
        <v/>
      </c>
      <c r="F210" s="16">
        <f>IF(A210="","",SUMIFS(tbl_Finance[Ex GST],tbl_Finance[Job Number],A210&amp;""))</f>
        <v/>
      </c>
      <c r="G210" s="14">
        <f>IF(A210="","",IFERROR(INDEX(tbl_Finance[Cost Centre],MATCH(A210&amp;"",tbl_Finance[Job Number],0)),"not invoiced yet"))</f>
        <v/>
      </c>
      <c r="H210" s="11" t="n"/>
      <c r="I210" s="13" t="n"/>
      <c r="J210" s="13" t="n"/>
      <c r="K210" s="13" t="n"/>
      <c r="L210" s="15" t="n"/>
      <c r="M210" s="16">
        <f>IF(A210="","",F210+N(L210))</f>
        <v/>
      </c>
      <c r="N210" s="46">
        <f>IFERROR(L210/M210,"")</f>
        <v/>
      </c>
      <c r="O210" s="15" t="n"/>
      <c r="P210" s="15" t="n"/>
      <c r="Q210" s="16">
        <f>IF(A210="","",N(O210)+N(P210))</f>
        <v/>
      </c>
      <c r="R210" s="16">
        <f>IF(A210="","",F210-Q210)</f>
        <v/>
      </c>
      <c r="S210" s="46">
        <f>IFERROR(R210/F210,"")</f>
        <v/>
      </c>
      <c r="T210" s="45" t="n"/>
      <c r="U210" s="45" t="n"/>
      <c r="V210" s="45" t="n"/>
      <c r="W210" s="45" t="n"/>
      <c r="X210" s="45" t="n"/>
      <c r="Y210" s="13" t="n"/>
    </row>
    <row r="211" ht="15" customHeight="1">
      <c r="A211" s="13" t="n"/>
      <c r="B211" s="14">
        <f>IF(A211="","",IF(COUNTIF(lst_Jobs,A211&amp;"")&gt;0,"OK","CHECK"))</f>
        <v/>
      </c>
      <c r="C211" s="14">
        <f>IF(A211="","",IFERROR(INDEX(lst_JobName,MATCH(A211&amp;"",lst_Jobs,0)),""))</f>
        <v/>
      </c>
      <c r="D211" s="14">
        <f>IF(A211="","",IFERROR(INDEX(tbl_Finance[Client],MATCH(A211&amp;"",tbl_Finance[Job Number],0)),""))</f>
        <v/>
      </c>
      <c r="E211" s="44">
        <f>IF(A211="","",COUNTIFS(tbl_Finance[Job Number],A211&amp;"",tbl_Finance[Ex GST],"&lt;&gt;"))</f>
        <v/>
      </c>
      <c r="F211" s="16">
        <f>IF(A211="","",SUMIFS(tbl_Finance[Ex GST],tbl_Finance[Job Number],A211&amp;""))</f>
        <v/>
      </c>
      <c r="G211" s="14">
        <f>IF(A211="","",IFERROR(INDEX(tbl_Finance[Cost Centre],MATCH(A211&amp;"",tbl_Finance[Job Number],0)),"not invoiced yet"))</f>
        <v/>
      </c>
      <c r="H211" s="11" t="n"/>
      <c r="I211" s="13" t="n"/>
      <c r="J211" s="13" t="n"/>
      <c r="K211" s="13" t="n"/>
      <c r="L211" s="15" t="n"/>
      <c r="M211" s="16">
        <f>IF(A211="","",F211+N(L211))</f>
        <v/>
      </c>
      <c r="N211" s="46">
        <f>IFERROR(L211/M211,"")</f>
        <v/>
      </c>
      <c r="O211" s="15" t="n"/>
      <c r="P211" s="15" t="n"/>
      <c r="Q211" s="16">
        <f>IF(A211="","",N(O211)+N(P211))</f>
        <v/>
      </c>
      <c r="R211" s="16">
        <f>IF(A211="","",F211-Q211)</f>
        <v/>
      </c>
      <c r="S211" s="46">
        <f>IFERROR(R211/F211,"")</f>
        <v/>
      </c>
      <c r="T211" s="45" t="n"/>
      <c r="U211" s="45" t="n"/>
      <c r="V211" s="45" t="n"/>
      <c r="W211" s="45" t="n"/>
      <c r="X211" s="45" t="n"/>
      <c r="Y211" s="13" t="n"/>
    </row>
    <row r="212" ht="15" customHeight="1">
      <c r="A212" s="13" t="n"/>
      <c r="B212" s="14">
        <f>IF(A212="","",IF(COUNTIF(lst_Jobs,A212&amp;"")&gt;0,"OK","CHECK"))</f>
        <v/>
      </c>
      <c r="C212" s="14">
        <f>IF(A212="","",IFERROR(INDEX(lst_JobName,MATCH(A212&amp;"",lst_Jobs,0)),""))</f>
        <v/>
      </c>
      <c r="D212" s="14">
        <f>IF(A212="","",IFERROR(INDEX(tbl_Finance[Client],MATCH(A212&amp;"",tbl_Finance[Job Number],0)),""))</f>
        <v/>
      </c>
      <c r="E212" s="44">
        <f>IF(A212="","",COUNTIFS(tbl_Finance[Job Number],A212&amp;"",tbl_Finance[Ex GST],"&lt;&gt;"))</f>
        <v/>
      </c>
      <c r="F212" s="16">
        <f>IF(A212="","",SUMIFS(tbl_Finance[Ex GST],tbl_Finance[Job Number],A212&amp;""))</f>
        <v/>
      </c>
      <c r="G212" s="14">
        <f>IF(A212="","",IFERROR(INDEX(tbl_Finance[Cost Centre],MATCH(A212&amp;"",tbl_Finance[Job Number],0)),"not invoiced yet"))</f>
        <v/>
      </c>
      <c r="H212" s="11" t="n"/>
      <c r="I212" s="13" t="n"/>
      <c r="J212" s="13" t="n"/>
      <c r="K212" s="13" t="n"/>
      <c r="L212" s="15" t="n"/>
      <c r="M212" s="16">
        <f>IF(A212="","",F212+N(L212))</f>
        <v/>
      </c>
      <c r="N212" s="46">
        <f>IFERROR(L212/M212,"")</f>
        <v/>
      </c>
      <c r="O212" s="15" t="n"/>
      <c r="P212" s="15" t="n"/>
      <c r="Q212" s="16">
        <f>IF(A212="","",N(O212)+N(P212))</f>
        <v/>
      </c>
      <c r="R212" s="16">
        <f>IF(A212="","",F212-Q212)</f>
        <v/>
      </c>
      <c r="S212" s="46">
        <f>IFERROR(R212/F212,"")</f>
        <v/>
      </c>
      <c r="T212" s="45" t="n"/>
      <c r="U212" s="45" t="n"/>
      <c r="V212" s="45" t="n"/>
      <c r="W212" s="45" t="n"/>
      <c r="X212" s="45" t="n"/>
      <c r="Y212" s="13" t="n"/>
    </row>
    <row r="213" ht="15" customHeight="1">
      <c r="A213" s="13" t="n"/>
      <c r="B213" s="14">
        <f>IF(A213="","",IF(COUNTIF(lst_Jobs,A213&amp;"")&gt;0,"OK","CHECK"))</f>
        <v/>
      </c>
      <c r="C213" s="14">
        <f>IF(A213="","",IFERROR(INDEX(lst_JobName,MATCH(A213&amp;"",lst_Jobs,0)),""))</f>
        <v/>
      </c>
      <c r="D213" s="14">
        <f>IF(A213="","",IFERROR(INDEX(tbl_Finance[Client],MATCH(A213&amp;"",tbl_Finance[Job Number],0)),""))</f>
        <v/>
      </c>
      <c r="E213" s="44">
        <f>IF(A213="","",COUNTIFS(tbl_Finance[Job Number],A213&amp;"",tbl_Finance[Ex GST],"&lt;&gt;"))</f>
        <v/>
      </c>
      <c r="F213" s="16">
        <f>IF(A213="","",SUMIFS(tbl_Finance[Ex GST],tbl_Finance[Job Number],A213&amp;""))</f>
        <v/>
      </c>
      <c r="G213" s="14">
        <f>IF(A213="","",IFERROR(INDEX(tbl_Finance[Cost Centre],MATCH(A213&amp;"",tbl_Finance[Job Number],0)),"not invoiced yet"))</f>
        <v/>
      </c>
      <c r="H213" s="11" t="n"/>
      <c r="I213" s="13" t="n"/>
      <c r="J213" s="13" t="n"/>
      <c r="K213" s="13" t="n"/>
      <c r="L213" s="15" t="n"/>
      <c r="M213" s="16">
        <f>IF(A213="","",F213+N(L213))</f>
        <v/>
      </c>
      <c r="N213" s="46">
        <f>IFERROR(L213/M213,"")</f>
        <v/>
      </c>
      <c r="O213" s="15" t="n"/>
      <c r="P213" s="15" t="n"/>
      <c r="Q213" s="16">
        <f>IF(A213="","",N(O213)+N(P213))</f>
        <v/>
      </c>
      <c r="R213" s="16">
        <f>IF(A213="","",F213-Q213)</f>
        <v/>
      </c>
      <c r="S213" s="46">
        <f>IFERROR(R213/F213,"")</f>
        <v/>
      </c>
      <c r="T213" s="45" t="n"/>
      <c r="U213" s="45" t="n"/>
      <c r="V213" s="45" t="n"/>
      <c r="W213" s="45" t="n"/>
      <c r="X213" s="45" t="n"/>
      <c r="Y213" s="13" t="n"/>
    </row>
    <row r="214" ht="15" customHeight="1">
      <c r="A214" s="13" t="n"/>
      <c r="B214" s="14">
        <f>IF(A214="","",IF(COUNTIF(lst_Jobs,A214&amp;"")&gt;0,"OK","CHECK"))</f>
        <v/>
      </c>
      <c r="C214" s="14">
        <f>IF(A214="","",IFERROR(INDEX(lst_JobName,MATCH(A214&amp;"",lst_Jobs,0)),""))</f>
        <v/>
      </c>
      <c r="D214" s="14">
        <f>IF(A214="","",IFERROR(INDEX(tbl_Finance[Client],MATCH(A214&amp;"",tbl_Finance[Job Number],0)),""))</f>
        <v/>
      </c>
      <c r="E214" s="44">
        <f>IF(A214="","",COUNTIFS(tbl_Finance[Job Number],A214&amp;"",tbl_Finance[Ex GST],"&lt;&gt;"))</f>
        <v/>
      </c>
      <c r="F214" s="16">
        <f>IF(A214="","",SUMIFS(tbl_Finance[Ex GST],tbl_Finance[Job Number],A214&amp;""))</f>
        <v/>
      </c>
      <c r="G214" s="14">
        <f>IF(A214="","",IFERROR(INDEX(tbl_Finance[Cost Centre],MATCH(A214&amp;"",tbl_Finance[Job Number],0)),"not invoiced yet"))</f>
        <v/>
      </c>
      <c r="H214" s="11" t="n"/>
      <c r="I214" s="13" t="n"/>
      <c r="J214" s="13" t="n"/>
      <c r="K214" s="13" t="n"/>
      <c r="L214" s="15" t="n"/>
      <c r="M214" s="16">
        <f>IF(A214="","",F214+N(L214))</f>
        <v/>
      </c>
      <c r="N214" s="46">
        <f>IFERROR(L214/M214,"")</f>
        <v/>
      </c>
      <c r="O214" s="15" t="n"/>
      <c r="P214" s="15" t="n"/>
      <c r="Q214" s="16">
        <f>IF(A214="","",N(O214)+N(P214))</f>
        <v/>
      </c>
      <c r="R214" s="16">
        <f>IF(A214="","",F214-Q214)</f>
        <v/>
      </c>
      <c r="S214" s="46">
        <f>IFERROR(R214/F214,"")</f>
        <v/>
      </c>
      <c r="T214" s="45" t="n"/>
      <c r="U214" s="45" t="n"/>
      <c r="V214" s="45" t="n"/>
      <c r="W214" s="45" t="n"/>
      <c r="X214" s="45" t="n"/>
      <c r="Y214" s="13" t="n"/>
    </row>
    <row r="215" ht="15" customHeight="1">
      <c r="A215" s="13" t="n"/>
      <c r="B215" s="14">
        <f>IF(A215="","",IF(COUNTIF(lst_Jobs,A215&amp;"")&gt;0,"OK","CHECK"))</f>
        <v/>
      </c>
      <c r="C215" s="14">
        <f>IF(A215="","",IFERROR(INDEX(lst_JobName,MATCH(A215&amp;"",lst_Jobs,0)),""))</f>
        <v/>
      </c>
      <c r="D215" s="14">
        <f>IF(A215="","",IFERROR(INDEX(tbl_Finance[Client],MATCH(A215&amp;"",tbl_Finance[Job Number],0)),""))</f>
        <v/>
      </c>
      <c r="E215" s="44">
        <f>IF(A215="","",COUNTIFS(tbl_Finance[Job Number],A215&amp;"",tbl_Finance[Ex GST],"&lt;&gt;"))</f>
        <v/>
      </c>
      <c r="F215" s="16">
        <f>IF(A215="","",SUMIFS(tbl_Finance[Ex GST],tbl_Finance[Job Number],A215&amp;""))</f>
        <v/>
      </c>
      <c r="G215" s="14">
        <f>IF(A215="","",IFERROR(INDEX(tbl_Finance[Cost Centre],MATCH(A215&amp;"",tbl_Finance[Job Number],0)),"not invoiced yet"))</f>
        <v/>
      </c>
      <c r="H215" s="11" t="n"/>
      <c r="I215" s="13" t="n"/>
      <c r="J215" s="13" t="n"/>
      <c r="K215" s="13" t="n"/>
      <c r="L215" s="15" t="n"/>
      <c r="M215" s="16">
        <f>IF(A215="","",F215+N(L215))</f>
        <v/>
      </c>
      <c r="N215" s="46">
        <f>IFERROR(L215/M215,"")</f>
        <v/>
      </c>
      <c r="O215" s="15" t="n"/>
      <c r="P215" s="15" t="n"/>
      <c r="Q215" s="16">
        <f>IF(A215="","",N(O215)+N(P215))</f>
        <v/>
      </c>
      <c r="R215" s="16">
        <f>IF(A215="","",F215-Q215)</f>
        <v/>
      </c>
      <c r="S215" s="46">
        <f>IFERROR(R215/F215,"")</f>
        <v/>
      </c>
      <c r="T215" s="45" t="n"/>
      <c r="U215" s="45" t="n"/>
      <c r="V215" s="45" t="n"/>
      <c r="W215" s="45" t="n"/>
      <c r="X215" s="45" t="n"/>
      <c r="Y215" s="13" t="n"/>
    </row>
    <row r="216" ht="15" customHeight="1">
      <c r="A216" s="13" t="n"/>
      <c r="B216" s="14">
        <f>IF(A216="","",IF(COUNTIF(lst_Jobs,A216&amp;"")&gt;0,"OK","CHECK"))</f>
        <v/>
      </c>
      <c r="C216" s="14">
        <f>IF(A216="","",IFERROR(INDEX(lst_JobName,MATCH(A216&amp;"",lst_Jobs,0)),""))</f>
        <v/>
      </c>
      <c r="D216" s="14">
        <f>IF(A216="","",IFERROR(INDEX(tbl_Finance[Client],MATCH(A216&amp;"",tbl_Finance[Job Number],0)),""))</f>
        <v/>
      </c>
      <c r="E216" s="44">
        <f>IF(A216="","",COUNTIFS(tbl_Finance[Job Number],A216&amp;"",tbl_Finance[Ex GST],"&lt;&gt;"))</f>
        <v/>
      </c>
      <c r="F216" s="16">
        <f>IF(A216="","",SUMIFS(tbl_Finance[Ex GST],tbl_Finance[Job Number],A216&amp;""))</f>
        <v/>
      </c>
      <c r="G216" s="14">
        <f>IF(A216="","",IFERROR(INDEX(tbl_Finance[Cost Centre],MATCH(A216&amp;"",tbl_Finance[Job Number],0)),"not invoiced yet"))</f>
        <v/>
      </c>
      <c r="H216" s="11" t="n"/>
      <c r="I216" s="13" t="n"/>
      <c r="J216" s="13" t="n"/>
      <c r="K216" s="13" t="n"/>
      <c r="L216" s="15" t="n"/>
      <c r="M216" s="16">
        <f>IF(A216="","",F216+N(L216))</f>
        <v/>
      </c>
      <c r="N216" s="46">
        <f>IFERROR(L216/M216,"")</f>
        <v/>
      </c>
      <c r="O216" s="15" t="n"/>
      <c r="P216" s="15" t="n"/>
      <c r="Q216" s="16">
        <f>IF(A216="","",N(O216)+N(P216))</f>
        <v/>
      </c>
      <c r="R216" s="16">
        <f>IF(A216="","",F216-Q216)</f>
        <v/>
      </c>
      <c r="S216" s="46">
        <f>IFERROR(R216/F216,"")</f>
        <v/>
      </c>
      <c r="T216" s="45" t="n"/>
      <c r="U216" s="45" t="n"/>
      <c r="V216" s="45" t="n"/>
      <c r="W216" s="45" t="n"/>
      <c r="X216" s="45" t="n"/>
      <c r="Y216" s="13" t="n"/>
    </row>
    <row r="217" ht="15" customHeight="1">
      <c r="A217" s="13" t="n"/>
      <c r="B217" s="14">
        <f>IF(A217="","",IF(COUNTIF(lst_Jobs,A217&amp;"")&gt;0,"OK","CHECK"))</f>
        <v/>
      </c>
      <c r="C217" s="14">
        <f>IF(A217="","",IFERROR(INDEX(lst_JobName,MATCH(A217&amp;"",lst_Jobs,0)),""))</f>
        <v/>
      </c>
      <c r="D217" s="14">
        <f>IF(A217="","",IFERROR(INDEX(tbl_Finance[Client],MATCH(A217&amp;"",tbl_Finance[Job Number],0)),""))</f>
        <v/>
      </c>
      <c r="E217" s="44">
        <f>IF(A217="","",COUNTIFS(tbl_Finance[Job Number],A217&amp;"",tbl_Finance[Ex GST],"&lt;&gt;"))</f>
        <v/>
      </c>
      <c r="F217" s="16">
        <f>IF(A217="","",SUMIFS(tbl_Finance[Ex GST],tbl_Finance[Job Number],A217&amp;""))</f>
        <v/>
      </c>
      <c r="G217" s="14">
        <f>IF(A217="","",IFERROR(INDEX(tbl_Finance[Cost Centre],MATCH(A217&amp;"",tbl_Finance[Job Number],0)),"not invoiced yet"))</f>
        <v/>
      </c>
      <c r="H217" s="11" t="n"/>
      <c r="I217" s="13" t="n"/>
      <c r="J217" s="13" t="n"/>
      <c r="K217" s="13" t="n"/>
      <c r="L217" s="15" t="n"/>
      <c r="M217" s="16">
        <f>IF(A217="","",F217+N(L217))</f>
        <v/>
      </c>
      <c r="N217" s="46">
        <f>IFERROR(L217/M217,"")</f>
        <v/>
      </c>
      <c r="O217" s="15" t="n"/>
      <c r="P217" s="15" t="n"/>
      <c r="Q217" s="16">
        <f>IF(A217="","",N(O217)+N(P217))</f>
        <v/>
      </c>
      <c r="R217" s="16">
        <f>IF(A217="","",F217-Q217)</f>
        <v/>
      </c>
      <c r="S217" s="46">
        <f>IFERROR(R217/F217,"")</f>
        <v/>
      </c>
      <c r="T217" s="45" t="n"/>
      <c r="U217" s="45" t="n"/>
      <c r="V217" s="45" t="n"/>
      <c r="W217" s="45" t="n"/>
      <c r="X217" s="45" t="n"/>
      <c r="Y217" s="13" t="n"/>
    </row>
    <row r="218" ht="15" customHeight="1">
      <c r="A218" s="13" t="n"/>
      <c r="B218" s="14">
        <f>IF(A218="","",IF(COUNTIF(lst_Jobs,A218&amp;"")&gt;0,"OK","CHECK"))</f>
        <v/>
      </c>
      <c r="C218" s="14">
        <f>IF(A218="","",IFERROR(INDEX(lst_JobName,MATCH(A218&amp;"",lst_Jobs,0)),""))</f>
        <v/>
      </c>
      <c r="D218" s="14">
        <f>IF(A218="","",IFERROR(INDEX(tbl_Finance[Client],MATCH(A218&amp;"",tbl_Finance[Job Number],0)),""))</f>
        <v/>
      </c>
      <c r="E218" s="44">
        <f>IF(A218="","",COUNTIFS(tbl_Finance[Job Number],A218&amp;"",tbl_Finance[Ex GST],"&lt;&gt;"))</f>
        <v/>
      </c>
      <c r="F218" s="16">
        <f>IF(A218="","",SUMIFS(tbl_Finance[Ex GST],tbl_Finance[Job Number],A218&amp;""))</f>
        <v/>
      </c>
      <c r="G218" s="14">
        <f>IF(A218="","",IFERROR(INDEX(tbl_Finance[Cost Centre],MATCH(A218&amp;"",tbl_Finance[Job Number],0)),"not invoiced yet"))</f>
        <v/>
      </c>
      <c r="H218" s="11" t="n"/>
      <c r="I218" s="13" t="n"/>
      <c r="J218" s="13" t="n"/>
      <c r="K218" s="13" t="n"/>
      <c r="L218" s="15" t="n"/>
      <c r="M218" s="16">
        <f>IF(A218="","",F218+N(L218))</f>
        <v/>
      </c>
      <c r="N218" s="46">
        <f>IFERROR(L218/M218,"")</f>
        <v/>
      </c>
      <c r="O218" s="15" t="n"/>
      <c r="P218" s="15" t="n"/>
      <c r="Q218" s="16">
        <f>IF(A218="","",N(O218)+N(P218))</f>
        <v/>
      </c>
      <c r="R218" s="16">
        <f>IF(A218="","",F218-Q218)</f>
        <v/>
      </c>
      <c r="S218" s="46">
        <f>IFERROR(R218/F218,"")</f>
        <v/>
      </c>
      <c r="T218" s="45" t="n"/>
      <c r="U218" s="45" t="n"/>
      <c r="V218" s="45" t="n"/>
      <c r="W218" s="45" t="n"/>
      <c r="X218" s="45" t="n"/>
      <c r="Y218" s="13" t="n"/>
    </row>
    <row r="219" ht="15" customHeight="1">
      <c r="A219" s="13" t="n"/>
      <c r="B219" s="14">
        <f>IF(A219="","",IF(COUNTIF(lst_Jobs,A219&amp;"")&gt;0,"OK","CHECK"))</f>
        <v/>
      </c>
      <c r="C219" s="14">
        <f>IF(A219="","",IFERROR(INDEX(lst_JobName,MATCH(A219&amp;"",lst_Jobs,0)),""))</f>
        <v/>
      </c>
      <c r="D219" s="14">
        <f>IF(A219="","",IFERROR(INDEX(tbl_Finance[Client],MATCH(A219&amp;"",tbl_Finance[Job Number],0)),""))</f>
        <v/>
      </c>
      <c r="E219" s="44">
        <f>IF(A219="","",COUNTIFS(tbl_Finance[Job Number],A219&amp;"",tbl_Finance[Ex GST],"&lt;&gt;"))</f>
        <v/>
      </c>
      <c r="F219" s="16">
        <f>IF(A219="","",SUMIFS(tbl_Finance[Ex GST],tbl_Finance[Job Number],A219&amp;""))</f>
        <v/>
      </c>
      <c r="G219" s="14">
        <f>IF(A219="","",IFERROR(INDEX(tbl_Finance[Cost Centre],MATCH(A219&amp;"",tbl_Finance[Job Number],0)),"not invoiced yet"))</f>
        <v/>
      </c>
      <c r="H219" s="11" t="n"/>
      <c r="I219" s="13" t="n"/>
      <c r="J219" s="13" t="n"/>
      <c r="K219" s="13" t="n"/>
      <c r="L219" s="15" t="n"/>
      <c r="M219" s="16">
        <f>IF(A219="","",F219+N(L219))</f>
        <v/>
      </c>
      <c r="N219" s="46">
        <f>IFERROR(L219/M219,"")</f>
        <v/>
      </c>
      <c r="O219" s="15" t="n"/>
      <c r="P219" s="15" t="n"/>
      <c r="Q219" s="16">
        <f>IF(A219="","",N(O219)+N(P219))</f>
        <v/>
      </c>
      <c r="R219" s="16">
        <f>IF(A219="","",F219-Q219)</f>
        <v/>
      </c>
      <c r="S219" s="46">
        <f>IFERROR(R219/F219,"")</f>
        <v/>
      </c>
      <c r="T219" s="45" t="n"/>
      <c r="U219" s="45" t="n"/>
      <c r="V219" s="45" t="n"/>
      <c r="W219" s="45" t="n"/>
      <c r="X219" s="45" t="n"/>
      <c r="Y219" s="13" t="n"/>
    </row>
    <row r="220" ht="15" customHeight="1">
      <c r="A220" s="13" t="n"/>
      <c r="B220" s="14">
        <f>IF(A220="","",IF(COUNTIF(lst_Jobs,A220&amp;"")&gt;0,"OK","CHECK"))</f>
        <v/>
      </c>
      <c r="C220" s="14">
        <f>IF(A220="","",IFERROR(INDEX(lst_JobName,MATCH(A220&amp;"",lst_Jobs,0)),""))</f>
        <v/>
      </c>
      <c r="D220" s="14">
        <f>IF(A220="","",IFERROR(INDEX(tbl_Finance[Client],MATCH(A220&amp;"",tbl_Finance[Job Number],0)),""))</f>
        <v/>
      </c>
      <c r="E220" s="44">
        <f>IF(A220="","",COUNTIFS(tbl_Finance[Job Number],A220&amp;"",tbl_Finance[Ex GST],"&lt;&gt;"))</f>
        <v/>
      </c>
      <c r="F220" s="16">
        <f>IF(A220="","",SUMIFS(tbl_Finance[Ex GST],tbl_Finance[Job Number],A220&amp;""))</f>
        <v/>
      </c>
      <c r="G220" s="14">
        <f>IF(A220="","",IFERROR(INDEX(tbl_Finance[Cost Centre],MATCH(A220&amp;"",tbl_Finance[Job Number],0)),"not invoiced yet"))</f>
        <v/>
      </c>
      <c r="H220" s="11" t="n"/>
      <c r="I220" s="13" t="n"/>
      <c r="J220" s="13" t="n"/>
      <c r="K220" s="13" t="n"/>
      <c r="L220" s="15" t="n"/>
      <c r="M220" s="16">
        <f>IF(A220="","",F220+N(L220))</f>
        <v/>
      </c>
      <c r="N220" s="46">
        <f>IFERROR(L220/M220,"")</f>
        <v/>
      </c>
      <c r="O220" s="15" t="n"/>
      <c r="P220" s="15" t="n"/>
      <c r="Q220" s="16">
        <f>IF(A220="","",N(O220)+N(P220))</f>
        <v/>
      </c>
      <c r="R220" s="16">
        <f>IF(A220="","",F220-Q220)</f>
        <v/>
      </c>
      <c r="S220" s="46">
        <f>IFERROR(R220/F220,"")</f>
        <v/>
      </c>
      <c r="T220" s="45" t="n"/>
      <c r="U220" s="45" t="n"/>
      <c r="V220" s="45" t="n"/>
      <c r="W220" s="45" t="n"/>
      <c r="X220" s="45" t="n"/>
      <c r="Y220" s="13" t="n"/>
    </row>
    <row r="221" ht="15" customHeight="1">
      <c r="A221" s="13" t="n"/>
      <c r="B221" s="14">
        <f>IF(A221="","",IF(COUNTIF(lst_Jobs,A221&amp;"")&gt;0,"OK","CHECK"))</f>
        <v/>
      </c>
      <c r="C221" s="14">
        <f>IF(A221="","",IFERROR(INDEX(lst_JobName,MATCH(A221&amp;"",lst_Jobs,0)),""))</f>
        <v/>
      </c>
      <c r="D221" s="14">
        <f>IF(A221="","",IFERROR(INDEX(tbl_Finance[Client],MATCH(A221&amp;"",tbl_Finance[Job Number],0)),""))</f>
        <v/>
      </c>
      <c r="E221" s="44">
        <f>IF(A221="","",COUNTIFS(tbl_Finance[Job Number],A221&amp;"",tbl_Finance[Ex GST],"&lt;&gt;"))</f>
        <v/>
      </c>
      <c r="F221" s="16">
        <f>IF(A221="","",SUMIFS(tbl_Finance[Ex GST],tbl_Finance[Job Number],A221&amp;""))</f>
        <v/>
      </c>
      <c r="G221" s="14">
        <f>IF(A221="","",IFERROR(INDEX(tbl_Finance[Cost Centre],MATCH(A221&amp;"",tbl_Finance[Job Number],0)),"not invoiced yet"))</f>
        <v/>
      </c>
      <c r="H221" s="11" t="n"/>
      <c r="I221" s="13" t="n"/>
      <c r="J221" s="13" t="n"/>
      <c r="K221" s="13" t="n"/>
      <c r="L221" s="15" t="n"/>
      <c r="M221" s="16">
        <f>IF(A221="","",F221+N(L221))</f>
        <v/>
      </c>
      <c r="N221" s="46">
        <f>IFERROR(L221/M221,"")</f>
        <v/>
      </c>
      <c r="O221" s="15" t="n"/>
      <c r="P221" s="15" t="n"/>
      <c r="Q221" s="16">
        <f>IF(A221="","",N(O221)+N(P221))</f>
        <v/>
      </c>
      <c r="R221" s="16">
        <f>IF(A221="","",F221-Q221)</f>
        <v/>
      </c>
      <c r="S221" s="46">
        <f>IFERROR(R221/F221,"")</f>
        <v/>
      </c>
      <c r="T221" s="45" t="n"/>
      <c r="U221" s="45" t="n"/>
      <c r="V221" s="45" t="n"/>
      <c r="W221" s="45" t="n"/>
      <c r="X221" s="45" t="n"/>
      <c r="Y221" s="13" t="n"/>
    </row>
    <row r="222" ht="15" customHeight="1">
      <c r="A222" s="13" t="n"/>
      <c r="B222" s="14">
        <f>IF(A222="","",IF(COUNTIF(lst_Jobs,A222&amp;"")&gt;0,"OK","CHECK"))</f>
        <v/>
      </c>
      <c r="C222" s="14">
        <f>IF(A222="","",IFERROR(INDEX(lst_JobName,MATCH(A222&amp;"",lst_Jobs,0)),""))</f>
        <v/>
      </c>
      <c r="D222" s="14">
        <f>IF(A222="","",IFERROR(INDEX(tbl_Finance[Client],MATCH(A222&amp;"",tbl_Finance[Job Number],0)),""))</f>
        <v/>
      </c>
      <c r="E222" s="44">
        <f>IF(A222="","",COUNTIFS(tbl_Finance[Job Number],A222&amp;"",tbl_Finance[Ex GST],"&lt;&gt;"))</f>
        <v/>
      </c>
      <c r="F222" s="16">
        <f>IF(A222="","",SUMIFS(tbl_Finance[Ex GST],tbl_Finance[Job Number],A222&amp;""))</f>
        <v/>
      </c>
      <c r="G222" s="14">
        <f>IF(A222="","",IFERROR(INDEX(tbl_Finance[Cost Centre],MATCH(A222&amp;"",tbl_Finance[Job Number],0)),"not invoiced yet"))</f>
        <v/>
      </c>
      <c r="H222" s="11" t="n"/>
      <c r="I222" s="13" t="n"/>
      <c r="J222" s="13" t="n"/>
      <c r="K222" s="13" t="n"/>
      <c r="L222" s="15" t="n"/>
      <c r="M222" s="16">
        <f>IF(A222="","",F222+N(L222))</f>
        <v/>
      </c>
      <c r="N222" s="46">
        <f>IFERROR(L222/M222,"")</f>
        <v/>
      </c>
      <c r="O222" s="15" t="n"/>
      <c r="P222" s="15" t="n"/>
      <c r="Q222" s="16">
        <f>IF(A222="","",N(O222)+N(P222))</f>
        <v/>
      </c>
      <c r="R222" s="16">
        <f>IF(A222="","",F222-Q222)</f>
        <v/>
      </c>
      <c r="S222" s="46">
        <f>IFERROR(R222/F222,"")</f>
        <v/>
      </c>
      <c r="T222" s="45" t="n"/>
      <c r="U222" s="45" t="n"/>
      <c r="V222" s="45" t="n"/>
      <c r="W222" s="45" t="n"/>
      <c r="X222" s="45" t="n"/>
      <c r="Y222" s="13" t="n"/>
    </row>
    <row r="223" ht="15" customHeight="1">
      <c r="A223" s="13" t="n"/>
      <c r="B223" s="14">
        <f>IF(A223="","",IF(COUNTIF(lst_Jobs,A223&amp;"")&gt;0,"OK","CHECK"))</f>
        <v/>
      </c>
      <c r="C223" s="14">
        <f>IF(A223="","",IFERROR(INDEX(lst_JobName,MATCH(A223&amp;"",lst_Jobs,0)),""))</f>
        <v/>
      </c>
      <c r="D223" s="14">
        <f>IF(A223="","",IFERROR(INDEX(tbl_Finance[Client],MATCH(A223&amp;"",tbl_Finance[Job Number],0)),""))</f>
        <v/>
      </c>
      <c r="E223" s="44">
        <f>IF(A223="","",COUNTIFS(tbl_Finance[Job Number],A223&amp;"",tbl_Finance[Ex GST],"&lt;&gt;"))</f>
        <v/>
      </c>
      <c r="F223" s="16">
        <f>IF(A223="","",SUMIFS(tbl_Finance[Ex GST],tbl_Finance[Job Number],A223&amp;""))</f>
        <v/>
      </c>
      <c r="G223" s="14">
        <f>IF(A223="","",IFERROR(INDEX(tbl_Finance[Cost Centre],MATCH(A223&amp;"",tbl_Finance[Job Number],0)),"not invoiced yet"))</f>
        <v/>
      </c>
      <c r="H223" s="11" t="n"/>
      <c r="I223" s="13" t="n"/>
      <c r="J223" s="13" t="n"/>
      <c r="K223" s="13" t="n"/>
      <c r="L223" s="15" t="n"/>
      <c r="M223" s="16">
        <f>IF(A223="","",F223+N(L223))</f>
        <v/>
      </c>
      <c r="N223" s="46">
        <f>IFERROR(L223/M223,"")</f>
        <v/>
      </c>
      <c r="O223" s="15" t="n"/>
      <c r="P223" s="15" t="n"/>
      <c r="Q223" s="16">
        <f>IF(A223="","",N(O223)+N(P223))</f>
        <v/>
      </c>
      <c r="R223" s="16">
        <f>IF(A223="","",F223-Q223)</f>
        <v/>
      </c>
      <c r="S223" s="46">
        <f>IFERROR(R223/F223,"")</f>
        <v/>
      </c>
      <c r="T223" s="45" t="n"/>
      <c r="U223" s="45" t="n"/>
      <c r="V223" s="45" t="n"/>
      <c r="W223" s="45" t="n"/>
      <c r="X223" s="45" t="n"/>
      <c r="Y223" s="13" t="n"/>
    </row>
    <row r="224" ht="15" customHeight="1">
      <c r="A224" s="13" t="n"/>
      <c r="B224" s="14">
        <f>IF(A224="","",IF(COUNTIF(lst_Jobs,A224&amp;"")&gt;0,"OK","CHECK"))</f>
        <v/>
      </c>
      <c r="C224" s="14">
        <f>IF(A224="","",IFERROR(INDEX(lst_JobName,MATCH(A224&amp;"",lst_Jobs,0)),""))</f>
        <v/>
      </c>
      <c r="D224" s="14">
        <f>IF(A224="","",IFERROR(INDEX(tbl_Finance[Client],MATCH(A224&amp;"",tbl_Finance[Job Number],0)),""))</f>
        <v/>
      </c>
      <c r="E224" s="44">
        <f>IF(A224="","",COUNTIFS(tbl_Finance[Job Number],A224&amp;"",tbl_Finance[Ex GST],"&lt;&gt;"))</f>
        <v/>
      </c>
      <c r="F224" s="16">
        <f>IF(A224="","",SUMIFS(tbl_Finance[Ex GST],tbl_Finance[Job Number],A224&amp;""))</f>
        <v/>
      </c>
      <c r="G224" s="14">
        <f>IF(A224="","",IFERROR(INDEX(tbl_Finance[Cost Centre],MATCH(A224&amp;"",tbl_Finance[Job Number],0)),"not invoiced yet"))</f>
        <v/>
      </c>
      <c r="H224" s="11" t="n"/>
      <c r="I224" s="13" t="n"/>
      <c r="J224" s="13" t="n"/>
      <c r="K224" s="13" t="n"/>
      <c r="L224" s="15" t="n"/>
      <c r="M224" s="16">
        <f>IF(A224="","",F224+N(L224))</f>
        <v/>
      </c>
      <c r="N224" s="46">
        <f>IFERROR(L224/M224,"")</f>
        <v/>
      </c>
      <c r="O224" s="15" t="n"/>
      <c r="P224" s="15" t="n"/>
      <c r="Q224" s="16">
        <f>IF(A224="","",N(O224)+N(P224))</f>
        <v/>
      </c>
      <c r="R224" s="16">
        <f>IF(A224="","",F224-Q224)</f>
        <v/>
      </c>
      <c r="S224" s="46">
        <f>IFERROR(R224/F224,"")</f>
        <v/>
      </c>
      <c r="T224" s="45" t="n"/>
      <c r="U224" s="45" t="n"/>
      <c r="V224" s="45" t="n"/>
      <c r="W224" s="45" t="n"/>
      <c r="X224" s="45" t="n"/>
      <c r="Y224" s="13" t="n"/>
    </row>
    <row r="225" ht="15" customHeight="1">
      <c r="A225" s="13" t="n"/>
      <c r="B225" s="14">
        <f>IF(A225="","",IF(COUNTIF(lst_Jobs,A225&amp;"")&gt;0,"OK","CHECK"))</f>
        <v/>
      </c>
      <c r="C225" s="14">
        <f>IF(A225="","",IFERROR(INDEX(lst_JobName,MATCH(A225&amp;"",lst_Jobs,0)),""))</f>
        <v/>
      </c>
      <c r="D225" s="14">
        <f>IF(A225="","",IFERROR(INDEX(tbl_Finance[Client],MATCH(A225&amp;"",tbl_Finance[Job Number],0)),""))</f>
        <v/>
      </c>
      <c r="E225" s="44">
        <f>IF(A225="","",COUNTIFS(tbl_Finance[Job Number],A225&amp;"",tbl_Finance[Ex GST],"&lt;&gt;"))</f>
        <v/>
      </c>
      <c r="F225" s="16">
        <f>IF(A225="","",SUMIFS(tbl_Finance[Ex GST],tbl_Finance[Job Number],A225&amp;""))</f>
        <v/>
      </c>
      <c r="G225" s="14">
        <f>IF(A225="","",IFERROR(INDEX(tbl_Finance[Cost Centre],MATCH(A225&amp;"",tbl_Finance[Job Number],0)),"not invoiced yet"))</f>
        <v/>
      </c>
      <c r="H225" s="11" t="n"/>
      <c r="I225" s="13" t="n"/>
      <c r="J225" s="13" t="n"/>
      <c r="K225" s="13" t="n"/>
      <c r="L225" s="15" t="n"/>
      <c r="M225" s="16">
        <f>IF(A225="","",F225+N(L225))</f>
        <v/>
      </c>
      <c r="N225" s="46">
        <f>IFERROR(L225/M225,"")</f>
        <v/>
      </c>
      <c r="O225" s="15" t="n"/>
      <c r="P225" s="15" t="n"/>
      <c r="Q225" s="16">
        <f>IF(A225="","",N(O225)+N(P225))</f>
        <v/>
      </c>
      <c r="R225" s="16">
        <f>IF(A225="","",F225-Q225)</f>
        <v/>
      </c>
      <c r="S225" s="46">
        <f>IFERROR(R225/F225,"")</f>
        <v/>
      </c>
      <c r="T225" s="45" t="n"/>
      <c r="U225" s="45" t="n"/>
      <c r="V225" s="45" t="n"/>
      <c r="W225" s="45" t="n"/>
      <c r="X225" s="45" t="n"/>
      <c r="Y225" s="13" t="n"/>
    </row>
    <row r="226" ht="15" customHeight="1">
      <c r="A226" s="13" t="n"/>
      <c r="B226" s="14">
        <f>IF(A226="","",IF(COUNTIF(lst_Jobs,A226&amp;"")&gt;0,"OK","CHECK"))</f>
        <v/>
      </c>
      <c r="C226" s="14">
        <f>IF(A226="","",IFERROR(INDEX(lst_JobName,MATCH(A226&amp;"",lst_Jobs,0)),""))</f>
        <v/>
      </c>
      <c r="D226" s="14">
        <f>IF(A226="","",IFERROR(INDEX(tbl_Finance[Client],MATCH(A226&amp;"",tbl_Finance[Job Number],0)),""))</f>
        <v/>
      </c>
      <c r="E226" s="44">
        <f>IF(A226="","",COUNTIFS(tbl_Finance[Job Number],A226&amp;"",tbl_Finance[Ex GST],"&lt;&gt;"))</f>
        <v/>
      </c>
      <c r="F226" s="16">
        <f>IF(A226="","",SUMIFS(tbl_Finance[Ex GST],tbl_Finance[Job Number],A226&amp;""))</f>
        <v/>
      </c>
      <c r="G226" s="14">
        <f>IF(A226="","",IFERROR(INDEX(tbl_Finance[Cost Centre],MATCH(A226&amp;"",tbl_Finance[Job Number],0)),"not invoiced yet"))</f>
        <v/>
      </c>
      <c r="H226" s="11" t="n"/>
      <c r="I226" s="13" t="n"/>
      <c r="J226" s="13" t="n"/>
      <c r="K226" s="13" t="n"/>
      <c r="L226" s="15" t="n"/>
      <c r="M226" s="16">
        <f>IF(A226="","",F226+N(L226))</f>
        <v/>
      </c>
      <c r="N226" s="46">
        <f>IFERROR(L226/M226,"")</f>
        <v/>
      </c>
      <c r="O226" s="15" t="n"/>
      <c r="P226" s="15" t="n"/>
      <c r="Q226" s="16">
        <f>IF(A226="","",N(O226)+N(P226))</f>
        <v/>
      </c>
      <c r="R226" s="16">
        <f>IF(A226="","",F226-Q226)</f>
        <v/>
      </c>
      <c r="S226" s="46">
        <f>IFERROR(R226/F226,"")</f>
        <v/>
      </c>
      <c r="T226" s="45" t="n"/>
      <c r="U226" s="45" t="n"/>
      <c r="V226" s="45" t="n"/>
      <c r="W226" s="45" t="n"/>
      <c r="X226" s="45" t="n"/>
      <c r="Y226" s="13" t="n"/>
    </row>
    <row r="227" ht="15" customHeight="1">
      <c r="A227" s="13" t="n"/>
      <c r="B227" s="14">
        <f>IF(A227="","",IF(COUNTIF(lst_Jobs,A227&amp;"")&gt;0,"OK","CHECK"))</f>
        <v/>
      </c>
      <c r="C227" s="14">
        <f>IF(A227="","",IFERROR(INDEX(lst_JobName,MATCH(A227&amp;"",lst_Jobs,0)),""))</f>
        <v/>
      </c>
      <c r="D227" s="14">
        <f>IF(A227="","",IFERROR(INDEX(tbl_Finance[Client],MATCH(A227&amp;"",tbl_Finance[Job Number],0)),""))</f>
        <v/>
      </c>
      <c r="E227" s="44">
        <f>IF(A227="","",COUNTIFS(tbl_Finance[Job Number],A227&amp;"",tbl_Finance[Ex GST],"&lt;&gt;"))</f>
        <v/>
      </c>
      <c r="F227" s="16">
        <f>IF(A227="","",SUMIFS(tbl_Finance[Ex GST],tbl_Finance[Job Number],A227&amp;""))</f>
        <v/>
      </c>
      <c r="G227" s="14">
        <f>IF(A227="","",IFERROR(INDEX(tbl_Finance[Cost Centre],MATCH(A227&amp;"",tbl_Finance[Job Number],0)),"not invoiced yet"))</f>
        <v/>
      </c>
      <c r="H227" s="11" t="n"/>
      <c r="I227" s="13" t="n"/>
      <c r="J227" s="13" t="n"/>
      <c r="K227" s="13" t="n"/>
      <c r="L227" s="15" t="n"/>
      <c r="M227" s="16">
        <f>IF(A227="","",F227+N(L227))</f>
        <v/>
      </c>
      <c r="N227" s="46">
        <f>IFERROR(L227/M227,"")</f>
        <v/>
      </c>
      <c r="O227" s="15" t="n"/>
      <c r="P227" s="15" t="n"/>
      <c r="Q227" s="16">
        <f>IF(A227="","",N(O227)+N(P227))</f>
        <v/>
      </c>
      <c r="R227" s="16">
        <f>IF(A227="","",F227-Q227)</f>
        <v/>
      </c>
      <c r="S227" s="46">
        <f>IFERROR(R227/F227,"")</f>
        <v/>
      </c>
      <c r="T227" s="45" t="n"/>
      <c r="U227" s="45" t="n"/>
      <c r="V227" s="45" t="n"/>
      <c r="W227" s="45" t="n"/>
      <c r="X227" s="45" t="n"/>
      <c r="Y227" s="13" t="n"/>
    </row>
    <row r="228" ht="15" customHeight="1">
      <c r="A228" s="13" t="n"/>
      <c r="B228" s="14">
        <f>IF(A228="","",IF(COUNTIF(lst_Jobs,A228&amp;"")&gt;0,"OK","CHECK"))</f>
        <v/>
      </c>
      <c r="C228" s="14">
        <f>IF(A228="","",IFERROR(INDEX(lst_JobName,MATCH(A228&amp;"",lst_Jobs,0)),""))</f>
        <v/>
      </c>
      <c r="D228" s="14">
        <f>IF(A228="","",IFERROR(INDEX(tbl_Finance[Client],MATCH(A228&amp;"",tbl_Finance[Job Number],0)),""))</f>
        <v/>
      </c>
      <c r="E228" s="44">
        <f>IF(A228="","",COUNTIFS(tbl_Finance[Job Number],A228&amp;"",tbl_Finance[Ex GST],"&lt;&gt;"))</f>
        <v/>
      </c>
      <c r="F228" s="16">
        <f>IF(A228="","",SUMIFS(tbl_Finance[Ex GST],tbl_Finance[Job Number],A228&amp;""))</f>
        <v/>
      </c>
      <c r="G228" s="14">
        <f>IF(A228="","",IFERROR(INDEX(tbl_Finance[Cost Centre],MATCH(A228&amp;"",tbl_Finance[Job Number],0)),"not invoiced yet"))</f>
        <v/>
      </c>
      <c r="H228" s="11" t="n"/>
      <c r="I228" s="13" t="n"/>
      <c r="J228" s="13" t="n"/>
      <c r="K228" s="13" t="n"/>
      <c r="L228" s="15" t="n"/>
      <c r="M228" s="16">
        <f>IF(A228="","",F228+N(L228))</f>
        <v/>
      </c>
      <c r="N228" s="46">
        <f>IFERROR(L228/M228,"")</f>
        <v/>
      </c>
      <c r="O228" s="15" t="n"/>
      <c r="P228" s="15" t="n"/>
      <c r="Q228" s="16">
        <f>IF(A228="","",N(O228)+N(P228))</f>
        <v/>
      </c>
      <c r="R228" s="16">
        <f>IF(A228="","",F228-Q228)</f>
        <v/>
      </c>
      <c r="S228" s="46">
        <f>IFERROR(R228/F228,"")</f>
        <v/>
      </c>
      <c r="T228" s="45" t="n"/>
      <c r="U228" s="45" t="n"/>
      <c r="V228" s="45" t="n"/>
      <c r="W228" s="45" t="n"/>
      <c r="X228" s="45" t="n"/>
      <c r="Y228" s="13" t="n"/>
    </row>
    <row r="229" ht="15" customHeight="1">
      <c r="A229" s="13" t="n"/>
      <c r="B229" s="14">
        <f>IF(A229="","",IF(COUNTIF(lst_Jobs,A229&amp;"")&gt;0,"OK","CHECK"))</f>
        <v/>
      </c>
      <c r="C229" s="14">
        <f>IF(A229="","",IFERROR(INDEX(lst_JobName,MATCH(A229&amp;"",lst_Jobs,0)),""))</f>
        <v/>
      </c>
      <c r="D229" s="14">
        <f>IF(A229="","",IFERROR(INDEX(tbl_Finance[Client],MATCH(A229&amp;"",tbl_Finance[Job Number],0)),""))</f>
        <v/>
      </c>
      <c r="E229" s="44">
        <f>IF(A229="","",COUNTIFS(tbl_Finance[Job Number],A229&amp;"",tbl_Finance[Ex GST],"&lt;&gt;"))</f>
        <v/>
      </c>
      <c r="F229" s="16">
        <f>IF(A229="","",SUMIFS(tbl_Finance[Ex GST],tbl_Finance[Job Number],A229&amp;""))</f>
        <v/>
      </c>
      <c r="G229" s="14">
        <f>IF(A229="","",IFERROR(INDEX(tbl_Finance[Cost Centre],MATCH(A229&amp;"",tbl_Finance[Job Number],0)),"not invoiced yet"))</f>
        <v/>
      </c>
      <c r="H229" s="11" t="n"/>
      <c r="I229" s="13" t="n"/>
      <c r="J229" s="13" t="n"/>
      <c r="K229" s="13" t="n"/>
      <c r="L229" s="15" t="n"/>
      <c r="M229" s="16">
        <f>IF(A229="","",F229+N(L229))</f>
        <v/>
      </c>
      <c r="N229" s="46">
        <f>IFERROR(L229/M229,"")</f>
        <v/>
      </c>
      <c r="O229" s="15" t="n"/>
      <c r="P229" s="15" t="n"/>
      <c r="Q229" s="16">
        <f>IF(A229="","",N(O229)+N(P229))</f>
        <v/>
      </c>
      <c r="R229" s="16">
        <f>IF(A229="","",F229-Q229)</f>
        <v/>
      </c>
      <c r="S229" s="46">
        <f>IFERROR(R229/F229,"")</f>
        <v/>
      </c>
      <c r="T229" s="45" t="n"/>
      <c r="U229" s="45" t="n"/>
      <c r="V229" s="45" t="n"/>
      <c r="W229" s="45" t="n"/>
      <c r="X229" s="45" t="n"/>
      <c r="Y229" s="13" t="n"/>
    </row>
    <row r="230" ht="15" customHeight="1">
      <c r="A230" s="13" t="n"/>
      <c r="B230" s="14">
        <f>IF(A230="","",IF(COUNTIF(lst_Jobs,A230&amp;"")&gt;0,"OK","CHECK"))</f>
        <v/>
      </c>
      <c r="C230" s="14">
        <f>IF(A230="","",IFERROR(INDEX(lst_JobName,MATCH(A230&amp;"",lst_Jobs,0)),""))</f>
        <v/>
      </c>
      <c r="D230" s="14">
        <f>IF(A230="","",IFERROR(INDEX(tbl_Finance[Client],MATCH(A230&amp;"",tbl_Finance[Job Number],0)),""))</f>
        <v/>
      </c>
      <c r="E230" s="44">
        <f>IF(A230="","",COUNTIFS(tbl_Finance[Job Number],A230&amp;"",tbl_Finance[Ex GST],"&lt;&gt;"))</f>
        <v/>
      </c>
      <c r="F230" s="16">
        <f>IF(A230="","",SUMIFS(tbl_Finance[Ex GST],tbl_Finance[Job Number],A230&amp;""))</f>
        <v/>
      </c>
      <c r="G230" s="14">
        <f>IF(A230="","",IFERROR(INDEX(tbl_Finance[Cost Centre],MATCH(A230&amp;"",tbl_Finance[Job Number],0)),"not invoiced yet"))</f>
        <v/>
      </c>
      <c r="H230" s="11" t="n"/>
      <c r="I230" s="13" t="n"/>
      <c r="J230" s="13" t="n"/>
      <c r="K230" s="13" t="n"/>
      <c r="L230" s="15" t="n"/>
      <c r="M230" s="16">
        <f>IF(A230="","",F230+N(L230))</f>
        <v/>
      </c>
      <c r="N230" s="46">
        <f>IFERROR(L230/M230,"")</f>
        <v/>
      </c>
      <c r="O230" s="15" t="n"/>
      <c r="P230" s="15" t="n"/>
      <c r="Q230" s="16">
        <f>IF(A230="","",N(O230)+N(P230))</f>
        <v/>
      </c>
      <c r="R230" s="16">
        <f>IF(A230="","",F230-Q230)</f>
        <v/>
      </c>
      <c r="S230" s="46">
        <f>IFERROR(R230/F230,"")</f>
        <v/>
      </c>
      <c r="T230" s="45" t="n"/>
      <c r="U230" s="45" t="n"/>
      <c r="V230" s="45" t="n"/>
      <c r="W230" s="45" t="n"/>
      <c r="X230" s="45" t="n"/>
      <c r="Y230" s="13" t="n"/>
    </row>
    <row r="231" ht="15" customHeight="1">
      <c r="A231" s="13" t="n"/>
      <c r="B231" s="14">
        <f>IF(A231="","",IF(COUNTIF(lst_Jobs,A231&amp;"")&gt;0,"OK","CHECK"))</f>
        <v/>
      </c>
      <c r="C231" s="14">
        <f>IF(A231="","",IFERROR(INDEX(lst_JobName,MATCH(A231&amp;"",lst_Jobs,0)),""))</f>
        <v/>
      </c>
      <c r="D231" s="14">
        <f>IF(A231="","",IFERROR(INDEX(tbl_Finance[Client],MATCH(A231&amp;"",tbl_Finance[Job Number],0)),""))</f>
        <v/>
      </c>
      <c r="E231" s="44">
        <f>IF(A231="","",COUNTIFS(tbl_Finance[Job Number],A231&amp;"",tbl_Finance[Ex GST],"&lt;&gt;"))</f>
        <v/>
      </c>
      <c r="F231" s="16">
        <f>IF(A231="","",SUMIFS(tbl_Finance[Ex GST],tbl_Finance[Job Number],A231&amp;""))</f>
        <v/>
      </c>
      <c r="G231" s="14">
        <f>IF(A231="","",IFERROR(INDEX(tbl_Finance[Cost Centre],MATCH(A231&amp;"",tbl_Finance[Job Number],0)),"not invoiced yet"))</f>
        <v/>
      </c>
      <c r="H231" s="11" t="n"/>
      <c r="I231" s="13" t="n"/>
      <c r="J231" s="13" t="n"/>
      <c r="K231" s="13" t="n"/>
      <c r="L231" s="15" t="n"/>
      <c r="M231" s="16">
        <f>IF(A231="","",F231+N(L231))</f>
        <v/>
      </c>
      <c r="N231" s="46">
        <f>IFERROR(L231/M231,"")</f>
        <v/>
      </c>
      <c r="O231" s="15" t="n"/>
      <c r="P231" s="15" t="n"/>
      <c r="Q231" s="16">
        <f>IF(A231="","",N(O231)+N(P231))</f>
        <v/>
      </c>
      <c r="R231" s="16">
        <f>IF(A231="","",F231-Q231)</f>
        <v/>
      </c>
      <c r="S231" s="46">
        <f>IFERROR(R231/F231,"")</f>
        <v/>
      </c>
      <c r="T231" s="45" t="n"/>
      <c r="U231" s="45" t="n"/>
      <c r="V231" s="45" t="n"/>
      <c r="W231" s="45" t="n"/>
      <c r="X231" s="45" t="n"/>
      <c r="Y231" s="13" t="n"/>
    </row>
    <row r="232" ht="15" customHeight="1">
      <c r="A232" s="13" t="n"/>
      <c r="B232" s="14">
        <f>IF(A232="","",IF(COUNTIF(lst_Jobs,A232&amp;"")&gt;0,"OK","CHECK"))</f>
        <v/>
      </c>
      <c r="C232" s="14">
        <f>IF(A232="","",IFERROR(INDEX(lst_JobName,MATCH(A232&amp;"",lst_Jobs,0)),""))</f>
        <v/>
      </c>
      <c r="D232" s="14">
        <f>IF(A232="","",IFERROR(INDEX(tbl_Finance[Client],MATCH(A232&amp;"",tbl_Finance[Job Number],0)),""))</f>
        <v/>
      </c>
      <c r="E232" s="44">
        <f>IF(A232="","",COUNTIFS(tbl_Finance[Job Number],A232&amp;"",tbl_Finance[Ex GST],"&lt;&gt;"))</f>
        <v/>
      </c>
      <c r="F232" s="16">
        <f>IF(A232="","",SUMIFS(tbl_Finance[Ex GST],tbl_Finance[Job Number],A232&amp;""))</f>
        <v/>
      </c>
      <c r="G232" s="14">
        <f>IF(A232="","",IFERROR(INDEX(tbl_Finance[Cost Centre],MATCH(A232&amp;"",tbl_Finance[Job Number],0)),"not invoiced yet"))</f>
        <v/>
      </c>
      <c r="H232" s="11" t="n"/>
      <c r="I232" s="13" t="n"/>
      <c r="J232" s="13" t="n"/>
      <c r="K232" s="13" t="n"/>
      <c r="L232" s="15" t="n"/>
      <c r="M232" s="16">
        <f>IF(A232="","",F232+N(L232))</f>
        <v/>
      </c>
      <c r="N232" s="46">
        <f>IFERROR(L232/M232,"")</f>
        <v/>
      </c>
      <c r="O232" s="15" t="n"/>
      <c r="P232" s="15" t="n"/>
      <c r="Q232" s="16">
        <f>IF(A232="","",N(O232)+N(P232))</f>
        <v/>
      </c>
      <c r="R232" s="16">
        <f>IF(A232="","",F232-Q232)</f>
        <v/>
      </c>
      <c r="S232" s="46">
        <f>IFERROR(R232/F232,"")</f>
        <v/>
      </c>
      <c r="T232" s="45" t="n"/>
      <c r="U232" s="45" t="n"/>
      <c r="V232" s="45" t="n"/>
      <c r="W232" s="45" t="n"/>
      <c r="X232" s="45" t="n"/>
      <c r="Y232" s="13" t="n"/>
    </row>
    <row r="233" ht="15" customHeight="1">
      <c r="A233" s="13" t="n"/>
      <c r="B233" s="14">
        <f>IF(A233="","",IF(COUNTIF(lst_Jobs,A233&amp;"")&gt;0,"OK","CHECK"))</f>
        <v/>
      </c>
      <c r="C233" s="14">
        <f>IF(A233="","",IFERROR(INDEX(lst_JobName,MATCH(A233&amp;"",lst_Jobs,0)),""))</f>
        <v/>
      </c>
      <c r="D233" s="14">
        <f>IF(A233="","",IFERROR(INDEX(tbl_Finance[Client],MATCH(A233&amp;"",tbl_Finance[Job Number],0)),""))</f>
        <v/>
      </c>
      <c r="E233" s="44">
        <f>IF(A233="","",COUNTIFS(tbl_Finance[Job Number],A233&amp;"",tbl_Finance[Ex GST],"&lt;&gt;"))</f>
        <v/>
      </c>
      <c r="F233" s="16">
        <f>IF(A233="","",SUMIFS(tbl_Finance[Ex GST],tbl_Finance[Job Number],A233&amp;""))</f>
        <v/>
      </c>
      <c r="G233" s="14">
        <f>IF(A233="","",IFERROR(INDEX(tbl_Finance[Cost Centre],MATCH(A233&amp;"",tbl_Finance[Job Number],0)),"not invoiced yet"))</f>
        <v/>
      </c>
      <c r="H233" s="11" t="n"/>
      <c r="I233" s="13" t="n"/>
      <c r="J233" s="13" t="n"/>
      <c r="K233" s="13" t="n"/>
      <c r="L233" s="15" t="n"/>
      <c r="M233" s="16">
        <f>IF(A233="","",F233+N(L233))</f>
        <v/>
      </c>
      <c r="N233" s="46">
        <f>IFERROR(L233/M233,"")</f>
        <v/>
      </c>
      <c r="O233" s="15" t="n"/>
      <c r="P233" s="15" t="n"/>
      <c r="Q233" s="16">
        <f>IF(A233="","",N(O233)+N(P233))</f>
        <v/>
      </c>
      <c r="R233" s="16">
        <f>IF(A233="","",F233-Q233)</f>
        <v/>
      </c>
      <c r="S233" s="46">
        <f>IFERROR(R233/F233,"")</f>
        <v/>
      </c>
      <c r="T233" s="45" t="n"/>
      <c r="U233" s="45" t="n"/>
      <c r="V233" s="45" t="n"/>
      <c r="W233" s="45" t="n"/>
      <c r="X233" s="45" t="n"/>
      <c r="Y233" s="13" t="n"/>
    </row>
    <row r="234" ht="15" customHeight="1">
      <c r="A234" s="13" t="n"/>
      <c r="B234" s="14">
        <f>IF(A234="","",IF(COUNTIF(lst_Jobs,A234&amp;"")&gt;0,"OK","CHECK"))</f>
        <v/>
      </c>
      <c r="C234" s="14">
        <f>IF(A234="","",IFERROR(INDEX(lst_JobName,MATCH(A234&amp;"",lst_Jobs,0)),""))</f>
        <v/>
      </c>
      <c r="D234" s="14">
        <f>IF(A234="","",IFERROR(INDEX(tbl_Finance[Client],MATCH(A234&amp;"",tbl_Finance[Job Number],0)),""))</f>
        <v/>
      </c>
      <c r="E234" s="44">
        <f>IF(A234="","",COUNTIFS(tbl_Finance[Job Number],A234&amp;"",tbl_Finance[Ex GST],"&lt;&gt;"))</f>
        <v/>
      </c>
      <c r="F234" s="16">
        <f>IF(A234="","",SUMIFS(tbl_Finance[Ex GST],tbl_Finance[Job Number],A234&amp;""))</f>
        <v/>
      </c>
      <c r="G234" s="14">
        <f>IF(A234="","",IFERROR(INDEX(tbl_Finance[Cost Centre],MATCH(A234&amp;"",tbl_Finance[Job Number],0)),"not invoiced yet"))</f>
        <v/>
      </c>
      <c r="H234" s="11" t="n"/>
      <c r="I234" s="13" t="n"/>
      <c r="J234" s="13" t="n"/>
      <c r="K234" s="13" t="n"/>
      <c r="L234" s="15" t="n"/>
      <c r="M234" s="16">
        <f>IF(A234="","",F234+N(L234))</f>
        <v/>
      </c>
      <c r="N234" s="46">
        <f>IFERROR(L234/M234,"")</f>
        <v/>
      </c>
      <c r="O234" s="15" t="n"/>
      <c r="P234" s="15" t="n"/>
      <c r="Q234" s="16">
        <f>IF(A234="","",N(O234)+N(P234))</f>
        <v/>
      </c>
      <c r="R234" s="16">
        <f>IF(A234="","",F234-Q234)</f>
        <v/>
      </c>
      <c r="S234" s="46">
        <f>IFERROR(R234/F234,"")</f>
        <v/>
      </c>
      <c r="T234" s="45" t="n"/>
      <c r="U234" s="45" t="n"/>
      <c r="V234" s="45" t="n"/>
      <c r="W234" s="45" t="n"/>
      <c r="X234" s="45" t="n"/>
      <c r="Y234" s="13" t="n"/>
    </row>
    <row r="235" ht="15" customHeight="1">
      <c r="A235" s="13" t="n"/>
      <c r="B235" s="14">
        <f>IF(A235="","",IF(COUNTIF(lst_Jobs,A235&amp;"")&gt;0,"OK","CHECK"))</f>
        <v/>
      </c>
      <c r="C235" s="14">
        <f>IF(A235="","",IFERROR(INDEX(lst_JobName,MATCH(A235&amp;"",lst_Jobs,0)),""))</f>
        <v/>
      </c>
      <c r="D235" s="14">
        <f>IF(A235="","",IFERROR(INDEX(tbl_Finance[Client],MATCH(A235&amp;"",tbl_Finance[Job Number],0)),""))</f>
        <v/>
      </c>
      <c r="E235" s="44">
        <f>IF(A235="","",COUNTIFS(tbl_Finance[Job Number],A235&amp;"",tbl_Finance[Ex GST],"&lt;&gt;"))</f>
        <v/>
      </c>
      <c r="F235" s="16">
        <f>IF(A235="","",SUMIFS(tbl_Finance[Ex GST],tbl_Finance[Job Number],A235&amp;""))</f>
        <v/>
      </c>
      <c r="G235" s="14">
        <f>IF(A235="","",IFERROR(INDEX(tbl_Finance[Cost Centre],MATCH(A235&amp;"",tbl_Finance[Job Number],0)),"not invoiced yet"))</f>
        <v/>
      </c>
      <c r="H235" s="11" t="n"/>
      <c r="I235" s="13" t="n"/>
      <c r="J235" s="13" t="n"/>
      <c r="K235" s="13" t="n"/>
      <c r="L235" s="15" t="n"/>
      <c r="M235" s="16">
        <f>IF(A235="","",F235+N(L235))</f>
        <v/>
      </c>
      <c r="N235" s="46">
        <f>IFERROR(L235/M235,"")</f>
        <v/>
      </c>
      <c r="O235" s="15" t="n"/>
      <c r="P235" s="15" t="n"/>
      <c r="Q235" s="16">
        <f>IF(A235="","",N(O235)+N(P235))</f>
        <v/>
      </c>
      <c r="R235" s="16">
        <f>IF(A235="","",F235-Q235)</f>
        <v/>
      </c>
      <c r="S235" s="46">
        <f>IFERROR(R235/F235,"")</f>
        <v/>
      </c>
      <c r="T235" s="45" t="n"/>
      <c r="U235" s="45" t="n"/>
      <c r="V235" s="45" t="n"/>
      <c r="W235" s="45" t="n"/>
      <c r="X235" s="45" t="n"/>
      <c r="Y235" s="13" t="n"/>
    </row>
    <row r="236" ht="15" customHeight="1">
      <c r="A236" s="13" t="n"/>
      <c r="B236" s="14">
        <f>IF(A236="","",IF(COUNTIF(lst_Jobs,A236&amp;"")&gt;0,"OK","CHECK"))</f>
        <v/>
      </c>
      <c r="C236" s="14">
        <f>IF(A236="","",IFERROR(INDEX(lst_JobName,MATCH(A236&amp;"",lst_Jobs,0)),""))</f>
        <v/>
      </c>
      <c r="D236" s="14">
        <f>IF(A236="","",IFERROR(INDEX(tbl_Finance[Client],MATCH(A236&amp;"",tbl_Finance[Job Number],0)),""))</f>
        <v/>
      </c>
      <c r="E236" s="44">
        <f>IF(A236="","",COUNTIFS(tbl_Finance[Job Number],A236&amp;"",tbl_Finance[Ex GST],"&lt;&gt;"))</f>
        <v/>
      </c>
      <c r="F236" s="16">
        <f>IF(A236="","",SUMIFS(tbl_Finance[Ex GST],tbl_Finance[Job Number],A236&amp;""))</f>
        <v/>
      </c>
      <c r="G236" s="14">
        <f>IF(A236="","",IFERROR(INDEX(tbl_Finance[Cost Centre],MATCH(A236&amp;"",tbl_Finance[Job Number],0)),"not invoiced yet"))</f>
        <v/>
      </c>
      <c r="H236" s="11" t="n"/>
      <c r="I236" s="13" t="n"/>
      <c r="J236" s="13" t="n"/>
      <c r="K236" s="13" t="n"/>
      <c r="L236" s="15" t="n"/>
      <c r="M236" s="16">
        <f>IF(A236="","",F236+N(L236))</f>
        <v/>
      </c>
      <c r="N236" s="46">
        <f>IFERROR(L236/M236,"")</f>
        <v/>
      </c>
      <c r="O236" s="15" t="n"/>
      <c r="P236" s="15" t="n"/>
      <c r="Q236" s="16">
        <f>IF(A236="","",N(O236)+N(P236))</f>
        <v/>
      </c>
      <c r="R236" s="16">
        <f>IF(A236="","",F236-Q236)</f>
        <v/>
      </c>
      <c r="S236" s="46">
        <f>IFERROR(R236/F236,"")</f>
        <v/>
      </c>
      <c r="T236" s="45" t="n"/>
      <c r="U236" s="45" t="n"/>
      <c r="V236" s="45" t="n"/>
      <c r="W236" s="45" t="n"/>
      <c r="X236" s="45" t="n"/>
      <c r="Y236" s="13" t="n"/>
    </row>
    <row r="237" ht="15" customHeight="1">
      <c r="A237" s="13" t="n"/>
      <c r="B237" s="14">
        <f>IF(A237="","",IF(COUNTIF(lst_Jobs,A237&amp;"")&gt;0,"OK","CHECK"))</f>
        <v/>
      </c>
      <c r="C237" s="14">
        <f>IF(A237="","",IFERROR(INDEX(lst_JobName,MATCH(A237&amp;"",lst_Jobs,0)),""))</f>
        <v/>
      </c>
      <c r="D237" s="14">
        <f>IF(A237="","",IFERROR(INDEX(tbl_Finance[Client],MATCH(A237&amp;"",tbl_Finance[Job Number],0)),""))</f>
        <v/>
      </c>
      <c r="E237" s="44">
        <f>IF(A237="","",COUNTIFS(tbl_Finance[Job Number],A237&amp;"",tbl_Finance[Ex GST],"&lt;&gt;"))</f>
        <v/>
      </c>
      <c r="F237" s="16">
        <f>IF(A237="","",SUMIFS(tbl_Finance[Ex GST],tbl_Finance[Job Number],A237&amp;""))</f>
        <v/>
      </c>
      <c r="G237" s="14">
        <f>IF(A237="","",IFERROR(INDEX(tbl_Finance[Cost Centre],MATCH(A237&amp;"",tbl_Finance[Job Number],0)),"not invoiced yet"))</f>
        <v/>
      </c>
      <c r="H237" s="11" t="n"/>
      <c r="I237" s="13" t="n"/>
      <c r="J237" s="13" t="n"/>
      <c r="K237" s="13" t="n"/>
      <c r="L237" s="15" t="n"/>
      <c r="M237" s="16">
        <f>IF(A237="","",F237+N(L237))</f>
        <v/>
      </c>
      <c r="N237" s="46">
        <f>IFERROR(L237/M237,"")</f>
        <v/>
      </c>
      <c r="O237" s="15" t="n"/>
      <c r="P237" s="15" t="n"/>
      <c r="Q237" s="16">
        <f>IF(A237="","",N(O237)+N(P237))</f>
        <v/>
      </c>
      <c r="R237" s="16">
        <f>IF(A237="","",F237-Q237)</f>
        <v/>
      </c>
      <c r="S237" s="46">
        <f>IFERROR(R237/F237,"")</f>
        <v/>
      </c>
      <c r="T237" s="45" t="n"/>
      <c r="U237" s="45" t="n"/>
      <c r="V237" s="45" t="n"/>
      <c r="W237" s="45" t="n"/>
      <c r="X237" s="45" t="n"/>
      <c r="Y237" s="13" t="n"/>
    </row>
    <row r="238" ht="15" customHeight="1">
      <c r="A238" s="13" t="n"/>
      <c r="B238" s="14">
        <f>IF(A238="","",IF(COUNTIF(lst_Jobs,A238&amp;"")&gt;0,"OK","CHECK"))</f>
        <v/>
      </c>
      <c r="C238" s="14">
        <f>IF(A238="","",IFERROR(INDEX(lst_JobName,MATCH(A238&amp;"",lst_Jobs,0)),""))</f>
        <v/>
      </c>
      <c r="D238" s="14">
        <f>IF(A238="","",IFERROR(INDEX(tbl_Finance[Client],MATCH(A238&amp;"",tbl_Finance[Job Number],0)),""))</f>
        <v/>
      </c>
      <c r="E238" s="44">
        <f>IF(A238="","",COUNTIFS(tbl_Finance[Job Number],A238&amp;"",tbl_Finance[Ex GST],"&lt;&gt;"))</f>
        <v/>
      </c>
      <c r="F238" s="16">
        <f>IF(A238="","",SUMIFS(tbl_Finance[Ex GST],tbl_Finance[Job Number],A238&amp;""))</f>
        <v/>
      </c>
      <c r="G238" s="14">
        <f>IF(A238="","",IFERROR(INDEX(tbl_Finance[Cost Centre],MATCH(A238&amp;"",tbl_Finance[Job Number],0)),"not invoiced yet"))</f>
        <v/>
      </c>
      <c r="H238" s="11" t="n"/>
      <c r="I238" s="13" t="n"/>
      <c r="J238" s="13" t="n"/>
      <c r="K238" s="13" t="n"/>
      <c r="L238" s="15" t="n"/>
      <c r="M238" s="16">
        <f>IF(A238="","",F238+N(L238))</f>
        <v/>
      </c>
      <c r="N238" s="46">
        <f>IFERROR(L238/M238,"")</f>
        <v/>
      </c>
      <c r="O238" s="15" t="n"/>
      <c r="P238" s="15" t="n"/>
      <c r="Q238" s="16">
        <f>IF(A238="","",N(O238)+N(P238))</f>
        <v/>
      </c>
      <c r="R238" s="16">
        <f>IF(A238="","",F238-Q238)</f>
        <v/>
      </c>
      <c r="S238" s="46">
        <f>IFERROR(R238/F238,"")</f>
        <v/>
      </c>
      <c r="T238" s="45" t="n"/>
      <c r="U238" s="45" t="n"/>
      <c r="V238" s="45" t="n"/>
      <c r="W238" s="45" t="n"/>
      <c r="X238" s="45" t="n"/>
      <c r="Y238" s="13" t="n"/>
    </row>
    <row r="239" ht="15" customHeight="1">
      <c r="A239" s="13" t="n"/>
      <c r="B239" s="14">
        <f>IF(A239="","",IF(COUNTIF(lst_Jobs,A239&amp;"")&gt;0,"OK","CHECK"))</f>
        <v/>
      </c>
      <c r="C239" s="14">
        <f>IF(A239="","",IFERROR(INDEX(lst_JobName,MATCH(A239&amp;"",lst_Jobs,0)),""))</f>
        <v/>
      </c>
      <c r="D239" s="14">
        <f>IF(A239="","",IFERROR(INDEX(tbl_Finance[Client],MATCH(A239&amp;"",tbl_Finance[Job Number],0)),""))</f>
        <v/>
      </c>
      <c r="E239" s="44">
        <f>IF(A239="","",COUNTIFS(tbl_Finance[Job Number],A239&amp;"",tbl_Finance[Ex GST],"&lt;&gt;"))</f>
        <v/>
      </c>
      <c r="F239" s="16">
        <f>IF(A239="","",SUMIFS(tbl_Finance[Ex GST],tbl_Finance[Job Number],A239&amp;""))</f>
        <v/>
      </c>
      <c r="G239" s="14">
        <f>IF(A239="","",IFERROR(INDEX(tbl_Finance[Cost Centre],MATCH(A239&amp;"",tbl_Finance[Job Number],0)),"not invoiced yet"))</f>
        <v/>
      </c>
      <c r="H239" s="11" t="n"/>
      <c r="I239" s="13" t="n"/>
      <c r="J239" s="13" t="n"/>
      <c r="K239" s="13" t="n"/>
      <c r="L239" s="15" t="n"/>
      <c r="M239" s="16">
        <f>IF(A239="","",F239+N(L239))</f>
        <v/>
      </c>
      <c r="N239" s="46">
        <f>IFERROR(L239/M239,"")</f>
        <v/>
      </c>
      <c r="O239" s="15" t="n"/>
      <c r="P239" s="15" t="n"/>
      <c r="Q239" s="16">
        <f>IF(A239="","",N(O239)+N(P239))</f>
        <v/>
      </c>
      <c r="R239" s="16">
        <f>IF(A239="","",F239-Q239)</f>
        <v/>
      </c>
      <c r="S239" s="46">
        <f>IFERROR(R239/F239,"")</f>
        <v/>
      </c>
      <c r="T239" s="45" t="n"/>
      <c r="U239" s="45" t="n"/>
      <c r="V239" s="45" t="n"/>
      <c r="W239" s="45" t="n"/>
      <c r="X239" s="45" t="n"/>
      <c r="Y239" s="13" t="n"/>
    </row>
    <row r="240" ht="15" customHeight="1">
      <c r="A240" s="13" t="n"/>
      <c r="B240" s="14">
        <f>IF(A240="","",IF(COUNTIF(lst_Jobs,A240&amp;"")&gt;0,"OK","CHECK"))</f>
        <v/>
      </c>
      <c r="C240" s="14">
        <f>IF(A240="","",IFERROR(INDEX(lst_JobName,MATCH(A240&amp;"",lst_Jobs,0)),""))</f>
        <v/>
      </c>
      <c r="D240" s="14">
        <f>IF(A240="","",IFERROR(INDEX(tbl_Finance[Client],MATCH(A240&amp;"",tbl_Finance[Job Number],0)),""))</f>
        <v/>
      </c>
      <c r="E240" s="44">
        <f>IF(A240="","",COUNTIFS(tbl_Finance[Job Number],A240&amp;"",tbl_Finance[Ex GST],"&lt;&gt;"))</f>
        <v/>
      </c>
      <c r="F240" s="16">
        <f>IF(A240="","",SUMIFS(tbl_Finance[Ex GST],tbl_Finance[Job Number],A240&amp;""))</f>
        <v/>
      </c>
      <c r="G240" s="14">
        <f>IF(A240="","",IFERROR(INDEX(tbl_Finance[Cost Centre],MATCH(A240&amp;"",tbl_Finance[Job Number],0)),"not invoiced yet"))</f>
        <v/>
      </c>
      <c r="H240" s="11" t="n"/>
      <c r="I240" s="13" t="n"/>
      <c r="J240" s="13" t="n"/>
      <c r="K240" s="13" t="n"/>
      <c r="L240" s="15" t="n"/>
      <c r="M240" s="16">
        <f>IF(A240="","",F240+N(L240))</f>
        <v/>
      </c>
      <c r="N240" s="46">
        <f>IFERROR(L240/M240,"")</f>
        <v/>
      </c>
      <c r="O240" s="15" t="n"/>
      <c r="P240" s="15" t="n"/>
      <c r="Q240" s="16">
        <f>IF(A240="","",N(O240)+N(P240))</f>
        <v/>
      </c>
      <c r="R240" s="16">
        <f>IF(A240="","",F240-Q240)</f>
        <v/>
      </c>
      <c r="S240" s="46">
        <f>IFERROR(R240/F240,"")</f>
        <v/>
      </c>
      <c r="T240" s="45" t="n"/>
      <c r="U240" s="45" t="n"/>
      <c r="V240" s="45" t="n"/>
      <c r="W240" s="45" t="n"/>
      <c r="X240" s="45" t="n"/>
      <c r="Y240" s="13" t="n"/>
    </row>
    <row r="241" ht="15" customHeight="1">
      <c r="A241" s="13" t="n"/>
      <c r="B241" s="14">
        <f>IF(A241="","",IF(COUNTIF(lst_Jobs,A241&amp;"")&gt;0,"OK","CHECK"))</f>
        <v/>
      </c>
      <c r="C241" s="14">
        <f>IF(A241="","",IFERROR(INDEX(lst_JobName,MATCH(A241&amp;"",lst_Jobs,0)),""))</f>
        <v/>
      </c>
      <c r="D241" s="14">
        <f>IF(A241="","",IFERROR(INDEX(tbl_Finance[Client],MATCH(A241&amp;"",tbl_Finance[Job Number],0)),""))</f>
        <v/>
      </c>
      <c r="E241" s="44">
        <f>IF(A241="","",COUNTIFS(tbl_Finance[Job Number],A241&amp;"",tbl_Finance[Ex GST],"&lt;&gt;"))</f>
        <v/>
      </c>
      <c r="F241" s="16">
        <f>IF(A241="","",SUMIFS(tbl_Finance[Ex GST],tbl_Finance[Job Number],A241&amp;""))</f>
        <v/>
      </c>
      <c r="G241" s="14">
        <f>IF(A241="","",IFERROR(INDEX(tbl_Finance[Cost Centre],MATCH(A241&amp;"",tbl_Finance[Job Number],0)),"not invoiced yet"))</f>
        <v/>
      </c>
      <c r="H241" s="11" t="n"/>
      <c r="I241" s="13" t="n"/>
      <c r="J241" s="13" t="n"/>
      <c r="K241" s="13" t="n"/>
      <c r="L241" s="15" t="n"/>
      <c r="M241" s="16">
        <f>IF(A241="","",F241+N(L241))</f>
        <v/>
      </c>
      <c r="N241" s="46">
        <f>IFERROR(L241/M241,"")</f>
        <v/>
      </c>
      <c r="O241" s="15" t="n"/>
      <c r="P241" s="15" t="n"/>
      <c r="Q241" s="16">
        <f>IF(A241="","",N(O241)+N(P241))</f>
        <v/>
      </c>
      <c r="R241" s="16">
        <f>IF(A241="","",F241-Q241)</f>
        <v/>
      </c>
      <c r="S241" s="46">
        <f>IFERROR(R241/F241,"")</f>
        <v/>
      </c>
      <c r="T241" s="45" t="n"/>
      <c r="U241" s="45" t="n"/>
      <c r="V241" s="45" t="n"/>
      <c r="W241" s="45" t="n"/>
      <c r="X241" s="45" t="n"/>
      <c r="Y241" s="13" t="n"/>
    </row>
    <row r="242" ht="15" customHeight="1">
      <c r="A242" s="13" t="n"/>
      <c r="B242" s="14">
        <f>IF(A242="","",IF(COUNTIF(lst_Jobs,A242&amp;"")&gt;0,"OK","CHECK"))</f>
        <v/>
      </c>
      <c r="C242" s="14">
        <f>IF(A242="","",IFERROR(INDEX(lst_JobName,MATCH(A242&amp;"",lst_Jobs,0)),""))</f>
        <v/>
      </c>
      <c r="D242" s="14">
        <f>IF(A242="","",IFERROR(INDEX(tbl_Finance[Client],MATCH(A242&amp;"",tbl_Finance[Job Number],0)),""))</f>
        <v/>
      </c>
      <c r="E242" s="44">
        <f>IF(A242="","",COUNTIFS(tbl_Finance[Job Number],A242&amp;"",tbl_Finance[Ex GST],"&lt;&gt;"))</f>
        <v/>
      </c>
      <c r="F242" s="16">
        <f>IF(A242="","",SUMIFS(tbl_Finance[Ex GST],tbl_Finance[Job Number],A242&amp;""))</f>
        <v/>
      </c>
      <c r="G242" s="14">
        <f>IF(A242="","",IFERROR(INDEX(tbl_Finance[Cost Centre],MATCH(A242&amp;"",tbl_Finance[Job Number],0)),"not invoiced yet"))</f>
        <v/>
      </c>
      <c r="H242" s="11" t="n"/>
      <c r="I242" s="13" t="n"/>
      <c r="J242" s="13" t="n"/>
      <c r="K242" s="13" t="n"/>
      <c r="L242" s="15" t="n"/>
      <c r="M242" s="16">
        <f>IF(A242="","",F242+N(L242))</f>
        <v/>
      </c>
      <c r="N242" s="46">
        <f>IFERROR(L242/M242,"")</f>
        <v/>
      </c>
      <c r="O242" s="15" t="n"/>
      <c r="P242" s="15" t="n"/>
      <c r="Q242" s="16">
        <f>IF(A242="","",N(O242)+N(P242))</f>
        <v/>
      </c>
      <c r="R242" s="16">
        <f>IF(A242="","",F242-Q242)</f>
        <v/>
      </c>
      <c r="S242" s="46">
        <f>IFERROR(R242/F242,"")</f>
        <v/>
      </c>
      <c r="T242" s="45" t="n"/>
      <c r="U242" s="45" t="n"/>
      <c r="V242" s="45" t="n"/>
      <c r="W242" s="45" t="n"/>
      <c r="X242" s="45" t="n"/>
      <c r="Y242" s="13" t="n"/>
    </row>
    <row r="243" ht="15" customHeight="1">
      <c r="A243" s="13" t="n"/>
      <c r="B243" s="14">
        <f>IF(A243="","",IF(COUNTIF(lst_Jobs,A243&amp;"")&gt;0,"OK","CHECK"))</f>
        <v/>
      </c>
      <c r="C243" s="14">
        <f>IF(A243="","",IFERROR(INDEX(lst_JobName,MATCH(A243&amp;"",lst_Jobs,0)),""))</f>
        <v/>
      </c>
      <c r="D243" s="14">
        <f>IF(A243="","",IFERROR(INDEX(tbl_Finance[Client],MATCH(A243&amp;"",tbl_Finance[Job Number],0)),""))</f>
        <v/>
      </c>
      <c r="E243" s="44">
        <f>IF(A243="","",COUNTIFS(tbl_Finance[Job Number],A243&amp;"",tbl_Finance[Ex GST],"&lt;&gt;"))</f>
        <v/>
      </c>
      <c r="F243" s="16">
        <f>IF(A243="","",SUMIFS(tbl_Finance[Ex GST],tbl_Finance[Job Number],A243&amp;""))</f>
        <v/>
      </c>
      <c r="G243" s="14">
        <f>IF(A243="","",IFERROR(INDEX(tbl_Finance[Cost Centre],MATCH(A243&amp;"",tbl_Finance[Job Number],0)),"not invoiced yet"))</f>
        <v/>
      </c>
      <c r="H243" s="11" t="n"/>
      <c r="I243" s="13" t="n"/>
      <c r="J243" s="13" t="n"/>
      <c r="K243" s="13" t="n"/>
      <c r="L243" s="15" t="n"/>
      <c r="M243" s="16">
        <f>IF(A243="","",F243+N(L243))</f>
        <v/>
      </c>
      <c r="N243" s="46">
        <f>IFERROR(L243/M243,"")</f>
        <v/>
      </c>
      <c r="O243" s="15" t="n"/>
      <c r="P243" s="15" t="n"/>
      <c r="Q243" s="16">
        <f>IF(A243="","",N(O243)+N(P243))</f>
        <v/>
      </c>
      <c r="R243" s="16">
        <f>IF(A243="","",F243-Q243)</f>
        <v/>
      </c>
      <c r="S243" s="46">
        <f>IFERROR(R243/F243,"")</f>
        <v/>
      </c>
      <c r="T243" s="45" t="n"/>
      <c r="U243" s="45" t="n"/>
      <c r="V243" s="45" t="n"/>
      <c r="W243" s="45" t="n"/>
      <c r="X243" s="45" t="n"/>
      <c r="Y243" s="13" t="n"/>
    </row>
    <row r="244" ht="15" customHeight="1">
      <c r="A244" s="13" t="n"/>
      <c r="B244" s="14">
        <f>IF(A244="","",IF(COUNTIF(lst_Jobs,A244&amp;"")&gt;0,"OK","CHECK"))</f>
        <v/>
      </c>
      <c r="C244" s="14">
        <f>IF(A244="","",IFERROR(INDEX(lst_JobName,MATCH(A244&amp;"",lst_Jobs,0)),""))</f>
        <v/>
      </c>
      <c r="D244" s="14">
        <f>IF(A244="","",IFERROR(INDEX(tbl_Finance[Client],MATCH(A244&amp;"",tbl_Finance[Job Number],0)),""))</f>
        <v/>
      </c>
      <c r="E244" s="44">
        <f>IF(A244="","",COUNTIFS(tbl_Finance[Job Number],A244&amp;"",tbl_Finance[Ex GST],"&lt;&gt;"))</f>
        <v/>
      </c>
      <c r="F244" s="16">
        <f>IF(A244="","",SUMIFS(tbl_Finance[Ex GST],tbl_Finance[Job Number],A244&amp;""))</f>
        <v/>
      </c>
      <c r="G244" s="14">
        <f>IF(A244="","",IFERROR(INDEX(tbl_Finance[Cost Centre],MATCH(A244&amp;"",tbl_Finance[Job Number],0)),"not invoiced yet"))</f>
        <v/>
      </c>
      <c r="H244" s="11" t="n"/>
      <c r="I244" s="13" t="n"/>
      <c r="J244" s="13" t="n"/>
      <c r="K244" s="13" t="n"/>
      <c r="L244" s="15" t="n"/>
      <c r="M244" s="16">
        <f>IF(A244="","",F244+N(L244))</f>
        <v/>
      </c>
      <c r="N244" s="46">
        <f>IFERROR(L244/M244,"")</f>
        <v/>
      </c>
      <c r="O244" s="15" t="n"/>
      <c r="P244" s="15" t="n"/>
      <c r="Q244" s="16">
        <f>IF(A244="","",N(O244)+N(P244))</f>
        <v/>
      </c>
      <c r="R244" s="16">
        <f>IF(A244="","",F244-Q244)</f>
        <v/>
      </c>
      <c r="S244" s="46">
        <f>IFERROR(R244/F244,"")</f>
        <v/>
      </c>
      <c r="T244" s="45" t="n"/>
      <c r="U244" s="45" t="n"/>
      <c r="V244" s="45" t="n"/>
      <c r="W244" s="45" t="n"/>
      <c r="X244" s="45" t="n"/>
      <c r="Y244" s="13" t="n"/>
    </row>
    <row r="245" ht="15" customHeight="1">
      <c r="A245" s="13" t="n"/>
      <c r="B245" s="14">
        <f>IF(A245="","",IF(COUNTIF(lst_Jobs,A245&amp;"")&gt;0,"OK","CHECK"))</f>
        <v/>
      </c>
      <c r="C245" s="14">
        <f>IF(A245="","",IFERROR(INDEX(lst_JobName,MATCH(A245&amp;"",lst_Jobs,0)),""))</f>
        <v/>
      </c>
      <c r="D245" s="14">
        <f>IF(A245="","",IFERROR(INDEX(tbl_Finance[Client],MATCH(A245&amp;"",tbl_Finance[Job Number],0)),""))</f>
        <v/>
      </c>
      <c r="E245" s="44">
        <f>IF(A245="","",COUNTIFS(tbl_Finance[Job Number],A245&amp;"",tbl_Finance[Ex GST],"&lt;&gt;"))</f>
        <v/>
      </c>
      <c r="F245" s="16">
        <f>IF(A245="","",SUMIFS(tbl_Finance[Ex GST],tbl_Finance[Job Number],A245&amp;""))</f>
        <v/>
      </c>
      <c r="G245" s="14">
        <f>IF(A245="","",IFERROR(INDEX(tbl_Finance[Cost Centre],MATCH(A245&amp;"",tbl_Finance[Job Number],0)),"not invoiced yet"))</f>
        <v/>
      </c>
      <c r="H245" s="11" t="n"/>
      <c r="I245" s="13" t="n"/>
      <c r="J245" s="13" t="n"/>
      <c r="K245" s="13" t="n"/>
      <c r="L245" s="15" t="n"/>
      <c r="M245" s="16">
        <f>IF(A245="","",F245+N(L245))</f>
        <v/>
      </c>
      <c r="N245" s="46">
        <f>IFERROR(L245/M245,"")</f>
        <v/>
      </c>
      <c r="O245" s="15" t="n"/>
      <c r="P245" s="15" t="n"/>
      <c r="Q245" s="16">
        <f>IF(A245="","",N(O245)+N(P245))</f>
        <v/>
      </c>
      <c r="R245" s="16">
        <f>IF(A245="","",F245-Q245)</f>
        <v/>
      </c>
      <c r="S245" s="46">
        <f>IFERROR(R245/F245,"")</f>
        <v/>
      </c>
      <c r="T245" s="45" t="n"/>
      <c r="U245" s="45" t="n"/>
      <c r="V245" s="45" t="n"/>
      <c r="W245" s="45" t="n"/>
      <c r="X245" s="45" t="n"/>
      <c r="Y245" s="13" t="n"/>
    </row>
    <row r="246" ht="15" customHeight="1">
      <c r="A246" s="13" t="n"/>
      <c r="B246" s="14">
        <f>IF(A246="","",IF(COUNTIF(lst_Jobs,A246&amp;"")&gt;0,"OK","CHECK"))</f>
        <v/>
      </c>
      <c r="C246" s="14">
        <f>IF(A246="","",IFERROR(INDEX(lst_JobName,MATCH(A246&amp;"",lst_Jobs,0)),""))</f>
        <v/>
      </c>
      <c r="D246" s="14">
        <f>IF(A246="","",IFERROR(INDEX(tbl_Finance[Client],MATCH(A246&amp;"",tbl_Finance[Job Number],0)),""))</f>
        <v/>
      </c>
      <c r="E246" s="44">
        <f>IF(A246="","",COUNTIFS(tbl_Finance[Job Number],A246&amp;"",tbl_Finance[Ex GST],"&lt;&gt;"))</f>
        <v/>
      </c>
      <c r="F246" s="16">
        <f>IF(A246="","",SUMIFS(tbl_Finance[Ex GST],tbl_Finance[Job Number],A246&amp;""))</f>
        <v/>
      </c>
      <c r="G246" s="14">
        <f>IF(A246="","",IFERROR(INDEX(tbl_Finance[Cost Centre],MATCH(A246&amp;"",tbl_Finance[Job Number],0)),"not invoiced yet"))</f>
        <v/>
      </c>
      <c r="H246" s="11" t="n"/>
      <c r="I246" s="13" t="n"/>
      <c r="J246" s="13" t="n"/>
      <c r="K246" s="13" t="n"/>
      <c r="L246" s="15" t="n"/>
      <c r="M246" s="16">
        <f>IF(A246="","",F246+N(L246))</f>
        <v/>
      </c>
      <c r="N246" s="46">
        <f>IFERROR(L246/M246,"")</f>
        <v/>
      </c>
      <c r="O246" s="15" t="n"/>
      <c r="P246" s="15" t="n"/>
      <c r="Q246" s="16">
        <f>IF(A246="","",N(O246)+N(P246))</f>
        <v/>
      </c>
      <c r="R246" s="16">
        <f>IF(A246="","",F246-Q246)</f>
        <v/>
      </c>
      <c r="S246" s="46">
        <f>IFERROR(R246/F246,"")</f>
        <v/>
      </c>
      <c r="T246" s="45" t="n"/>
      <c r="U246" s="45" t="n"/>
      <c r="V246" s="45" t="n"/>
      <c r="W246" s="45" t="n"/>
      <c r="X246" s="45" t="n"/>
      <c r="Y246" s="13" t="n"/>
    </row>
    <row r="247" ht="15" customHeight="1">
      <c r="A247" s="13" t="n"/>
      <c r="B247" s="14">
        <f>IF(A247="","",IF(COUNTIF(lst_Jobs,A247&amp;"")&gt;0,"OK","CHECK"))</f>
        <v/>
      </c>
      <c r="C247" s="14">
        <f>IF(A247="","",IFERROR(INDEX(lst_JobName,MATCH(A247&amp;"",lst_Jobs,0)),""))</f>
        <v/>
      </c>
      <c r="D247" s="14">
        <f>IF(A247="","",IFERROR(INDEX(tbl_Finance[Client],MATCH(A247&amp;"",tbl_Finance[Job Number],0)),""))</f>
        <v/>
      </c>
      <c r="E247" s="44">
        <f>IF(A247="","",COUNTIFS(tbl_Finance[Job Number],A247&amp;"",tbl_Finance[Ex GST],"&lt;&gt;"))</f>
        <v/>
      </c>
      <c r="F247" s="16">
        <f>IF(A247="","",SUMIFS(tbl_Finance[Ex GST],tbl_Finance[Job Number],A247&amp;""))</f>
        <v/>
      </c>
      <c r="G247" s="14">
        <f>IF(A247="","",IFERROR(INDEX(tbl_Finance[Cost Centre],MATCH(A247&amp;"",tbl_Finance[Job Number],0)),"not invoiced yet"))</f>
        <v/>
      </c>
      <c r="H247" s="11" t="n"/>
      <c r="I247" s="13" t="n"/>
      <c r="J247" s="13" t="n"/>
      <c r="K247" s="13" t="n"/>
      <c r="L247" s="15" t="n"/>
      <c r="M247" s="16">
        <f>IF(A247="","",F247+N(L247))</f>
        <v/>
      </c>
      <c r="N247" s="46">
        <f>IFERROR(L247/M247,"")</f>
        <v/>
      </c>
      <c r="O247" s="15" t="n"/>
      <c r="P247" s="15" t="n"/>
      <c r="Q247" s="16">
        <f>IF(A247="","",N(O247)+N(P247))</f>
        <v/>
      </c>
      <c r="R247" s="16">
        <f>IF(A247="","",F247-Q247)</f>
        <v/>
      </c>
      <c r="S247" s="46">
        <f>IFERROR(R247/F247,"")</f>
        <v/>
      </c>
      <c r="T247" s="45" t="n"/>
      <c r="U247" s="45" t="n"/>
      <c r="V247" s="45" t="n"/>
      <c r="W247" s="45" t="n"/>
      <c r="X247" s="45" t="n"/>
      <c r="Y247" s="13" t="n"/>
    </row>
    <row r="248" ht="15" customHeight="1">
      <c r="A248" s="13" t="n"/>
      <c r="B248" s="14">
        <f>IF(A248="","",IF(COUNTIF(lst_Jobs,A248&amp;"")&gt;0,"OK","CHECK"))</f>
        <v/>
      </c>
      <c r="C248" s="14">
        <f>IF(A248="","",IFERROR(INDEX(lst_JobName,MATCH(A248&amp;"",lst_Jobs,0)),""))</f>
        <v/>
      </c>
      <c r="D248" s="14">
        <f>IF(A248="","",IFERROR(INDEX(tbl_Finance[Client],MATCH(A248&amp;"",tbl_Finance[Job Number],0)),""))</f>
        <v/>
      </c>
      <c r="E248" s="44">
        <f>IF(A248="","",COUNTIFS(tbl_Finance[Job Number],A248&amp;"",tbl_Finance[Ex GST],"&lt;&gt;"))</f>
        <v/>
      </c>
      <c r="F248" s="16">
        <f>IF(A248="","",SUMIFS(tbl_Finance[Ex GST],tbl_Finance[Job Number],A248&amp;""))</f>
        <v/>
      </c>
      <c r="G248" s="14">
        <f>IF(A248="","",IFERROR(INDEX(tbl_Finance[Cost Centre],MATCH(A248&amp;"",tbl_Finance[Job Number],0)),"not invoiced yet"))</f>
        <v/>
      </c>
      <c r="H248" s="11" t="n"/>
      <c r="I248" s="13" t="n"/>
      <c r="J248" s="13" t="n"/>
      <c r="K248" s="13" t="n"/>
      <c r="L248" s="15" t="n"/>
      <c r="M248" s="16">
        <f>IF(A248="","",F248+N(L248))</f>
        <v/>
      </c>
      <c r="N248" s="46">
        <f>IFERROR(L248/M248,"")</f>
        <v/>
      </c>
      <c r="O248" s="15" t="n"/>
      <c r="P248" s="15" t="n"/>
      <c r="Q248" s="16">
        <f>IF(A248="","",N(O248)+N(P248))</f>
        <v/>
      </c>
      <c r="R248" s="16">
        <f>IF(A248="","",F248-Q248)</f>
        <v/>
      </c>
      <c r="S248" s="46">
        <f>IFERROR(R248/F248,"")</f>
        <v/>
      </c>
      <c r="T248" s="45" t="n"/>
      <c r="U248" s="45" t="n"/>
      <c r="V248" s="45" t="n"/>
      <c r="W248" s="45" t="n"/>
      <c r="X248" s="45" t="n"/>
      <c r="Y248" s="13" t="n"/>
    </row>
    <row r="249" ht="15" customHeight="1">
      <c r="A249" s="13" t="n"/>
      <c r="B249" s="14">
        <f>IF(A249="","",IF(COUNTIF(lst_Jobs,A249&amp;"")&gt;0,"OK","CHECK"))</f>
        <v/>
      </c>
      <c r="C249" s="14">
        <f>IF(A249="","",IFERROR(INDEX(lst_JobName,MATCH(A249&amp;"",lst_Jobs,0)),""))</f>
        <v/>
      </c>
      <c r="D249" s="14">
        <f>IF(A249="","",IFERROR(INDEX(tbl_Finance[Client],MATCH(A249&amp;"",tbl_Finance[Job Number],0)),""))</f>
        <v/>
      </c>
      <c r="E249" s="44">
        <f>IF(A249="","",COUNTIFS(tbl_Finance[Job Number],A249&amp;"",tbl_Finance[Ex GST],"&lt;&gt;"))</f>
        <v/>
      </c>
      <c r="F249" s="16">
        <f>IF(A249="","",SUMIFS(tbl_Finance[Ex GST],tbl_Finance[Job Number],A249&amp;""))</f>
        <v/>
      </c>
      <c r="G249" s="14">
        <f>IF(A249="","",IFERROR(INDEX(tbl_Finance[Cost Centre],MATCH(A249&amp;"",tbl_Finance[Job Number],0)),"not invoiced yet"))</f>
        <v/>
      </c>
      <c r="H249" s="11" t="n"/>
      <c r="I249" s="13" t="n"/>
      <c r="J249" s="13" t="n"/>
      <c r="K249" s="13" t="n"/>
      <c r="L249" s="15" t="n"/>
      <c r="M249" s="16">
        <f>IF(A249="","",F249+N(L249))</f>
        <v/>
      </c>
      <c r="N249" s="46">
        <f>IFERROR(L249/M249,"")</f>
        <v/>
      </c>
      <c r="O249" s="15" t="n"/>
      <c r="P249" s="15" t="n"/>
      <c r="Q249" s="16">
        <f>IF(A249="","",N(O249)+N(P249))</f>
        <v/>
      </c>
      <c r="R249" s="16">
        <f>IF(A249="","",F249-Q249)</f>
        <v/>
      </c>
      <c r="S249" s="46">
        <f>IFERROR(R249/F249,"")</f>
        <v/>
      </c>
      <c r="T249" s="45" t="n"/>
      <c r="U249" s="45" t="n"/>
      <c r="V249" s="45" t="n"/>
      <c r="W249" s="45" t="n"/>
      <c r="X249" s="45" t="n"/>
      <c r="Y249" s="13" t="n"/>
    </row>
    <row r="250" ht="15" customHeight="1">
      <c r="A250" s="13" t="n"/>
      <c r="B250" s="14">
        <f>IF(A250="","",IF(COUNTIF(lst_Jobs,A250&amp;"")&gt;0,"OK","CHECK"))</f>
        <v/>
      </c>
      <c r="C250" s="14">
        <f>IF(A250="","",IFERROR(INDEX(lst_JobName,MATCH(A250&amp;"",lst_Jobs,0)),""))</f>
        <v/>
      </c>
      <c r="D250" s="14">
        <f>IF(A250="","",IFERROR(INDEX(tbl_Finance[Client],MATCH(A250&amp;"",tbl_Finance[Job Number],0)),""))</f>
        <v/>
      </c>
      <c r="E250" s="44">
        <f>IF(A250="","",COUNTIFS(tbl_Finance[Job Number],A250&amp;"",tbl_Finance[Ex GST],"&lt;&gt;"))</f>
        <v/>
      </c>
      <c r="F250" s="16">
        <f>IF(A250="","",SUMIFS(tbl_Finance[Ex GST],tbl_Finance[Job Number],A250&amp;""))</f>
        <v/>
      </c>
      <c r="G250" s="14">
        <f>IF(A250="","",IFERROR(INDEX(tbl_Finance[Cost Centre],MATCH(A250&amp;"",tbl_Finance[Job Number],0)),"not invoiced yet"))</f>
        <v/>
      </c>
      <c r="H250" s="11" t="n"/>
      <c r="I250" s="13" t="n"/>
      <c r="J250" s="13" t="n"/>
      <c r="K250" s="13" t="n"/>
      <c r="L250" s="15" t="n"/>
      <c r="M250" s="16">
        <f>IF(A250="","",F250+N(L250))</f>
        <v/>
      </c>
      <c r="N250" s="46">
        <f>IFERROR(L250/M250,"")</f>
        <v/>
      </c>
      <c r="O250" s="15" t="n"/>
      <c r="P250" s="15" t="n"/>
      <c r="Q250" s="16">
        <f>IF(A250="","",N(O250)+N(P250))</f>
        <v/>
      </c>
      <c r="R250" s="16">
        <f>IF(A250="","",F250-Q250)</f>
        <v/>
      </c>
      <c r="S250" s="46">
        <f>IFERROR(R250/F250,"")</f>
        <v/>
      </c>
      <c r="T250" s="45" t="n"/>
      <c r="U250" s="45" t="n"/>
      <c r="V250" s="45" t="n"/>
      <c r="W250" s="45" t="n"/>
      <c r="X250" s="45" t="n"/>
      <c r="Y250" s="13" t="n"/>
    </row>
    <row r="251" ht="15" customHeight="1">
      <c r="A251" s="13" t="n"/>
      <c r="B251" s="14">
        <f>IF(A251="","",IF(COUNTIF(lst_Jobs,A251&amp;"")&gt;0,"OK","CHECK"))</f>
        <v/>
      </c>
      <c r="C251" s="14">
        <f>IF(A251="","",IFERROR(INDEX(lst_JobName,MATCH(A251&amp;"",lst_Jobs,0)),""))</f>
        <v/>
      </c>
      <c r="D251" s="14">
        <f>IF(A251="","",IFERROR(INDEX(tbl_Finance[Client],MATCH(A251&amp;"",tbl_Finance[Job Number],0)),""))</f>
        <v/>
      </c>
      <c r="E251" s="44">
        <f>IF(A251="","",COUNTIFS(tbl_Finance[Job Number],A251&amp;"",tbl_Finance[Ex GST],"&lt;&gt;"))</f>
        <v/>
      </c>
      <c r="F251" s="16">
        <f>IF(A251="","",SUMIFS(tbl_Finance[Ex GST],tbl_Finance[Job Number],A251&amp;""))</f>
        <v/>
      </c>
      <c r="G251" s="14">
        <f>IF(A251="","",IFERROR(INDEX(tbl_Finance[Cost Centre],MATCH(A251&amp;"",tbl_Finance[Job Number],0)),"not invoiced yet"))</f>
        <v/>
      </c>
      <c r="H251" s="11" t="n"/>
      <c r="I251" s="13" t="n"/>
      <c r="J251" s="13" t="n"/>
      <c r="K251" s="13" t="n"/>
      <c r="L251" s="15" t="n"/>
      <c r="M251" s="16">
        <f>IF(A251="","",F251+N(L251))</f>
        <v/>
      </c>
      <c r="N251" s="46">
        <f>IFERROR(L251/M251,"")</f>
        <v/>
      </c>
      <c r="O251" s="15" t="n"/>
      <c r="P251" s="15" t="n"/>
      <c r="Q251" s="16">
        <f>IF(A251="","",N(O251)+N(P251))</f>
        <v/>
      </c>
      <c r="R251" s="16">
        <f>IF(A251="","",F251-Q251)</f>
        <v/>
      </c>
      <c r="S251" s="46">
        <f>IFERROR(R251/F251,"")</f>
        <v/>
      </c>
      <c r="T251" s="45" t="n"/>
      <c r="U251" s="45" t="n"/>
      <c r="V251" s="45" t="n"/>
      <c r="W251" s="45" t="n"/>
      <c r="X251" s="45" t="n"/>
      <c r="Y251" s="13" t="n"/>
    </row>
    <row r="252" ht="15" customHeight="1">
      <c r="A252" s="13" t="n"/>
      <c r="B252" s="14">
        <f>IF(A252="","",IF(COUNTIF(lst_Jobs,A252&amp;"")&gt;0,"OK","CHECK"))</f>
        <v/>
      </c>
      <c r="C252" s="14">
        <f>IF(A252="","",IFERROR(INDEX(lst_JobName,MATCH(A252&amp;"",lst_Jobs,0)),""))</f>
        <v/>
      </c>
      <c r="D252" s="14">
        <f>IF(A252="","",IFERROR(INDEX(tbl_Finance[Client],MATCH(A252&amp;"",tbl_Finance[Job Number],0)),""))</f>
        <v/>
      </c>
      <c r="E252" s="44">
        <f>IF(A252="","",COUNTIFS(tbl_Finance[Job Number],A252&amp;"",tbl_Finance[Ex GST],"&lt;&gt;"))</f>
        <v/>
      </c>
      <c r="F252" s="16">
        <f>IF(A252="","",SUMIFS(tbl_Finance[Ex GST],tbl_Finance[Job Number],A252&amp;""))</f>
        <v/>
      </c>
      <c r="G252" s="14">
        <f>IF(A252="","",IFERROR(INDEX(tbl_Finance[Cost Centre],MATCH(A252&amp;"",tbl_Finance[Job Number],0)),"not invoiced yet"))</f>
        <v/>
      </c>
      <c r="H252" s="11" t="n"/>
      <c r="I252" s="13" t="n"/>
      <c r="J252" s="13" t="n"/>
      <c r="K252" s="13" t="n"/>
      <c r="L252" s="15" t="n"/>
      <c r="M252" s="16">
        <f>IF(A252="","",F252+N(L252))</f>
        <v/>
      </c>
      <c r="N252" s="46">
        <f>IFERROR(L252/M252,"")</f>
        <v/>
      </c>
      <c r="O252" s="15" t="n"/>
      <c r="P252" s="15" t="n"/>
      <c r="Q252" s="16">
        <f>IF(A252="","",N(O252)+N(P252))</f>
        <v/>
      </c>
      <c r="R252" s="16">
        <f>IF(A252="","",F252-Q252)</f>
        <v/>
      </c>
      <c r="S252" s="46">
        <f>IFERROR(R252/F252,"")</f>
        <v/>
      </c>
      <c r="T252" s="45" t="n"/>
      <c r="U252" s="45" t="n"/>
      <c r="V252" s="45" t="n"/>
      <c r="W252" s="45" t="n"/>
      <c r="X252" s="45" t="n"/>
      <c r="Y252" s="13" t="n"/>
    </row>
    <row r="253" ht="15" customHeight="1">
      <c r="A253" s="13" t="n"/>
      <c r="B253" s="14">
        <f>IF(A253="","",IF(COUNTIF(lst_Jobs,A253&amp;"")&gt;0,"OK","CHECK"))</f>
        <v/>
      </c>
      <c r="C253" s="14">
        <f>IF(A253="","",IFERROR(INDEX(lst_JobName,MATCH(A253&amp;"",lst_Jobs,0)),""))</f>
        <v/>
      </c>
      <c r="D253" s="14">
        <f>IF(A253="","",IFERROR(INDEX(tbl_Finance[Client],MATCH(A253&amp;"",tbl_Finance[Job Number],0)),""))</f>
        <v/>
      </c>
      <c r="E253" s="44">
        <f>IF(A253="","",COUNTIFS(tbl_Finance[Job Number],A253&amp;"",tbl_Finance[Ex GST],"&lt;&gt;"))</f>
        <v/>
      </c>
      <c r="F253" s="16">
        <f>IF(A253="","",SUMIFS(tbl_Finance[Ex GST],tbl_Finance[Job Number],A253&amp;""))</f>
        <v/>
      </c>
      <c r="G253" s="14">
        <f>IF(A253="","",IFERROR(INDEX(tbl_Finance[Cost Centre],MATCH(A253&amp;"",tbl_Finance[Job Number],0)),"not invoiced yet"))</f>
        <v/>
      </c>
      <c r="H253" s="11" t="n"/>
      <c r="I253" s="13" t="n"/>
      <c r="J253" s="13" t="n"/>
      <c r="K253" s="13" t="n"/>
      <c r="L253" s="15" t="n"/>
      <c r="M253" s="16">
        <f>IF(A253="","",F253+N(L253))</f>
        <v/>
      </c>
      <c r="N253" s="46">
        <f>IFERROR(L253/M253,"")</f>
        <v/>
      </c>
      <c r="O253" s="15" t="n"/>
      <c r="P253" s="15" t="n"/>
      <c r="Q253" s="16">
        <f>IF(A253="","",N(O253)+N(P253))</f>
        <v/>
      </c>
      <c r="R253" s="16">
        <f>IF(A253="","",F253-Q253)</f>
        <v/>
      </c>
      <c r="S253" s="46">
        <f>IFERROR(R253/F253,"")</f>
        <v/>
      </c>
      <c r="T253" s="45" t="n"/>
      <c r="U253" s="45" t="n"/>
      <c r="V253" s="45" t="n"/>
      <c r="W253" s="45" t="n"/>
      <c r="X253" s="45" t="n"/>
      <c r="Y253" s="13" t="n"/>
    </row>
    <row r="254" ht="15" customHeight="1">
      <c r="A254" s="13" t="n"/>
      <c r="B254" s="14">
        <f>IF(A254="","",IF(COUNTIF(lst_Jobs,A254&amp;"")&gt;0,"OK","CHECK"))</f>
        <v/>
      </c>
      <c r="C254" s="14">
        <f>IF(A254="","",IFERROR(INDEX(lst_JobName,MATCH(A254&amp;"",lst_Jobs,0)),""))</f>
        <v/>
      </c>
      <c r="D254" s="14">
        <f>IF(A254="","",IFERROR(INDEX(tbl_Finance[Client],MATCH(A254&amp;"",tbl_Finance[Job Number],0)),""))</f>
        <v/>
      </c>
      <c r="E254" s="44">
        <f>IF(A254="","",COUNTIFS(tbl_Finance[Job Number],A254&amp;"",tbl_Finance[Ex GST],"&lt;&gt;"))</f>
        <v/>
      </c>
      <c r="F254" s="16">
        <f>IF(A254="","",SUMIFS(tbl_Finance[Ex GST],tbl_Finance[Job Number],A254&amp;""))</f>
        <v/>
      </c>
      <c r="G254" s="14">
        <f>IF(A254="","",IFERROR(INDEX(tbl_Finance[Cost Centre],MATCH(A254&amp;"",tbl_Finance[Job Number],0)),"not invoiced yet"))</f>
        <v/>
      </c>
      <c r="H254" s="11" t="n"/>
      <c r="I254" s="13" t="n"/>
      <c r="J254" s="13" t="n"/>
      <c r="K254" s="13" t="n"/>
      <c r="L254" s="15" t="n"/>
      <c r="M254" s="16">
        <f>IF(A254="","",F254+N(L254))</f>
        <v/>
      </c>
      <c r="N254" s="46">
        <f>IFERROR(L254/M254,"")</f>
        <v/>
      </c>
      <c r="O254" s="15" t="n"/>
      <c r="P254" s="15" t="n"/>
      <c r="Q254" s="16">
        <f>IF(A254="","",N(O254)+N(P254))</f>
        <v/>
      </c>
      <c r="R254" s="16">
        <f>IF(A254="","",F254-Q254)</f>
        <v/>
      </c>
      <c r="S254" s="46">
        <f>IFERROR(R254/F254,"")</f>
        <v/>
      </c>
      <c r="T254" s="45" t="n"/>
      <c r="U254" s="45" t="n"/>
      <c r="V254" s="45" t="n"/>
      <c r="W254" s="45" t="n"/>
      <c r="X254" s="45" t="n"/>
      <c r="Y254" s="13" t="n"/>
    </row>
    <row r="255" ht="15" customHeight="1">
      <c r="A255" s="13" t="n"/>
      <c r="B255" s="14">
        <f>IF(A255="","",IF(COUNTIF(lst_Jobs,A255&amp;"")&gt;0,"OK","CHECK"))</f>
        <v/>
      </c>
      <c r="C255" s="14">
        <f>IF(A255="","",IFERROR(INDEX(lst_JobName,MATCH(A255&amp;"",lst_Jobs,0)),""))</f>
        <v/>
      </c>
      <c r="D255" s="14">
        <f>IF(A255="","",IFERROR(INDEX(tbl_Finance[Client],MATCH(A255&amp;"",tbl_Finance[Job Number],0)),""))</f>
        <v/>
      </c>
      <c r="E255" s="44">
        <f>IF(A255="","",COUNTIFS(tbl_Finance[Job Number],A255&amp;"",tbl_Finance[Ex GST],"&lt;&gt;"))</f>
        <v/>
      </c>
      <c r="F255" s="16">
        <f>IF(A255="","",SUMIFS(tbl_Finance[Ex GST],tbl_Finance[Job Number],A255&amp;""))</f>
        <v/>
      </c>
      <c r="G255" s="14">
        <f>IF(A255="","",IFERROR(INDEX(tbl_Finance[Cost Centre],MATCH(A255&amp;"",tbl_Finance[Job Number],0)),"not invoiced yet"))</f>
        <v/>
      </c>
      <c r="H255" s="11" t="n"/>
      <c r="I255" s="13" t="n"/>
      <c r="J255" s="13" t="n"/>
      <c r="K255" s="13" t="n"/>
      <c r="L255" s="15" t="n"/>
      <c r="M255" s="16">
        <f>IF(A255="","",F255+N(L255))</f>
        <v/>
      </c>
      <c r="N255" s="46">
        <f>IFERROR(L255/M255,"")</f>
        <v/>
      </c>
      <c r="O255" s="15" t="n"/>
      <c r="P255" s="15" t="n"/>
      <c r="Q255" s="16">
        <f>IF(A255="","",N(O255)+N(P255))</f>
        <v/>
      </c>
      <c r="R255" s="16">
        <f>IF(A255="","",F255-Q255)</f>
        <v/>
      </c>
      <c r="S255" s="46">
        <f>IFERROR(R255/F255,"")</f>
        <v/>
      </c>
      <c r="T255" s="45" t="n"/>
      <c r="U255" s="45" t="n"/>
      <c r="V255" s="45" t="n"/>
      <c r="W255" s="45" t="n"/>
      <c r="X255" s="45" t="n"/>
      <c r="Y255" s="13" t="n"/>
    </row>
    <row r="256" ht="15" customHeight="1">
      <c r="A256" s="13" t="n"/>
      <c r="B256" s="14">
        <f>IF(A256="","",IF(COUNTIF(lst_Jobs,A256&amp;"")&gt;0,"OK","CHECK"))</f>
        <v/>
      </c>
      <c r="C256" s="14">
        <f>IF(A256="","",IFERROR(INDEX(lst_JobName,MATCH(A256&amp;"",lst_Jobs,0)),""))</f>
        <v/>
      </c>
      <c r="D256" s="14">
        <f>IF(A256="","",IFERROR(INDEX(tbl_Finance[Client],MATCH(A256&amp;"",tbl_Finance[Job Number],0)),""))</f>
        <v/>
      </c>
      <c r="E256" s="44">
        <f>IF(A256="","",COUNTIFS(tbl_Finance[Job Number],A256&amp;"",tbl_Finance[Ex GST],"&lt;&gt;"))</f>
        <v/>
      </c>
      <c r="F256" s="16">
        <f>IF(A256="","",SUMIFS(tbl_Finance[Ex GST],tbl_Finance[Job Number],A256&amp;""))</f>
        <v/>
      </c>
      <c r="G256" s="14">
        <f>IF(A256="","",IFERROR(INDEX(tbl_Finance[Cost Centre],MATCH(A256&amp;"",tbl_Finance[Job Number],0)),"not invoiced yet"))</f>
        <v/>
      </c>
      <c r="H256" s="11" t="n"/>
      <c r="I256" s="13" t="n"/>
      <c r="J256" s="13" t="n"/>
      <c r="K256" s="13" t="n"/>
      <c r="L256" s="15" t="n"/>
      <c r="M256" s="16">
        <f>IF(A256="","",F256+N(L256))</f>
        <v/>
      </c>
      <c r="N256" s="46">
        <f>IFERROR(L256/M256,"")</f>
        <v/>
      </c>
      <c r="O256" s="15" t="n"/>
      <c r="P256" s="15" t="n"/>
      <c r="Q256" s="16">
        <f>IF(A256="","",N(O256)+N(P256))</f>
        <v/>
      </c>
      <c r="R256" s="16">
        <f>IF(A256="","",F256-Q256)</f>
        <v/>
      </c>
      <c r="S256" s="46">
        <f>IFERROR(R256/F256,"")</f>
        <v/>
      </c>
      <c r="T256" s="45" t="n"/>
      <c r="U256" s="45" t="n"/>
      <c r="V256" s="45" t="n"/>
      <c r="W256" s="45" t="n"/>
      <c r="X256" s="45" t="n"/>
      <c r="Y256" s="13" t="n"/>
    </row>
    <row r="257" ht="15" customHeight="1">
      <c r="A257" s="13" t="n"/>
      <c r="B257" s="14">
        <f>IF(A257="","",IF(COUNTIF(lst_Jobs,A257&amp;"")&gt;0,"OK","CHECK"))</f>
        <v/>
      </c>
      <c r="C257" s="14">
        <f>IF(A257="","",IFERROR(INDEX(lst_JobName,MATCH(A257&amp;"",lst_Jobs,0)),""))</f>
        <v/>
      </c>
      <c r="D257" s="14">
        <f>IF(A257="","",IFERROR(INDEX(tbl_Finance[Client],MATCH(A257&amp;"",tbl_Finance[Job Number],0)),""))</f>
        <v/>
      </c>
      <c r="E257" s="44">
        <f>IF(A257="","",COUNTIFS(tbl_Finance[Job Number],A257&amp;"",tbl_Finance[Ex GST],"&lt;&gt;"))</f>
        <v/>
      </c>
      <c r="F257" s="16">
        <f>IF(A257="","",SUMIFS(tbl_Finance[Ex GST],tbl_Finance[Job Number],A257&amp;""))</f>
        <v/>
      </c>
      <c r="G257" s="14">
        <f>IF(A257="","",IFERROR(INDEX(tbl_Finance[Cost Centre],MATCH(A257&amp;"",tbl_Finance[Job Number],0)),"not invoiced yet"))</f>
        <v/>
      </c>
      <c r="H257" s="11" t="n"/>
      <c r="I257" s="13" t="n"/>
      <c r="J257" s="13" t="n"/>
      <c r="K257" s="13" t="n"/>
      <c r="L257" s="15" t="n"/>
      <c r="M257" s="16">
        <f>IF(A257="","",F257+N(L257))</f>
        <v/>
      </c>
      <c r="N257" s="46">
        <f>IFERROR(L257/M257,"")</f>
        <v/>
      </c>
      <c r="O257" s="15" t="n"/>
      <c r="P257" s="15" t="n"/>
      <c r="Q257" s="16">
        <f>IF(A257="","",N(O257)+N(P257))</f>
        <v/>
      </c>
      <c r="R257" s="16">
        <f>IF(A257="","",F257-Q257)</f>
        <v/>
      </c>
      <c r="S257" s="46">
        <f>IFERROR(R257/F257,"")</f>
        <v/>
      </c>
      <c r="T257" s="45" t="n"/>
      <c r="U257" s="45" t="n"/>
      <c r="V257" s="45" t="n"/>
      <c r="W257" s="45" t="n"/>
      <c r="X257" s="45" t="n"/>
      <c r="Y257" s="13" t="n"/>
    </row>
    <row r="258" ht="15" customHeight="1">
      <c r="A258" s="13" t="n"/>
      <c r="B258" s="14">
        <f>IF(A258="","",IF(COUNTIF(lst_Jobs,A258&amp;"")&gt;0,"OK","CHECK"))</f>
        <v/>
      </c>
      <c r="C258" s="14">
        <f>IF(A258="","",IFERROR(INDEX(lst_JobName,MATCH(A258&amp;"",lst_Jobs,0)),""))</f>
        <v/>
      </c>
      <c r="D258" s="14">
        <f>IF(A258="","",IFERROR(INDEX(tbl_Finance[Client],MATCH(A258&amp;"",tbl_Finance[Job Number],0)),""))</f>
        <v/>
      </c>
      <c r="E258" s="44">
        <f>IF(A258="","",COUNTIFS(tbl_Finance[Job Number],A258&amp;"",tbl_Finance[Ex GST],"&lt;&gt;"))</f>
        <v/>
      </c>
      <c r="F258" s="16">
        <f>IF(A258="","",SUMIFS(tbl_Finance[Ex GST],tbl_Finance[Job Number],A258&amp;""))</f>
        <v/>
      </c>
      <c r="G258" s="14">
        <f>IF(A258="","",IFERROR(INDEX(tbl_Finance[Cost Centre],MATCH(A258&amp;"",tbl_Finance[Job Number],0)),"not invoiced yet"))</f>
        <v/>
      </c>
      <c r="H258" s="11" t="n"/>
      <c r="I258" s="13" t="n"/>
      <c r="J258" s="13" t="n"/>
      <c r="K258" s="13" t="n"/>
      <c r="L258" s="15" t="n"/>
      <c r="M258" s="16">
        <f>IF(A258="","",F258+N(L258))</f>
        <v/>
      </c>
      <c r="N258" s="46">
        <f>IFERROR(L258/M258,"")</f>
        <v/>
      </c>
      <c r="O258" s="15" t="n"/>
      <c r="P258" s="15" t="n"/>
      <c r="Q258" s="16">
        <f>IF(A258="","",N(O258)+N(P258))</f>
        <v/>
      </c>
      <c r="R258" s="16">
        <f>IF(A258="","",F258-Q258)</f>
        <v/>
      </c>
      <c r="S258" s="46">
        <f>IFERROR(R258/F258,"")</f>
        <v/>
      </c>
      <c r="T258" s="45" t="n"/>
      <c r="U258" s="45" t="n"/>
      <c r="V258" s="45" t="n"/>
      <c r="W258" s="45" t="n"/>
      <c r="X258" s="45" t="n"/>
      <c r="Y258" s="13" t="n"/>
    </row>
    <row r="259" ht="15" customHeight="1">
      <c r="A259" s="13" t="n"/>
      <c r="B259" s="14">
        <f>IF(A259="","",IF(COUNTIF(lst_Jobs,A259&amp;"")&gt;0,"OK","CHECK"))</f>
        <v/>
      </c>
      <c r="C259" s="14">
        <f>IF(A259="","",IFERROR(INDEX(lst_JobName,MATCH(A259&amp;"",lst_Jobs,0)),""))</f>
        <v/>
      </c>
      <c r="D259" s="14">
        <f>IF(A259="","",IFERROR(INDEX(tbl_Finance[Client],MATCH(A259&amp;"",tbl_Finance[Job Number],0)),""))</f>
        <v/>
      </c>
      <c r="E259" s="44">
        <f>IF(A259="","",COUNTIFS(tbl_Finance[Job Number],A259&amp;"",tbl_Finance[Ex GST],"&lt;&gt;"))</f>
        <v/>
      </c>
      <c r="F259" s="16">
        <f>IF(A259="","",SUMIFS(tbl_Finance[Ex GST],tbl_Finance[Job Number],A259&amp;""))</f>
        <v/>
      </c>
      <c r="G259" s="14">
        <f>IF(A259="","",IFERROR(INDEX(tbl_Finance[Cost Centre],MATCH(A259&amp;"",tbl_Finance[Job Number],0)),"not invoiced yet"))</f>
        <v/>
      </c>
      <c r="H259" s="11" t="n"/>
      <c r="I259" s="13" t="n"/>
      <c r="J259" s="13" t="n"/>
      <c r="K259" s="13" t="n"/>
      <c r="L259" s="15" t="n"/>
      <c r="M259" s="16">
        <f>IF(A259="","",F259+N(L259))</f>
        <v/>
      </c>
      <c r="N259" s="46">
        <f>IFERROR(L259/M259,"")</f>
        <v/>
      </c>
      <c r="O259" s="15" t="n"/>
      <c r="P259" s="15" t="n"/>
      <c r="Q259" s="16">
        <f>IF(A259="","",N(O259)+N(P259))</f>
        <v/>
      </c>
      <c r="R259" s="16">
        <f>IF(A259="","",F259-Q259)</f>
        <v/>
      </c>
      <c r="S259" s="46">
        <f>IFERROR(R259/F259,"")</f>
        <v/>
      </c>
      <c r="T259" s="45" t="n"/>
      <c r="U259" s="45" t="n"/>
      <c r="V259" s="45" t="n"/>
      <c r="W259" s="45" t="n"/>
      <c r="X259" s="45" t="n"/>
      <c r="Y259" s="13" t="n"/>
    </row>
    <row r="260" ht="15" customHeight="1">
      <c r="A260" s="13" t="n"/>
      <c r="B260" s="14">
        <f>IF(A260="","",IF(COUNTIF(lst_Jobs,A260&amp;"")&gt;0,"OK","CHECK"))</f>
        <v/>
      </c>
      <c r="C260" s="14">
        <f>IF(A260="","",IFERROR(INDEX(lst_JobName,MATCH(A260&amp;"",lst_Jobs,0)),""))</f>
        <v/>
      </c>
      <c r="D260" s="14">
        <f>IF(A260="","",IFERROR(INDEX(tbl_Finance[Client],MATCH(A260&amp;"",tbl_Finance[Job Number],0)),""))</f>
        <v/>
      </c>
      <c r="E260" s="44">
        <f>IF(A260="","",COUNTIFS(tbl_Finance[Job Number],A260&amp;"",tbl_Finance[Ex GST],"&lt;&gt;"))</f>
        <v/>
      </c>
      <c r="F260" s="16">
        <f>IF(A260="","",SUMIFS(tbl_Finance[Ex GST],tbl_Finance[Job Number],A260&amp;""))</f>
        <v/>
      </c>
      <c r="G260" s="14">
        <f>IF(A260="","",IFERROR(INDEX(tbl_Finance[Cost Centre],MATCH(A260&amp;"",tbl_Finance[Job Number],0)),"not invoiced yet"))</f>
        <v/>
      </c>
      <c r="H260" s="11" t="n"/>
      <c r="I260" s="13" t="n"/>
      <c r="J260" s="13" t="n"/>
      <c r="K260" s="13" t="n"/>
      <c r="L260" s="15" t="n"/>
      <c r="M260" s="16">
        <f>IF(A260="","",F260+N(L260))</f>
        <v/>
      </c>
      <c r="N260" s="46">
        <f>IFERROR(L260/M260,"")</f>
        <v/>
      </c>
      <c r="O260" s="15" t="n"/>
      <c r="P260" s="15" t="n"/>
      <c r="Q260" s="16">
        <f>IF(A260="","",N(O260)+N(P260))</f>
        <v/>
      </c>
      <c r="R260" s="16">
        <f>IF(A260="","",F260-Q260)</f>
        <v/>
      </c>
      <c r="S260" s="46">
        <f>IFERROR(R260/F260,"")</f>
        <v/>
      </c>
      <c r="T260" s="45" t="n"/>
      <c r="U260" s="45" t="n"/>
      <c r="V260" s="45" t="n"/>
      <c r="W260" s="45" t="n"/>
      <c r="X260" s="45" t="n"/>
      <c r="Y260" s="13" t="n"/>
    </row>
    <row r="261" ht="15" customHeight="1">
      <c r="A261" s="13" t="n"/>
      <c r="B261" s="14">
        <f>IF(A261="","",IF(COUNTIF(lst_Jobs,A261&amp;"")&gt;0,"OK","CHECK"))</f>
        <v/>
      </c>
      <c r="C261" s="14">
        <f>IF(A261="","",IFERROR(INDEX(lst_JobName,MATCH(A261&amp;"",lst_Jobs,0)),""))</f>
        <v/>
      </c>
      <c r="D261" s="14">
        <f>IF(A261="","",IFERROR(INDEX(tbl_Finance[Client],MATCH(A261&amp;"",tbl_Finance[Job Number],0)),""))</f>
        <v/>
      </c>
      <c r="E261" s="44">
        <f>IF(A261="","",COUNTIFS(tbl_Finance[Job Number],A261&amp;"",tbl_Finance[Ex GST],"&lt;&gt;"))</f>
        <v/>
      </c>
      <c r="F261" s="16">
        <f>IF(A261="","",SUMIFS(tbl_Finance[Ex GST],tbl_Finance[Job Number],A261&amp;""))</f>
        <v/>
      </c>
      <c r="G261" s="14">
        <f>IF(A261="","",IFERROR(INDEX(tbl_Finance[Cost Centre],MATCH(A261&amp;"",tbl_Finance[Job Number],0)),"not invoiced yet"))</f>
        <v/>
      </c>
      <c r="H261" s="11" t="n"/>
      <c r="I261" s="13" t="n"/>
      <c r="J261" s="13" t="n"/>
      <c r="K261" s="13" t="n"/>
      <c r="L261" s="15" t="n"/>
      <c r="M261" s="16">
        <f>IF(A261="","",F261+N(L261))</f>
        <v/>
      </c>
      <c r="N261" s="46">
        <f>IFERROR(L261/M261,"")</f>
        <v/>
      </c>
      <c r="O261" s="15" t="n"/>
      <c r="P261" s="15" t="n"/>
      <c r="Q261" s="16">
        <f>IF(A261="","",N(O261)+N(P261))</f>
        <v/>
      </c>
      <c r="R261" s="16">
        <f>IF(A261="","",F261-Q261)</f>
        <v/>
      </c>
      <c r="S261" s="46">
        <f>IFERROR(R261/F261,"")</f>
        <v/>
      </c>
      <c r="T261" s="45" t="n"/>
      <c r="U261" s="45" t="n"/>
      <c r="V261" s="45" t="n"/>
      <c r="W261" s="45" t="n"/>
      <c r="X261" s="45" t="n"/>
      <c r="Y261" s="13" t="n"/>
    </row>
    <row r="262" ht="15" customHeight="1">
      <c r="A262" s="13" t="n"/>
      <c r="B262" s="14">
        <f>IF(A262="","",IF(COUNTIF(lst_Jobs,A262&amp;"")&gt;0,"OK","CHECK"))</f>
        <v/>
      </c>
      <c r="C262" s="14">
        <f>IF(A262="","",IFERROR(INDEX(lst_JobName,MATCH(A262&amp;"",lst_Jobs,0)),""))</f>
        <v/>
      </c>
      <c r="D262" s="14">
        <f>IF(A262="","",IFERROR(INDEX(tbl_Finance[Client],MATCH(A262&amp;"",tbl_Finance[Job Number],0)),""))</f>
        <v/>
      </c>
      <c r="E262" s="44">
        <f>IF(A262="","",COUNTIFS(tbl_Finance[Job Number],A262&amp;"",tbl_Finance[Ex GST],"&lt;&gt;"))</f>
        <v/>
      </c>
      <c r="F262" s="16">
        <f>IF(A262="","",SUMIFS(tbl_Finance[Ex GST],tbl_Finance[Job Number],A262&amp;""))</f>
        <v/>
      </c>
      <c r="G262" s="14">
        <f>IF(A262="","",IFERROR(INDEX(tbl_Finance[Cost Centre],MATCH(A262&amp;"",tbl_Finance[Job Number],0)),"not invoiced yet"))</f>
        <v/>
      </c>
      <c r="H262" s="11" t="n"/>
      <c r="I262" s="13" t="n"/>
      <c r="J262" s="13" t="n"/>
      <c r="K262" s="13" t="n"/>
      <c r="L262" s="15" t="n"/>
      <c r="M262" s="16">
        <f>IF(A262="","",F262+N(L262))</f>
        <v/>
      </c>
      <c r="N262" s="46">
        <f>IFERROR(L262/M262,"")</f>
        <v/>
      </c>
      <c r="O262" s="15" t="n"/>
      <c r="P262" s="15" t="n"/>
      <c r="Q262" s="16">
        <f>IF(A262="","",N(O262)+N(P262))</f>
        <v/>
      </c>
      <c r="R262" s="16">
        <f>IF(A262="","",F262-Q262)</f>
        <v/>
      </c>
      <c r="S262" s="46">
        <f>IFERROR(R262/F262,"")</f>
        <v/>
      </c>
      <c r="T262" s="45" t="n"/>
      <c r="U262" s="45" t="n"/>
      <c r="V262" s="45" t="n"/>
      <c r="W262" s="45" t="n"/>
      <c r="X262" s="45" t="n"/>
      <c r="Y262" s="13" t="n"/>
    </row>
    <row r="263" ht="15" customHeight="1">
      <c r="A263" s="13" t="n"/>
      <c r="B263" s="14">
        <f>IF(A263="","",IF(COUNTIF(lst_Jobs,A263&amp;"")&gt;0,"OK","CHECK"))</f>
        <v/>
      </c>
      <c r="C263" s="14">
        <f>IF(A263="","",IFERROR(INDEX(lst_JobName,MATCH(A263&amp;"",lst_Jobs,0)),""))</f>
        <v/>
      </c>
      <c r="D263" s="14">
        <f>IF(A263="","",IFERROR(INDEX(tbl_Finance[Client],MATCH(A263&amp;"",tbl_Finance[Job Number],0)),""))</f>
        <v/>
      </c>
      <c r="E263" s="44">
        <f>IF(A263="","",COUNTIFS(tbl_Finance[Job Number],A263&amp;"",tbl_Finance[Ex GST],"&lt;&gt;"))</f>
        <v/>
      </c>
      <c r="F263" s="16">
        <f>IF(A263="","",SUMIFS(tbl_Finance[Ex GST],tbl_Finance[Job Number],A263&amp;""))</f>
        <v/>
      </c>
      <c r="G263" s="14">
        <f>IF(A263="","",IFERROR(INDEX(tbl_Finance[Cost Centre],MATCH(A263&amp;"",tbl_Finance[Job Number],0)),"not invoiced yet"))</f>
        <v/>
      </c>
      <c r="H263" s="11" t="n"/>
      <c r="I263" s="13" t="n"/>
      <c r="J263" s="13" t="n"/>
      <c r="K263" s="13" t="n"/>
      <c r="L263" s="15" t="n"/>
      <c r="M263" s="16">
        <f>IF(A263="","",F263+N(L263))</f>
        <v/>
      </c>
      <c r="N263" s="46">
        <f>IFERROR(L263/M263,"")</f>
        <v/>
      </c>
      <c r="O263" s="15" t="n"/>
      <c r="P263" s="15" t="n"/>
      <c r="Q263" s="16">
        <f>IF(A263="","",N(O263)+N(P263))</f>
        <v/>
      </c>
      <c r="R263" s="16">
        <f>IF(A263="","",F263-Q263)</f>
        <v/>
      </c>
      <c r="S263" s="46">
        <f>IFERROR(R263/F263,"")</f>
        <v/>
      </c>
      <c r="T263" s="45" t="n"/>
      <c r="U263" s="45" t="n"/>
      <c r="V263" s="45" t="n"/>
      <c r="W263" s="45" t="n"/>
      <c r="X263" s="45" t="n"/>
      <c r="Y263" s="13" t="n"/>
    </row>
    <row r="264" ht="15" customHeight="1">
      <c r="A264" s="13" t="n"/>
      <c r="B264" s="14">
        <f>IF(A264="","",IF(COUNTIF(lst_Jobs,A264&amp;"")&gt;0,"OK","CHECK"))</f>
        <v/>
      </c>
      <c r="C264" s="14">
        <f>IF(A264="","",IFERROR(INDEX(lst_JobName,MATCH(A264&amp;"",lst_Jobs,0)),""))</f>
        <v/>
      </c>
      <c r="D264" s="14">
        <f>IF(A264="","",IFERROR(INDEX(tbl_Finance[Client],MATCH(A264&amp;"",tbl_Finance[Job Number],0)),""))</f>
        <v/>
      </c>
      <c r="E264" s="44">
        <f>IF(A264="","",COUNTIFS(tbl_Finance[Job Number],A264&amp;"",tbl_Finance[Ex GST],"&lt;&gt;"))</f>
        <v/>
      </c>
      <c r="F264" s="16">
        <f>IF(A264="","",SUMIFS(tbl_Finance[Ex GST],tbl_Finance[Job Number],A264&amp;""))</f>
        <v/>
      </c>
      <c r="G264" s="14">
        <f>IF(A264="","",IFERROR(INDEX(tbl_Finance[Cost Centre],MATCH(A264&amp;"",tbl_Finance[Job Number],0)),"not invoiced yet"))</f>
        <v/>
      </c>
      <c r="H264" s="11" t="n"/>
      <c r="I264" s="13" t="n"/>
      <c r="J264" s="13" t="n"/>
      <c r="K264" s="13" t="n"/>
      <c r="L264" s="15" t="n"/>
      <c r="M264" s="16">
        <f>IF(A264="","",F264+N(L264))</f>
        <v/>
      </c>
      <c r="N264" s="46">
        <f>IFERROR(L264/M264,"")</f>
        <v/>
      </c>
      <c r="O264" s="15" t="n"/>
      <c r="P264" s="15" t="n"/>
      <c r="Q264" s="16">
        <f>IF(A264="","",N(O264)+N(P264))</f>
        <v/>
      </c>
      <c r="R264" s="16">
        <f>IF(A264="","",F264-Q264)</f>
        <v/>
      </c>
      <c r="S264" s="46">
        <f>IFERROR(R264/F264,"")</f>
        <v/>
      </c>
      <c r="T264" s="45" t="n"/>
      <c r="U264" s="45" t="n"/>
      <c r="V264" s="45" t="n"/>
      <c r="W264" s="45" t="n"/>
      <c r="X264" s="45" t="n"/>
      <c r="Y264" s="13" t="n"/>
    </row>
    <row r="265" ht="15" customHeight="1">
      <c r="A265" s="13" t="n"/>
      <c r="B265" s="14">
        <f>IF(A265="","",IF(COUNTIF(lst_Jobs,A265&amp;"")&gt;0,"OK","CHECK"))</f>
        <v/>
      </c>
      <c r="C265" s="14">
        <f>IF(A265="","",IFERROR(INDEX(lst_JobName,MATCH(A265&amp;"",lst_Jobs,0)),""))</f>
        <v/>
      </c>
      <c r="D265" s="14">
        <f>IF(A265="","",IFERROR(INDEX(tbl_Finance[Client],MATCH(A265&amp;"",tbl_Finance[Job Number],0)),""))</f>
        <v/>
      </c>
      <c r="E265" s="44">
        <f>IF(A265="","",COUNTIFS(tbl_Finance[Job Number],A265&amp;"",tbl_Finance[Ex GST],"&lt;&gt;"))</f>
        <v/>
      </c>
      <c r="F265" s="16">
        <f>IF(A265="","",SUMIFS(tbl_Finance[Ex GST],tbl_Finance[Job Number],A265&amp;""))</f>
        <v/>
      </c>
      <c r="G265" s="14">
        <f>IF(A265="","",IFERROR(INDEX(tbl_Finance[Cost Centre],MATCH(A265&amp;"",tbl_Finance[Job Number],0)),"not invoiced yet"))</f>
        <v/>
      </c>
      <c r="H265" s="11" t="n"/>
      <c r="I265" s="13" t="n"/>
      <c r="J265" s="13" t="n"/>
      <c r="K265" s="13" t="n"/>
      <c r="L265" s="15" t="n"/>
      <c r="M265" s="16">
        <f>IF(A265="","",F265+N(L265))</f>
        <v/>
      </c>
      <c r="N265" s="46">
        <f>IFERROR(L265/M265,"")</f>
        <v/>
      </c>
      <c r="O265" s="15" t="n"/>
      <c r="P265" s="15" t="n"/>
      <c r="Q265" s="16">
        <f>IF(A265="","",N(O265)+N(P265))</f>
        <v/>
      </c>
      <c r="R265" s="16">
        <f>IF(A265="","",F265-Q265)</f>
        <v/>
      </c>
      <c r="S265" s="46">
        <f>IFERROR(R265/F265,"")</f>
        <v/>
      </c>
      <c r="T265" s="45" t="n"/>
      <c r="U265" s="45" t="n"/>
      <c r="V265" s="45" t="n"/>
      <c r="W265" s="45" t="n"/>
      <c r="X265" s="45" t="n"/>
      <c r="Y265" s="13" t="n"/>
    </row>
    <row r="266" ht="15" customHeight="1">
      <c r="A266" s="13" t="n"/>
      <c r="B266" s="14">
        <f>IF(A266="","",IF(COUNTIF(lst_Jobs,A266&amp;"")&gt;0,"OK","CHECK"))</f>
        <v/>
      </c>
      <c r="C266" s="14">
        <f>IF(A266="","",IFERROR(INDEX(lst_JobName,MATCH(A266&amp;"",lst_Jobs,0)),""))</f>
        <v/>
      </c>
      <c r="D266" s="14">
        <f>IF(A266="","",IFERROR(INDEX(tbl_Finance[Client],MATCH(A266&amp;"",tbl_Finance[Job Number],0)),""))</f>
        <v/>
      </c>
      <c r="E266" s="44">
        <f>IF(A266="","",COUNTIFS(tbl_Finance[Job Number],A266&amp;"",tbl_Finance[Ex GST],"&lt;&gt;"))</f>
        <v/>
      </c>
      <c r="F266" s="16">
        <f>IF(A266="","",SUMIFS(tbl_Finance[Ex GST],tbl_Finance[Job Number],A266&amp;""))</f>
        <v/>
      </c>
      <c r="G266" s="14">
        <f>IF(A266="","",IFERROR(INDEX(tbl_Finance[Cost Centre],MATCH(A266&amp;"",tbl_Finance[Job Number],0)),"not invoiced yet"))</f>
        <v/>
      </c>
      <c r="H266" s="11" t="n"/>
      <c r="I266" s="13" t="n"/>
      <c r="J266" s="13" t="n"/>
      <c r="K266" s="13" t="n"/>
      <c r="L266" s="15" t="n"/>
      <c r="M266" s="16">
        <f>IF(A266="","",F266+N(L266))</f>
        <v/>
      </c>
      <c r="N266" s="46">
        <f>IFERROR(L266/M266,"")</f>
        <v/>
      </c>
      <c r="O266" s="15" t="n"/>
      <c r="P266" s="15" t="n"/>
      <c r="Q266" s="16">
        <f>IF(A266="","",N(O266)+N(P266))</f>
        <v/>
      </c>
      <c r="R266" s="16">
        <f>IF(A266="","",F266-Q266)</f>
        <v/>
      </c>
      <c r="S266" s="46">
        <f>IFERROR(R266/F266,"")</f>
        <v/>
      </c>
      <c r="T266" s="45" t="n"/>
      <c r="U266" s="45" t="n"/>
      <c r="V266" s="45" t="n"/>
      <c r="W266" s="45" t="n"/>
      <c r="X266" s="45" t="n"/>
      <c r="Y266" s="13" t="n"/>
    </row>
    <row r="267" ht="15" customHeight="1">
      <c r="A267" s="13" t="n"/>
      <c r="B267" s="14">
        <f>IF(A267="","",IF(COUNTIF(lst_Jobs,A267&amp;"")&gt;0,"OK","CHECK"))</f>
        <v/>
      </c>
      <c r="C267" s="14">
        <f>IF(A267="","",IFERROR(INDEX(lst_JobName,MATCH(A267&amp;"",lst_Jobs,0)),""))</f>
        <v/>
      </c>
      <c r="D267" s="14">
        <f>IF(A267="","",IFERROR(INDEX(tbl_Finance[Client],MATCH(A267&amp;"",tbl_Finance[Job Number],0)),""))</f>
        <v/>
      </c>
      <c r="E267" s="44">
        <f>IF(A267="","",COUNTIFS(tbl_Finance[Job Number],A267&amp;"",tbl_Finance[Ex GST],"&lt;&gt;"))</f>
        <v/>
      </c>
      <c r="F267" s="16">
        <f>IF(A267="","",SUMIFS(tbl_Finance[Ex GST],tbl_Finance[Job Number],A267&amp;""))</f>
        <v/>
      </c>
      <c r="G267" s="14">
        <f>IF(A267="","",IFERROR(INDEX(tbl_Finance[Cost Centre],MATCH(A267&amp;"",tbl_Finance[Job Number],0)),"not invoiced yet"))</f>
        <v/>
      </c>
      <c r="H267" s="11" t="n"/>
      <c r="I267" s="13" t="n"/>
      <c r="J267" s="13" t="n"/>
      <c r="K267" s="13" t="n"/>
      <c r="L267" s="15" t="n"/>
      <c r="M267" s="16">
        <f>IF(A267="","",F267+N(L267))</f>
        <v/>
      </c>
      <c r="N267" s="46">
        <f>IFERROR(L267/M267,"")</f>
        <v/>
      </c>
      <c r="O267" s="15" t="n"/>
      <c r="P267" s="15" t="n"/>
      <c r="Q267" s="16">
        <f>IF(A267="","",N(O267)+N(P267))</f>
        <v/>
      </c>
      <c r="R267" s="16">
        <f>IF(A267="","",F267-Q267)</f>
        <v/>
      </c>
      <c r="S267" s="46">
        <f>IFERROR(R267/F267,"")</f>
        <v/>
      </c>
      <c r="T267" s="45" t="n"/>
      <c r="U267" s="45" t="n"/>
      <c r="V267" s="45" t="n"/>
      <c r="W267" s="45" t="n"/>
      <c r="X267" s="45" t="n"/>
      <c r="Y267" s="13" t="n"/>
    </row>
    <row r="268" ht="15" customHeight="1">
      <c r="A268" s="13" t="n"/>
      <c r="B268" s="14">
        <f>IF(A268="","",IF(COUNTIF(lst_Jobs,A268&amp;"")&gt;0,"OK","CHECK"))</f>
        <v/>
      </c>
      <c r="C268" s="14">
        <f>IF(A268="","",IFERROR(INDEX(lst_JobName,MATCH(A268&amp;"",lst_Jobs,0)),""))</f>
        <v/>
      </c>
      <c r="D268" s="14">
        <f>IF(A268="","",IFERROR(INDEX(tbl_Finance[Client],MATCH(A268&amp;"",tbl_Finance[Job Number],0)),""))</f>
        <v/>
      </c>
      <c r="E268" s="44">
        <f>IF(A268="","",COUNTIFS(tbl_Finance[Job Number],A268&amp;"",tbl_Finance[Ex GST],"&lt;&gt;"))</f>
        <v/>
      </c>
      <c r="F268" s="16">
        <f>IF(A268="","",SUMIFS(tbl_Finance[Ex GST],tbl_Finance[Job Number],A268&amp;""))</f>
        <v/>
      </c>
      <c r="G268" s="14">
        <f>IF(A268="","",IFERROR(INDEX(tbl_Finance[Cost Centre],MATCH(A268&amp;"",tbl_Finance[Job Number],0)),"not invoiced yet"))</f>
        <v/>
      </c>
      <c r="H268" s="11" t="n"/>
      <c r="I268" s="13" t="n"/>
      <c r="J268" s="13" t="n"/>
      <c r="K268" s="13" t="n"/>
      <c r="L268" s="15" t="n"/>
      <c r="M268" s="16">
        <f>IF(A268="","",F268+N(L268))</f>
        <v/>
      </c>
      <c r="N268" s="46">
        <f>IFERROR(L268/M268,"")</f>
        <v/>
      </c>
      <c r="O268" s="15" t="n"/>
      <c r="P268" s="15" t="n"/>
      <c r="Q268" s="16">
        <f>IF(A268="","",N(O268)+N(P268))</f>
        <v/>
      </c>
      <c r="R268" s="16">
        <f>IF(A268="","",F268-Q268)</f>
        <v/>
      </c>
      <c r="S268" s="46">
        <f>IFERROR(R268/F268,"")</f>
        <v/>
      </c>
      <c r="T268" s="45" t="n"/>
      <c r="U268" s="45" t="n"/>
      <c r="V268" s="45" t="n"/>
      <c r="W268" s="45" t="n"/>
      <c r="X268" s="45" t="n"/>
      <c r="Y268" s="13" t="n"/>
    </row>
    <row r="269" ht="15" customHeight="1">
      <c r="A269" s="13" t="n"/>
      <c r="B269" s="14">
        <f>IF(A269="","",IF(COUNTIF(lst_Jobs,A269&amp;"")&gt;0,"OK","CHECK"))</f>
        <v/>
      </c>
      <c r="C269" s="14">
        <f>IF(A269="","",IFERROR(INDEX(lst_JobName,MATCH(A269&amp;"",lst_Jobs,0)),""))</f>
        <v/>
      </c>
      <c r="D269" s="14">
        <f>IF(A269="","",IFERROR(INDEX(tbl_Finance[Client],MATCH(A269&amp;"",tbl_Finance[Job Number],0)),""))</f>
        <v/>
      </c>
      <c r="E269" s="44">
        <f>IF(A269="","",COUNTIFS(tbl_Finance[Job Number],A269&amp;"",tbl_Finance[Ex GST],"&lt;&gt;"))</f>
        <v/>
      </c>
      <c r="F269" s="16">
        <f>IF(A269="","",SUMIFS(tbl_Finance[Ex GST],tbl_Finance[Job Number],A269&amp;""))</f>
        <v/>
      </c>
      <c r="G269" s="14">
        <f>IF(A269="","",IFERROR(INDEX(tbl_Finance[Cost Centre],MATCH(A269&amp;"",tbl_Finance[Job Number],0)),"not invoiced yet"))</f>
        <v/>
      </c>
      <c r="H269" s="11" t="n"/>
      <c r="I269" s="13" t="n"/>
      <c r="J269" s="13" t="n"/>
      <c r="K269" s="13" t="n"/>
      <c r="L269" s="15" t="n"/>
      <c r="M269" s="16">
        <f>IF(A269="","",F269+N(L269))</f>
        <v/>
      </c>
      <c r="N269" s="46">
        <f>IFERROR(L269/M269,"")</f>
        <v/>
      </c>
      <c r="O269" s="15" t="n"/>
      <c r="P269" s="15" t="n"/>
      <c r="Q269" s="16">
        <f>IF(A269="","",N(O269)+N(P269))</f>
        <v/>
      </c>
      <c r="R269" s="16">
        <f>IF(A269="","",F269-Q269)</f>
        <v/>
      </c>
      <c r="S269" s="46">
        <f>IFERROR(R269/F269,"")</f>
        <v/>
      </c>
      <c r="T269" s="45" t="n"/>
      <c r="U269" s="45" t="n"/>
      <c r="V269" s="45" t="n"/>
      <c r="W269" s="45" t="n"/>
      <c r="X269" s="45" t="n"/>
      <c r="Y269" s="13" t="n"/>
    </row>
    <row r="270" ht="15" customHeight="1">
      <c r="A270" s="13" t="n"/>
      <c r="B270" s="14">
        <f>IF(A270="","",IF(COUNTIF(lst_Jobs,A270&amp;"")&gt;0,"OK","CHECK"))</f>
        <v/>
      </c>
      <c r="C270" s="14">
        <f>IF(A270="","",IFERROR(INDEX(lst_JobName,MATCH(A270&amp;"",lst_Jobs,0)),""))</f>
        <v/>
      </c>
      <c r="D270" s="14">
        <f>IF(A270="","",IFERROR(INDEX(tbl_Finance[Client],MATCH(A270&amp;"",tbl_Finance[Job Number],0)),""))</f>
        <v/>
      </c>
      <c r="E270" s="44">
        <f>IF(A270="","",COUNTIFS(tbl_Finance[Job Number],A270&amp;"",tbl_Finance[Ex GST],"&lt;&gt;"))</f>
        <v/>
      </c>
      <c r="F270" s="16">
        <f>IF(A270="","",SUMIFS(tbl_Finance[Ex GST],tbl_Finance[Job Number],A270&amp;""))</f>
        <v/>
      </c>
      <c r="G270" s="14">
        <f>IF(A270="","",IFERROR(INDEX(tbl_Finance[Cost Centre],MATCH(A270&amp;"",tbl_Finance[Job Number],0)),"not invoiced yet"))</f>
        <v/>
      </c>
      <c r="H270" s="11" t="n"/>
      <c r="I270" s="13" t="n"/>
      <c r="J270" s="13" t="n"/>
      <c r="K270" s="13" t="n"/>
      <c r="L270" s="15" t="n"/>
      <c r="M270" s="16">
        <f>IF(A270="","",F270+N(L270))</f>
        <v/>
      </c>
      <c r="N270" s="46">
        <f>IFERROR(L270/M270,"")</f>
        <v/>
      </c>
      <c r="O270" s="15" t="n"/>
      <c r="P270" s="15" t="n"/>
      <c r="Q270" s="16">
        <f>IF(A270="","",N(O270)+N(P270))</f>
        <v/>
      </c>
      <c r="R270" s="16">
        <f>IF(A270="","",F270-Q270)</f>
        <v/>
      </c>
      <c r="S270" s="46">
        <f>IFERROR(R270/F270,"")</f>
        <v/>
      </c>
      <c r="T270" s="45" t="n"/>
      <c r="U270" s="45" t="n"/>
      <c r="V270" s="45" t="n"/>
      <c r="W270" s="45" t="n"/>
      <c r="X270" s="45" t="n"/>
      <c r="Y270" s="13" t="n"/>
    </row>
    <row r="271" ht="15" customHeight="1">
      <c r="A271" s="13" t="n"/>
      <c r="B271" s="14">
        <f>IF(A271="","",IF(COUNTIF(lst_Jobs,A271&amp;"")&gt;0,"OK","CHECK"))</f>
        <v/>
      </c>
      <c r="C271" s="14">
        <f>IF(A271="","",IFERROR(INDEX(lst_JobName,MATCH(A271&amp;"",lst_Jobs,0)),""))</f>
        <v/>
      </c>
      <c r="D271" s="14">
        <f>IF(A271="","",IFERROR(INDEX(tbl_Finance[Client],MATCH(A271&amp;"",tbl_Finance[Job Number],0)),""))</f>
        <v/>
      </c>
      <c r="E271" s="44">
        <f>IF(A271="","",COUNTIFS(tbl_Finance[Job Number],A271&amp;"",tbl_Finance[Ex GST],"&lt;&gt;"))</f>
        <v/>
      </c>
      <c r="F271" s="16">
        <f>IF(A271="","",SUMIFS(tbl_Finance[Ex GST],tbl_Finance[Job Number],A271&amp;""))</f>
        <v/>
      </c>
      <c r="G271" s="14">
        <f>IF(A271="","",IFERROR(INDEX(tbl_Finance[Cost Centre],MATCH(A271&amp;"",tbl_Finance[Job Number],0)),"not invoiced yet"))</f>
        <v/>
      </c>
      <c r="H271" s="11" t="n"/>
      <c r="I271" s="13" t="n"/>
      <c r="J271" s="13" t="n"/>
      <c r="K271" s="13" t="n"/>
      <c r="L271" s="15" t="n"/>
      <c r="M271" s="16">
        <f>IF(A271="","",F271+N(L271))</f>
        <v/>
      </c>
      <c r="N271" s="46">
        <f>IFERROR(L271/M271,"")</f>
        <v/>
      </c>
      <c r="O271" s="15" t="n"/>
      <c r="P271" s="15" t="n"/>
      <c r="Q271" s="16">
        <f>IF(A271="","",N(O271)+N(P271))</f>
        <v/>
      </c>
      <c r="R271" s="16">
        <f>IF(A271="","",F271-Q271)</f>
        <v/>
      </c>
      <c r="S271" s="46">
        <f>IFERROR(R271/F271,"")</f>
        <v/>
      </c>
      <c r="T271" s="45" t="n"/>
      <c r="U271" s="45" t="n"/>
      <c r="V271" s="45" t="n"/>
      <c r="W271" s="45" t="n"/>
      <c r="X271" s="45" t="n"/>
      <c r="Y271" s="13" t="n"/>
    </row>
    <row r="272" ht="15" customHeight="1">
      <c r="A272" s="13" t="n"/>
      <c r="B272" s="14">
        <f>IF(A272="","",IF(COUNTIF(lst_Jobs,A272&amp;"")&gt;0,"OK","CHECK"))</f>
        <v/>
      </c>
      <c r="C272" s="14">
        <f>IF(A272="","",IFERROR(INDEX(lst_JobName,MATCH(A272&amp;"",lst_Jobs,0)),""))</f>
        <v/>
      </c>
      <c r="D272" s="14">
        <f>IF(A272="","",IFERROR(INDEX(tbl_Finance[Client],MATCH(A272&amp;"",tbl_Finance[Job Number],0)),""))</f>
        <v/>
      </c>
      <c r="E272" s="44">
        <f>IF(A272="","",COUNTIFS(tbl_Finance[Job Number],A272&amp;"",tbl_Finance[Ex GST],"&lt;&gt;"))</f>
        <v/>
      </c>
      <c r="F272" s="16">
        <f>IF(A272="","",SUMIFS(tbl_Finance[Ex GST],tbl_Finance[Job Number],A272&amp;""))</f>
        <v/>
      </c>
      <c r="G272" s="14">
        <f>IF(A272="","",IFERROR(INDEX(tbl_Finance[Cost Centre],MATCH(A272&amp;"",tbl_Finance[Job Number],0)),"not invoiced yet"))</f>
        <v/>
      </c>
      <c r="H272" s="11" t="n"/>
      <c r="I272" s="13" t="n"/>
      <c r="J272" s="13" t="n"/>
      <c r="K272" s="13" t="n"/>
      <c r="L272" s="15" t="n"/>
      <c r="M272" s="16">
        <f>IF(A272="","",F272+N(L272))</f>
        <v/>
      </c>
      <c r="N272" s="46">
        <f>IFERROR(L272/M272,"")</f>
        <v/>
      </c>
      <c r="O272" s="15" t="n"/>
      <c r="P272" s="15" t="n"/>
      <c r="Q272" s="16">
        <f>IF(A272="","",N(O272)+N(P272))</f>
        <v/>
      </c>
      <c r="R272" s="16">
        <f>IF(A272="","",F272-Q272)</f>
        <v/>
      </c>
      <c r="S272" s="46">
        <f>IFERROR(R272/F272,"")</f>
        <v/>
      </c>
      <c r="T272" s="45" t="n"/>
      <c r="U272" s="45" t="n"/>
      <c r="V272" s="45" t="n"/>
      <c r="W272" s="45" t="n"/>
      <c r="X272" s="45" t="n"/>
      <c r="Y272" s="13" t="n"/>
    </row>
    <row r="273" ht="15" customHeight="1">
      <c r="A273" s="13" t="n"/>
      <c r="B273" s="14">
        <f>IF(A273="","",IF(COUNTIF(lst_Jobs,A273&amp;"")&gt;0,"OK","CHECK"))</f>
        <v/>
      </c>
      <c r="C273" s="14">
        <f>IF(A273="","",IFERROR(INDEX(lst_JobName,MATCH(A273&amp;"",lst_Jobs,0)),""))</f>
        <v/>
      </c>
      <c r="D273" s="14">
        <f>IF(A273="","",IFERROR(INDEX(tbl_Finance[Client],MATCH(A273&amp;"",tbl_Finance[Job Number],0)),""))</f>
        <v/>
      </c>
      <c r="E273" s="44">
        <f>IF(A273="","",COUNTIFS(tbl_Finance[Job Number],A273&amp;"",tbl_Finance[Ex GST],"&lt;&gt;"))</f>
        <v/>
      </c>
      <c r="F273" s="16">
        <f>IF(A273="","",SUMIFS(tbl_Finance[Ex GST],tbl_Finance[Job Number],A273&amp;""))</f>
        <v/>
      </c>
      <c r="G273" s="14">
        <f>IF(A273="","",IFERROR(INDEX(tbl_Finance[Cost Centre],MATCH(A273&amp;"",tbl_Finance[Job Number],0)),"not invoiced yet"))</f>
        <v/>
      </c>
      <c r="H273" s="11" t="n"/>
      <c r="I273" s="13" t="n"/>
      <c r="J273" s="13" t="n"/>
      <c r="K273" s="13" t="n"/>
      <c r="L273" s="15" t="n"/>
      <c r="M273" s="16">
        <f>IF(A273="","",F273+N(L273))</f>
        <v/>
      </c>
      <c r="N273" s="46">
        <f>IFERROR(L273/M273,"")</f>
        <v/>
      </c>
      <c r="O273" s="15" t="n"/>
      <c r="P273" s="15" t="n"/>
      <c r="Q273" s="16">
        <f>IF(A273="","",N(O273)+N(P273))</f>
        <v/>
      </c>
      <c r="R273" s="16">
        <f>IF(A273="","",F273-Q273)</f>
        <v/>
      </c>
      <c r="S273" s="46">
        <f>IFERROR(R273/F273,"")</f>
        <v/>
      </c>
      <c r="T273" s="45" t="n"/>
      <c r="U273" s="45" t="n"/>
      <c r="V273" s="45" t="n"/>
      <c r="W273" s="45" t="n"/>
      <c r="X273" s="45" t="n"/>
      <c r="Y273" s="13" t="n"/>
    </row>
    <row r="274" ht="15" customHeight="1">
      <c r="A274" s="13" t="n"/>
      <c r="B274" s="14">
        <f>IF(A274="","",IF(COUNTIF(lst_Jobs,A274&amp;"")&gt;0,"OK","CHECK"))</f>
        <v/>
      </c>
      <c r="C274" s="14">
        <f>IF(A274="","",IFERROR(INDEX(lst_JobName,MATCH(A274&amp;"",lst_Jobs,0)),""))</f>
        <v/>
      </c>
      <c r="D274" s="14">
        <f>IF(A274="","",IFERROR(INDEX(tbl_Finance[Client],MATCH(A274&amp;"",tbl_Finance[Job Number],0)),""))</f>
        <v/>
      </c>
      <c r="E274" s="44">
        <f>IF(A274="","",COUNTIFS(tbl_Finance[Job Number],A274&amp;"",tbl_Finance[Ex GST],"&lt;&gt;"))</f>
        <v/>
      </c>
      <c r="F274" s="16">
        <f>IF(A274="","",SUMIFS(tbl_Finance[Ex GST],tbl_Finance[Job Number],A274&amp;""))</f>
        <v/>
      </c>
      <c r="G274" s="14">
        <f>IF(A274="","",IFERROR(INDEX(tbl_Finance[Cost Centre],MATCH(A274&amp;"",tbl_Finance[Job Number],0)),"not invoiced yet"))</f>
        <v/>
      </c>
      <c r="H274" s="11" t="n"/>
      <c r="I274" s="13" t="n"/>
      <c r="J274" s="13" t="n"/>
      <c r="K274" s="13" t="n"/>
      <c r="L274" s="15" t="n"/>
      <c r="M274" s="16">
        <f>IF(A274="","",F274+N(L274))</f>
        <v/>
      </c>
      <c r="N274" s="46">
        <f>IFERROR(L274/M274,"")</f>
        <v/>
      </c>
      <c r="O274" s="15" t="n"/>
      <c r="P274" s="15" t="n"/>
      <c r="Q274" s="16">
        <f>IF(A274="","",N(O274)+N(P274))</f>
        <v/>
      </c>
      <c r="R274" s="16">
        <f>IF(A274="","",F274-Q274)</f>
        <v/>
      </c>
      <c r="S274" s="46">
        <f>IFERROR(R274/F274,"")</f>
        <v/>
      </c>
      <c r="T274" s="45" t="n"/>
      <c r="U274" s="45" t="n"/>
      <c r="V274" s="45" t="n"/>
      <c r="W274" s="45" t="n"/>
      <c r="X274" s="45" t="n"/>
      <c r="Y274" s="13" t="n"/>
    </row>
    <row r="275" ht="15" customHeight="1">
      <c r="A275" s="13" t="n"/>
      <c r="B275" s="14">
        <f>IF(A275="","",IF(COUNTIF(lst_Jobs,A275&amp;"")&gt;0,"OK","CHECK"))</f>
        <v/>
      </c>
      <c r="C275" s="14">
        <f>IF(A275="","",IFERROR(INDEX(lst_JobName,MATCH(A275&amp;"",lst_Jobs,0)),""))</f>
        <v/>
      </c>
      <c r="D275" s="14">
        <f>IF(A275="","",IFERROR(INDEX(tbl_Finance[Client],MATCH(A275&amp;"",tbl_Finance[Job Number],0)),""))</f>
        <v/>
      </c>
      <c r="E275" s="44">
        <f>IF(A275="","",COUNTIFS(tbl_Finance[Job Number],A275&amp;"",tbl_Finance[Ex GST],"&lt;&gt;"))</f>
        <v/>
      </c>
      <c r="F275" s="16">
        <f>IF(A275="","",SUMIFS(tbl_Finance[Ex GST],tbl_Finance[Job Number],A275&amp;""))</f>
        <v/>
      </c>
      <c r="G275" s="14">
        <f>IF(A275="","",IFERROR(INDEX(tbl_Finance[Cost Centre],MATCH(A275&amp;"",tbl_Finance[Job Number],0)),"not invoiced yet"))</f>
        <v/>
      </c>
      <c r="H275" s="11" t="n"/>
      <c r="I275" s="13" t="n"/>
      <c r="J275" s="13" t="n"/>
      <c r="K275" s="13" t="n"/>
      <c r="L275" s="15" t="n"/>
      <c r="M275" s="16">
        <f>IF(A275="","",F275+N(L275))</f>
        <v/>
      </c>
      <c r="N275" s="46">
        <f>IFERROR(L275/M275,"")</f>
        <v/>
      </c>
      <c r="O275" s="15" t="n"/>
      <c r="P275" s="15" t="n"/>
      <c r="Q275" s="16">
        <f>IF(A275="","",N(O275)+N(P275))</f>
        <v/>
      </c>
      <c r="R275" s="16">
        <f>IF(A275="","",F275-Q275)</f>
        <v/>
      </c>
      <c r="S275" s="46">
        <f>IFERROR(R275/F275,"")</f>
        <v/>
      </c>
      <c r="T275" s="45" t="n"/>
      <c r="U275" s="45" t="n"/>
      <c r="V275" s="45" t="n"/>
      <c r="W275" s="45" t="n"/>
      <c r="X275" s="45" t="n"/>
      <c r="Y275" s="13" t="n"/>
    </row>
    <row r="276" ht="15" customHeight="1">
      <c r="A276" s="13" t="n"/>
      <c r="B276" s="14">
        <f>IF(A276="","",IF(COUNTIF(lst_Jobs,A276&amp;"")&gt;0,"OK","CHECK"))</f>
        <v/>
      </c>
      <c r="C276" s="14">
        <f>IF(A276="","",IFERROR(INDEX(lst_JobName,MATCH(A276&amp;"",lst_Jobs,0)),""))</f>
        <v/>
      </c>
      <c r="D276" s="14">
        <f>IF(A276="","",IFERROR(INDEX(tbl_Finance[Client],MATCH(A276&amp;"",tbl_Finance[Job Number],0)),""))</f>
        <v/>
      </c>
      <c r="E276" s="44">
        <f>IF(A276="","",COUNTIFS(tbl_Finance[Job Number],A276&amp;"",tbl_Finance[Ex GST],"&lt;&gt;"))</f>
        <v/>
      </c>
      <c r="F276" s="16">
        <f>IF(A276="","",SUMIFS(tbl_Finance[Ex GST],tbl_Finance[Job Number],A276&amp;""))</f>
        <v/>
      </c>
      <c r="G276" s="14">
        <f>IF(A276="","",IFERROR(INDEX(tbl_Finance[Cost Centre],MATCH(A276&amp;"",tbl_Finance[Job Number],0)),"not invoiced yet"))</f>
        <v/>
      </c>
      <c r="H276" s="11" t="n"/>
      <c r="I276" s="13" t="n"/>
      <c r="J276" s="13" t="n"/>
      <c r="K276" s="13" t="n"/>
      <c r="L276" s="15" t="n"/>
      <c r="M276" s="16">
        <f>IF(A276="","",F276+N(L276))</f>
        <v/>
      </c>
      <c r="N276" s="46">
        <f>IFERROR(L276/M276,"")</f>
        <v/>
      </c>
      <c r="O276" s="15" t="n"/>
      <c r="P276" s="15" t="n"/>
      <c r="Q276" s="16">
        <f>IF(A276="","",N(O276)+N(P276))</f>
        <v/>
      </c>
      <c r="R276" s="16">
        <f>IF(A276="","",F276-Q276)</f>
        <v/>
      </c>
      <c r="S276" s="46">
        <f>IFERROR(R276/F276,"")</f>
        <v/>
      </c>
      <c r="T276" s="45" t="n"/>
      <c r="U276" s="45" t="n"/>
      <c r="V276" s="45" t="n"/>
      <c r="W276" s="45" t="n"/>
      <c r="X276" s="45" t="n"/>
      <c r="Y276" s="13" t="n"/>
    </row>
    <row r="277" ht="15" customHeight="1">
      <c r="A277" s="13" t="n"/>
      <c r="B277" s="14">
        <f>IF(A277="","",IF(COUNTIF(lst_Jobs,A277&amp;"")&gt;0,"OK","CHECK"))</f>
        <v/>
      </c>
      <c r="C277" s="14">
        <f>IF(A277="","",IFERROR(INDEX(lst_JobName,MATCH(A277&amp;"",lst_Jobs,0)),""))</f>
        <v/>
      </c>
      <c r="D277" s="14">
        <f>IF(A277="","",IFERROR(INDEX(tbl_Finance[Client],MATCH(A277&amp;"",tbl_Finance[Job Number],0)),""))</f>
        <v/>
      </c>
      <c r="E277" s="44">
        <f>IF(A277="","",COUNTIFS(tbl_Finance[Job Number],A277&amp;"",tbl_Finance[Ex GST],"&lt;&gt;"))</f>
        <v/>
      </c>
      <c r="F277" s="16">
        <f>IF(A277="","",SUMIFS(tbl_Finance[Ex GST],tbl_Finance[Job Number],A277&amp;""))</f>
        <v/>
      </c>
      <c r="G277" s="14">
        <f>IF(A277="","",IFERROR(INDEX(tbl_Finance[Cost Centre],MATCH(A277&amp;"",tbl_Finance[Job Number],0)),"not invoiced yet"))</f>
        <v/>
      </c>
      <c r="H277" s="11" t="n"/>
      <c r="I277" s="13" t="n"/>
      <c r="J277" s="13" t="n"/>
      <c r="K277" s="13" t="n"/>
      <c r="L277" s="15" t="n"/>
      <c r="M277" s="16">
        <f>IF(A277="","",F277+N(L277))</f>
        <v/>
      </c>
      <c r="N277" s="46">
        <f>IFERROR(L277/M277,"")</f>
        <v/>
      </c>
      <c r="O277" s="15" t="n"/>
      <c r="P277" s="15" t="n"/>
      <c r="Q277" s="16">
        <f>IF(A277="","",N(O277)+N(P277))</f>
        <v/>
      </c>
      <c r="R277" s="16">
        <f>IF(A277="","",F277-Q277)</f>
        <v/>
      </c>
      <c r="S277" s="46">
        <f>IFERROR(R277/F277,"")</f>
        <v/>
      </c>
      <c r="T277" s="45" t="n"/>
      <c r="U277" s="45" t="n"/>
      <c r="V277" s="45" t="n"/>
      <c r="W277" s="45" t="n"/>
      <c r="X277" s="45" t="n"/>
      <c r="Y277" s="13" t="n"/>
    </row>
    <row r="278" ht="15" customHeight="1">
      <c r="A278" s="13" t="n"/>
      <c r="B278" s="14">
        <f>IF(A278="","",IF(COUNTIF(lst_Jobs,A278&amp;"")&gt;0,"OK","CHECK"))</f>
        <v/>
      </c>
      <c r="C278" s="14">
        <f>IF(A278="","",IFERROR(INDEX(lst_JobName,MATCH(A278&amp;"",lst_Jobs,0)),""))</f>
        <v/>
      </c>
      <c r="D278" s="14">
        <f>IF(A278="","",IFERROR(INDEX(tbl_Finance[Client],MATCH(A278&amp;"",tbl_Finance[Job Number],0)),""))</f>
        <v/>
      </c>
      <c r="E278" s="44">
        <f>IF(A278="","",COUNTIFS(tbl_Finance[Job Number],A278&amp;"",tbl_Finance[Ex GST],"&lt;&gt;"))</f>
        <v/>
      </c>
      <c r="F278" s="16">
        <f>IF(A278="","",SUMIFS(tbl_Finance[Ex GST],tbl_Finance[Job Number],A278&amp;""))</f>
        <v/>
      </c>
      <c r="G278" s="14">
        <f>IF(A278="","",IFERROR(INDEX(tbl_Finance[Cost Centre],MATCH(A278&amp;"",tbl_Finance[Job Number],0)),"not invoiced yet"))</f>
        <v/>
      </c>
      <c r="H278" s="11" t="n"/>
      <c r="I278" s="13" t="n"/>
      <c r="J278" s="13" t="n"/>
      <c r="K278" s="13" t="n"/>
      <c r="L278" s="15" t="n"/>
      <c r="M278" s="16">
        <f>IF(A278="","",F278+N(L278))</f>
        <v/>
      </c>
      <c r="N278" s="46">
        <f>IFERROR(L278/M278,"")</f>
        <v/>
      </c>
      <c r="O278" s="15" t="n"/>
      <c r="P278" s="15" t="n"/>
      <c r="Q278" s="16">
        <f>IF(A278="","",N(O278)+N(P278))</f>
        <v/>
      </c>
      <c r="R278" s="16">
        <f>IF(A278="","",F278-Q278)</f>
        <v/>
      </c>
      <c r="S278" s="46">
        <f>IFERROR(R278/F278,"")</f>
        <v/>
      </c>
      <c r="T278" s="45" t="n"/>
      <c r="U278" s="45" t="n"/>
      <c r="V278" s="45" t="n"/>
      <c r="W278" s="45" t="n"/>
      <c r="X278" s="45" t="n"/>
      <c r="Y278" s="13" t="n"/>
    </row>
    <row r="279" ht="15" customHeight="1">
      <c r="A279" s="13" t="n"/>
      <c r="B279" s="14">
        <f>IF(A279="","",IF(COUNTIF(lst_Jobs,A279&amp;"")&gt;0,"OK","CHECK"))</f>
        <v/>
      </c>
      <c r="C279" s="14">
        <f>IF(A279="","",IFERROR(INDEX(lst_JobName,MATCH(A279&amp;"",lst_Jobs,0)),""))</f>
        <v/>
      </c>
      <c r="D279" s="14">
        <f>IF(A279="","",IFERROR(INDEX(tbl_Finance[Client],MATCH(A279&amp;"",tbl_Finance[Job Number],0)),""))</f>
        <v/>
      </c>
      <c r="E279" s="44">
        <f>IF(A279="","",COUNTIFS(tbl_Finance[Job Number],A279&amp;"",tbl_Finance[Ex GST],"&lt;&gt;"))</f>
        <v/>
      </c>
      <c r="F279" s="16">
        <f>IF(A279="","",SUMIFS(tbl_Finance[Ex GST],tbl_Finance[Job Number],A279&amp;""))</f>
        <v/>
      </c>
      <c r="G279" s="14">
        <f>IF(A279="","",IFERROR(INDEX(tbl_Finance[Cost Centre],MATCH(A279&amp;"",tbl_Finance[Job Number],0)),"not invoiced yet"))</f>
        <v/>
      </c>
      <c r="H279" s="11" t="n"/>
      <c r="I279" s="13" t="n"/>
      <c r="J279" s="13" t="n"/>
      <c r="K279" s="13" t="n"/>
      <c r="L279" s="15" t="n"/>
      <c r="M279" s="16">
        <f>IF(A279="","",F279+N(L279))</f>
        <v/>
      </c>
      <c r="N279" s="46">
        <f>IFERROR(L279/M279,"")</f>
        <v/>
      </c>
      <c r="O279" s="15" t="n"/>
      <c r="P279" s="15" t="n"/>
      <c r="Q279" s="16">
        <f>IF(A279="","",N(O279)+N(P279))</f>
        <v/>
      </c>
      <c r="R279" s="16">
        <f>IF(A279="","",F279-Q279)</f>
        <v/>
      </c>
      <c r="S279" s="46">
        <f>IFERROR(R279/F279,"")</f>
        <v/>
      </c>
      <c r="T279" s="45" t="n"/>
      <c r="U279" s="45" t="n"/>
      <c r="V279" s="45" t="n"/>
      <c r="W279" s="45" t="n"/>
      <c r="X279" s="45" t="n"/>
      <c r="Y279" s="13" t="n"/>
    </row>
    <row r="280" ht="15" customHeight="1">
      <c r="A280" s="13" t="n"/>
      <c r="B280" s="14">
        <f>IF(A280="","",IF(COUNTIF(lst_Jobs,A280&amp;"")&gt;0,"OK","CHECK"))</f>
        <v/>
      </c>
      <c r="C280" s="14">
        <f>IF(A280="","",IFERROR(INDEX(lst_JobName,MATCH(A280&amp;"",lst_Jobs,0)),""))</f>
        <v/>
      </c>
      <c r="D280" s="14">
        <f>IF(A280="","",IFERROR(INDEX(tbl_Finance[Client],MATCH(A280&amp;"",tbl_Finance[Job Number],0)),""))</f>
        <v/>
      </c>
      <c r="E280" s="44">
        <f>IF(A280="","",COUNTIFS(tbl_Finance[Job Number],A280&amp;"",tbl_Finance[Ex GST],"&lt;&gt;"))</f>
        <v/>
      </c>
      <c r="F280" s="16">
        <f>IF(A280="","",SUMIFS(tbl_Finance[Ex GST],tbl_Finance[Job Number],A280&amp;""))</f>
        <v/>
      </c>
      <c r="G280" s="14">
        <f>IF(A280="","",IFERROR(INDEX(tbl_Finance[Cost Centre],MATCH(A280&amp;"",tbl_Finance[Job Number],0)),"not invoiced yet"))</f>
        <v/>
      </c>
      <c r="H280" s="11" t="n"/>
      <c r="I280" s="13" t="n"/>
      <c r="J280" s="13" t="n"/>
      <c r="K280" s="13" t="n"/>
      <c r="L280" s="15" t="n"/>
      <c r="M280" s="16">
        <f>IF(A280="","",F280+N(L280))</f>
        <v/>
      </c>
      <c r="N280" s="46">
        <f>IFERROR(L280/M280,"")</f>
        <v/>
      </c>
      <c r="O280" s="15" t="n"/>
      <c r="P280" s="15" t="n"/>
      <c r="Q280" s="16">
        <f>IF(A280="","",N(O280)+N(P280))</f>
        <v/>
      </c>
      <c r="R280" s="16">
        <f>IF(A280="","",F280-Q280)</f>
        <v/>
      </c>
      <c r="S280" s="46">
        <f>IFERROR(R280/F280,"")</f>
        <v/>
      </c>
      <c r="T280" s="45" t="n"/>
      <c r="U280" s="45" t="n"/>
      <c r="V280" s="45" t="n"/>
      <c r="W280" s="45" t="n"/>
      <c r="X280" s="45" t="n"/>
      <c r="Y280" s="13" t="n"/>
    </row>
    <row r="281" ht="15" customHeight="1">
      <c r="A281" s="13" t="n"/>
      <c r="B281" s="14">
        <f>IF(A281="","",IF(COUNTIF(lst_Jobs,A281&amp;"")&gt;0,"OK","CHECK"))</f>
        <v/>
      </c>
      <c r="C281" s="14">
        <f>IF(A281="","",IFERROR(INDEX(lst_JobName,MATCH(A281&amp;"",lst_Jobs,0)),""))</f>
        <v/>
      </c>
      <c r="D281" s="14">
        <f>IF(A281="","",IFERROR(INDEX(tbl_Finance[Client],MATCH(A281&amp;"",tbl_Finance[Job Number],0)),""))</f>
        <v/>
      </c>
      <c r="E281" s="44">
        <f>IF(A281="","",COUNTIFS(tbl_Finance[Job Number],A281&amp;"",tbl_Finance[Ex GST],"&lt;&gt;"))</f>
        <v/>
      </c>
      <c r="F281" s="16">
        <f>IF(A281="","",SUMIFS(tbl_Finance[Ex GST],tbl_Finance[Job Number],A281&amp;""))</f>
        <v/>
      </c>
      <c r="G281" s="14">
        <f>IF(A281="","",IFERROR(INDEX(tbl_Finance[Cost Centre],MATCH(A281&amp;"",tbl_Finance[Job Number],0)),"not invoiced yet"))</f>
        <v/>
      </c>
      <c r="H281" s="11" t="n"/>
      <c r="I281" s="13" t="n"/>
      <c r="J281" s="13" t="n"/>
      <c r="K281" s="13" t="n"/>
      <c r="L281" s="15" t="n"/>
      <c r="M281" s="16">
        <f>IF(A281="","",F281+N(L281))</f>
        <v/>
      </c>
      <c r="N281" s="46">
        <f>IFERROR(L281/M281,"")</f>
        <v/>
      </c>
      <c r="O281" s="15" t="n"/>
      <c r="P281" s="15" t="n"/>
      <c r="Q281" s="16">
        <f>IF(A281="","",N(O281)+N(P281))</f>
        <v/>
      </c>
      <c r="R281" s="16">
        <f>IF(A281="","",F281-Q281)</f>
        <v/>
      </c>
      <c r="S281" s="46">
        <f>IFERROR(R281/F281,"")</f>
        <v/>
      </c>
      <c r="T281" s="45" t="n"/>
      <c r="U281" s="45" t="n"/>
      <c r="V281" s="45" t="n"/>
      <c r="W281" s="45" t="n"/>
      <c r="X281" s="45" t="n"/>
      <c r="Y281" s="13" t="n"/>
    </row>
    <row r="282" ht="15" customHeight="1">
      <c r="A282" s="13" t="n"/>
      <c r="B282" s="14">
        <f>IF(A282="","",IF(COUNTIF(lst_Jobs,A282&amp;"")&gt;0,"OK","CHECK"))</f>
        <v/>
      </c>
      <c r="C282" s="14">
        <f>IF(A282="","",IFERROR(INDEX(lst_JobName,MATCH(A282&amp;"",lst_Jobs,0)),""))</f>
        <v/>
      </c>
      <c r="D282" s="14">
        <f>IF(A282="","",IFERROR(INDEX(tbl_Finance[Client],MATCH(A282&amp;"",tbl_Finance[Job Number],0)),""))</f>
        <v/>
      </c>
      <c r="E282" s="44">
        <f>IF(A282="","",COUNTIFS(tbl_Finance[Job Number],A282&amp;"",tbl_Finance[Ex GST],"&lt;&gt;"))</f>
        <v/>
      </c>
      <c r="F282" s="16">
        <f>IF(A282="","",SUMIFS(tbl_Finance[Ex GST],tbl_Finance[Job Number],A282&amp;""))</f>
        <v/>
      </c>
      <c r="G282" s="14">
        <f>IF(A282="","",IFERROR(INDEX(tbl_Finance[Cost Centre],MATCH(A282&amp;"",tbl_Finance[Job Number],0)),"not invoiced yet"))</f>
        <v/>
      </c>
      <c r="H282" s="11" t="n"/>
      <c r="I282" s="13" t="n"/>
      <c r="J282" s="13" t="n"/>
      <c r="K282" s="13" t="n"/>
      <c r="L282" s="15" t="n"/>
      <c r="M282" s="16">
        <f>IF(A282="","",F282+N(L282))</f>
        <v/>
      </c>
      <c r="N282" s="46">
        <f>IFERROR(L282/M282,"")</f>
        <v/>
      </c>
      <c r="O282" s="15" t="n"/>
      <c r="P282" s="15" t="n"/>
      <c r="Q282" s="16">
        <f>IF(A282="","",N(O282)+N(P282))</f>
        <v/>
      </c>
      <c r="R282" s="16">
        <f>IF(A282="","",F282-Q282)</f>
        <v/>
      </c>
      <c r="S282" s="46">
        <f>IFERROR(R282/F282,"")</f>
        <v/>
      </c>
      <c r="T282" s="45" t="n"/>
      <c r="U282" s="45" t="n"/>
      <c r="V282" s="45" t="n"/>
      <c r="W282" s="45" t="n"/>
      <c r="X282" s="45" t="n"/>
      <c r="Y282" s="13" t="n"/>
    </row>
    <row r="283" ht="15" customHeight="1">
      <c r="A283" s="13" t="n"/>
      <c r="B283" s="14">
        <f>IF(A283="","",IF(COUNTIF(lst_Jobs,A283&amp;"")&gt;0,"OK","CHECK"))</f>
        <v/>
      </c>
      <c r="C283" s="14">
        <f>IF(A283="","",IFERROR(INDEX(lst_JobName,MATCH(A283&amp;"",lst_Jobs,0)),""))</f>
        <v/>
      </c>
      <c r="D283" s="14">
        <f>IF(A283="","",IFERROR(INDEX(tbl_Finance[Client],MATCH(A283&amp;"",tbl_Finance[Job Number],0)),""))</f>
        <v/>
      </c>
      <c r="E283" s="44">
        <f>IF(A283="","",COUNTIFS(tbl_Finance[Job Number],A283&amp;"",tbl_Finance[Ex GST],"&lt;&gt;"))</f>
        <v/>
      </c>
      <c r="F283" s="16">
        <f>IF(A283="","",SUMIFS(tbl_Finance[Ex GST],tbl_Finance[Job Number],A283&amp;""))</f>
        <v/>
      </c>
      <c r="G283" s="14">
        <f>IF(A283="","",IFERROR(INDEX(tbl_Finance[Cost Centre],MATCH(A283&amp;"",tbl_Finance[Job Number],0)),"not invoiced yet"))</f>
        <v/>
      </c>
      <c r="H283" s="11" t="n"/>
      <c r="I283" s="13" t="n"/>
      <c r="J283" s="13" t="n"/>
      <c r="K283" s="13" t="n"/>
      <c r="L283" s="15" t="n"/>
      <c r="M283" s="16">
        <f>IF(A283="","",F283+N(L283))</f>
        <v/>
      </c>
      <c r="N283" s="46">
        <f>IFERROR(L283/M283,"")</f>
        <v/>
      </c>
      <c r="O283" s="15" t="n"/>
      <c r="P283" s="15" t="n"/>
      <c r="Q283" s="16">
        <f>IF(A283="","",N(O283)+N(P283))</f>
        <v/>
      </c>
      <c r="R283" s="16">
        <f>IF(A283="","",F283-Q283)</f>
        <v/>
      </c>
      <c r="S283" s="46">
        <f>IFERROR(R283/F283,"")</f>
        <v/>
      </c>
      <c r="T283" s="45" t="n"/>
      <c r="U283" s="45" t="n"/>
      <c r="V283" s="45" t="n"/>
      <c r="W283" s="45" t="n"/>
      <c r="X283" s="45" t="n"/>
      <c r="Y283" s="13" t="n"/>
    </row>
    <row r="284" ht="15" customHeight="1">
      <c r="A284" s="13" t="n"/>
      <c r="B284" s="14">
        <f>IF(A284="","",IF(COUNTIF(lst_Jobs,A284&amp;"")&gt;0,"OK","CHECK"))</f>
        <v/>
      </c>
      <c r="C284" s="14">
        <f>IF(A284="","",IFERROR(INDEX(lst_JobName,MATCH(A284&amp;"",lst_Jobs,0)),""))</f>
        <v/>
      </c>
      <c r="D284" s="14">
        <f>IF(A284="","",IFERROR(INDEX(tbl_Finance[Client],MATCH(A284&amp;"",tbl_Finance[Job Number],0)),""))</f>
        <v/>
      </c>
      <c r="E284" s="44">
        <f>IF(A284="","",COUNTIFS(tbl_Finance[Job Number],A284&amp;"",tbl_Finance[Ex GST],"&lt;&gt;"))</f>
        <v/>
      </c>
      <c r="F284" s="16">
        <f>IF(A284="","",SUMIFS(tbl_Finance[Ex GST],tbl_Finance[Job Number],A284&amp;""))</f>
        <v/>
      </c>
      <c r="G284" s="14">
        <f>IF(A284="","",IFERROR(INDEX(tbl_Finance[Cost Centre],MATCH(A284&amp;"",tbl_Finance[Job Number],0)),"not invoiced yet"))</f>
        <v/>
      </c>
      <c r="H284" s="11" t="n"/>
      <c r="I284" s="13" t="n"/>
      <c r="J284" s="13" t="n"/>
      <c r="K284" s="13" t="n"/>
      <c r="L284" s="15" t="n"/>
      <c r="M284" s="16">
        <f>IF(A284="","",F284+N(L284))</f>
        <v/>
      </c>
      <c r="N284" s="46">
        <f>IFERROR(L284/M284,"")</f>
        <v/>
      </c>
      <c r="O284" s="15" t="n"/>
      <c r="P284" s="15" t="n"/>
      <c r="Q284" s="16">
        <f>IF(A284="","",N(O284)+N(P284))</f>
        <v/>
      </c>
      <c r="R284" s="16">
        <f>IF(A284="","",F284-Q284)</f>
        <v/>
      </c>
      <c r="S284" s="46">
        <f>IFERROR(R284/F284,"")</f>
        <v/>
      </c>
      <c r="T284" s="45" t="n"/>
      <c r="U284" s="45" t="n"/>
      <c r="V284" s="45" t="n"/>
      <c r="W284" s="45" t="n"/>
      <c r="X284" s="45" t="n"/>
      <c r="Y284" s="13" t="n"/>
    </row>
    <row r="285" ht="15" customHeight="1">
      <c r="A285" s="13" t="n"/>
      <c r="B285" s="14">
        <f>IF(A285="","",IF(COUNTIF(lst_Jobs,A285&amp;"")&gt;0,"OK","CHECK"))</f>
        <v/>
      </c>
      <c r="C285" s="14">
        <f>IF(A285="","",IFERROR(INDEX(lst_JobName,MATCH(A285&amp;"",lst_Jobs,0)),""))</f>
        <v/>
      </c>
      <c r="D285" s="14">
        <f>IF(A285="","",IFERROR(INDEX(tbl_Finance[Client],MATCH(A285&amp;"",tbl_Finance[Job Number],0)),""))</f>
        <v/>
      </c>
      <c r="E285" s="44">
        <f>IF(A285="","",COUNTIFS(tbl_Finance[Job Number],A285&amp;"",tbl_Finance[Ex GST],"&lt;&gt;"))</f>
        <v/>
      </c>
      <c r="F285" s="16">
        <f>IF(A285="","",SUMIFS(tbl_Finance[Ex GST],tbl_Finance[Job Number],A285&amp;""))</f>
        <v/>
      </c>
      <c r="G285" s="14">
        <f>IF(A285="","",IFERROR(INDEX(tbl_Finance[Cost Centre],MATCH(A285&amp;"",tbl_Finance[Job Number],0)),"not invoiced yet"))</f>
        <v/>
      </c>
      <c r="H285" s="11" t="n"/>
      <c r="I285" s="13" t="n"/>
      <c r="J285" s="13" t="n"/>
      <c r="K285" s="13" t="n"/>
      <c r="L285" s="15" t="n"/>
      <c r="M285" s="16">
        <f>IF(A285="","",F285+N(L285))</f>
        <v/>
      </c>
      <c r="N285" s="46">
        <f>IFERROR(L285/M285,"")</f>
        <v/>
      </c>
      <c r="O285" s="15" t="n"/>
      <c r="P285" s="15" t="n"/>
      <c r="Q285" s="16">
        <f>IF(A285="","",N(O285)+N(P285))</f>
        <v/>
      </c>
      <c r="R285" s="16">
        <f>IF(A285="","",F285-Q285)</f>
        <v/>
      </c>
      <c r="S285" s="46">
        <f>IFERROR(R285/F285,"")</f>
        <v/>
      </c>
      <c r="T285" s="45" t="n"/>
      <c r="U285" s="45" t="n"/>
      <c r="V285" s="45" t="n"/>
      <c r="W285" s="45" t="n"/>
      <c r="X285" s="45" t="n"/>
      <c r="Y285" s="13" t="n"/>
    </row>
    <row r="286" ht="15" customHeight="1">
      <c r="A286" s="13" t="n"/>
      <c r="B286" s="14">
        <f>IF(A286="","",IF(COUNTIF(lst_Jobs,A286&amp;"")&gt;0,"OK","CHECK"))</f>
        <v/>
      </c>
      <c r="C286" s="14">
        <f>IF(A286="","",IFERROR(INDEX(lst_JobName,MATCH(A286&amp;"",lst_Jobs,0)),""))</f>
        <v/>
      </c>
      <c r="D286" s="14">
        <f>IF(A286="","",IFERROR(INDEX(tbl_Finance[Client],MATCH(A286&amp;"",tbl_Finance[Job Number],0)),""))</f>
        <v/>
      </c>
      <c r="E286" s="44">
        <f>IF(A286="","",COUNTIFS(tbl_Finance[Job Number],A286&amp;"",tbl_Finance[Ex GST],"&lt;&gt;"))</f>
        <v/>
      </c>
      <c r="F286" s="16">
        <f>IF(A286="","",SUMIFS(tbl_Finance[Ex GST],tbl_Finance[Job Number],A286&amp;""))</f>
        <v/>
      </c>
      <c r="G286" s="14">
        <f>IF(A286="","",IFERROR(INDEX(tbl_Finance[Cost Centre],MATCH(A286&amp;"",tbl_Finance[Job Number],0)),"not invoiced yet"))</f>
        <v/>
      </c>
      <c r="H286" s="11" t="n"/>
      <c r="I286" s="13" t="n"/>
      <c r="J286" s="13" t="n"/>
      <c r="K286" s="13" t="n"/>
      <c r="L286" s="15" t="n"/>
      <c r="M286" s="16">
        <f>IF(A286="","",F286+N(L286))</f>
        <v/>
      </c>
      <c r="N286" s="46">
        <f>IFERROR(L286/M286,"")</f>
        <v/>
      </c>
      <c r="O286" s="15" t="n"/>
      <c r="P286" s="15" t="n"/>
      <c r="Q286" s="16">
        <f>IF(A286="","",N(O286)+N(P286))</f>
        <v/>
      </c>
      <c r="R286" s="16">
        <f>IF(A286="","",F286-Q286)</f>
        <v/>
      </c>
      <c r="S286" s="46">
        <f>IFERROR(R286/F286,"")</f>
        <v/>
      </c>
      <c r="T286" s="45" t="n"/>
      <c r="U286" s="45" t="n"/>
      <c r="V286" s="45" t="n"/>
      <c r="W286" s="45" t="n"/>
      <c r="X286" s="45" t="n"/>
      <c r="Y286" s="13" t="n"/>
    </row>
    <row r="287" ht="15" customHeight="1">
      <c r="A287" s="13" t="n"/>
      <c r="B287" s="14">
        <f>IF(A287="","",IF(COUNTIF(lst_Jobs,A287&amp;"")&gt;0,"OK","CHECK"))</f>
        <v/>
      </c>
      <c r="C287" s="14">
        <f>IF(A287="","",IFERROR(INDEX(lst_JobName,MATCH(A287&amp;"",lst_Jobs,0)),""))</f>
        <v/>
      </c>
      <c r="D287" s="14">
        <f>IF(A287="","",IFERROR(INDEX(tbl_Finance[Client],MATCH(A287&amp;"",tbl_Finance[Job Number],0)),""))</f>
        <v/>
      </c>
      <c r="E287" s="44">
        <f>IF(A287="","",COUNTIFS(tbl_Finance[Job Number],A287&amp;"",tbl_Finance[Ex GST],"&lt;&gt;"))</f>
        <v/>
      </c>
      <c r="F287" s="16">
        <f>IF(A287="","",SUMIFS(tbl_Finance[Ex GST],tbl_Finance[Job Number],A287&amp;""))</f>
        <v/>
      </c>
      <c r="G287" s="14">
        <f>IF(A287="","",IFERROR(INDEX(tbl_Finance[Cost Centre],MATCH(A287&amp;"",tbl_Finance[Job Number],0)),"not invoiced yet"))</f>
        <v/>
      </c>
      <c r="H287" s="11" t="n"/>
      <c r="I287" s="13" t="n"/>
      <c r="J287" s="13" t="n"/>
      <c r="K287" s="13" t="n"/>
      <c r="L287" s="15" t="n"/>
      <c r="M287" s="16">
        <f>IF(A287="","",F287+N(L287))</f>
        <v/>
      </c>
      <c r="N287" s="46">
        <f>IFERROR(L287/M287,"")</f>
        <v/>
      </c>
      <c r="O287" s="15" t="n"/>
      <c r="P287" s="15" t="n"/>
      <c r="Q287" s="16">
        <f>IF(A287="","",N(O287)+N(P287))</f>
        <v/>
      </c>
      <c r="R287" s="16">
        <f>IF(A287="","",F287-Q287)</f>
        <v/>
      </c>
      <c r="S287" s="46">
        <f>IFERROR(R287/F287,"")</f>
        <v/>
      </c>
      <c r="T287" s="45" t="n"/>
      <c r="U287" s="45" t="n"/>
      <c r="V287" s="45" t="n"/>
      <c r="W287" s="45" t="n"/>
      <c r="X287" s="45" t="n"/>
      <c r="Y287" s="13" t="n"/>
    </row>
    <row r="288" ht="15" customHeight="1">
      <c r="A288" s="13" t="n"/>
      <c r="B288" s="14">
        <f>IF(A288="","",IF(COUNTIF(lst_Jobs,A288&amp;"")&gt;0,"OK","CHECK"))</f>
        <v/>
      </c>
      <c r="C288" s="14">
        <f>IF(A288="","",IFERROR(INDEX(lst_JobName,MATCH(A288&amp;"",lst_Jobs,0)),""))</f>
        <v/>
      </c>
      <c r="D288" s="14">
        <f>IF(A288="","",IFERROR(INDEX(tbl_Finance[Client],MATCH(A288&amp;"",tbl_Finance[Job Number],0)),""))</f>
        <v/>
      </c>
      <c r="E288" s="44">
        <f>IF(A288="","",COUNTIFS(tbl_Finance[Job Number],A288&amp;"",tbl_Finance[Ex GST],"&lt;&gt;"))</f>
        <v/>
      </c>
      <c r="F288" s="16">
        <f>IF(A288="","",SUMIFS(tbl_Finance[Ex GST],tbl_Finance[Job Number],A288&amp;""))</f>
        <v/>
      </c>
      <c r="G288" s="14">
        <f>IF(A288="","",IFERROR(INDEX(tbl_Finance[Cost Centre],MATCH(A288&amp;"",tbl_Finance[Job Number],0)),"not invoiced yet"))</f>
        <v/>
      </c>
      <c r="H288" s="11" t="n"/>
      <c r="I288" s="13" t="n"/>
      <c r="J288" s="13" t="n"/>
      <c r="K288" s="13" t="n"/>
      <c r="L288" s="15" t="n"/>
      <c r="M288" s="16">
        <f>IF(A288="","",F288+N(L288))</f>
        <v/>
      </c>
      <c r="N288" s="46">
        <f>IFERROR(L288/M288,"")</f>
        <v/>
      </c>
      <c r="O288" s="15" t="n"/>
      <c r="P288" s="15" t="n"/>
      <c r="Q288" s="16">
        <f>IF(A288="","",N(O288)+N(P288))</f>
        <v/>
      </c>
      <c r="R288" s="16">
        <f>IF(A288="","",F288-Q288)</f>
        <v/>
      </c>
      <c r="S288" s="46">
        <f>IFERROR(R288/F288,"")</f>
        <v/>
      </c>
      <c r="T288" s="45" t="n"/>
      <c r="U288" s="45" t="n"/>
      <c r="V288" s="45" t="n"/>
      <c r="W288" s="45" t="n"/>
      <c r="X288" s="45" t="n"/>
      <c r="Y288" s="13" t="n"/>
    </row>
    <row r="289" ht="15" customHeight="1">
      <c r="A289" s="13" t="n"/>
      <c r="B289" s="14">
        <f>IF(A289="","",IF(COUNTIF(lst_Jobs,A289&amp;"")&gt;0,"OK","CHECK"))</f>
        <v/>
      </c>
      <c r="C289" s="14">
        <f>IF(A289="","",IFERROR(INDEX(lst_JobName,MATCH(A289&amp;"",lst_Jobs,0)),""))</f>
        <v/>
      </c>
      <c r="D289" s="14">
        <f>IF(A289="","",IFERROR(INDEX(tbl_Finance[Client],MATCH(A289&amp;"",tbl_Finance[Job Number],0)),""))</f>
        <v/>
      </c>
      <c r="E289" s="44">
        <f>IF(A289="","",COUNTIFS(tbl_Finance[Job Number],A289&amp;"",tbl_Finance[Ex GST],"&lt;&gt;"))</f>
        <v/>
      </c>
      <c r="F289" s="16">
        <f>IF(A289="","",SUMIFS(tbl_Finance[Ex GST],tbl_Finance[Job Number],A289&amp;""))</f>
        <v/>
      </c>
      <c r="G289" s="14">
        <f>IF(A289="","",IFERROR(INDEX(tbl_Finance[Cost Centre],MATCH(A289&amp;"",tbl_Finance[Job Number],0)),"not invoiced yet"))</f>
        <v/>
      </c>
      <c r="H289" s="11" t="n"/>
      <c r="I289" s="13" t="n"/>
      <c r="J289" s="13" t="n"/>
      <c r="K289" s="13" t="n"/>
      <c r="L289" s="15" t="n"/>
      <c r="M289" s="16">
        <f>IF(A289="","",F289+N(L289))</f>
        <v/>
      </c>
      <c r="N289" s="46">
        <f>IFERROR(L289/M289,"")</f>
        <v/>
      </c>
      <c r="O289" s="15" t="n"/>
      <c r="P289" s="15" t="n"/>
      <c r="Q289" s="16">
        <f>IF(A289="","",N(O289)+N(P289))</f>
        <v/>
      </c>
      <c r="R289" s="16">
        <f>IF(A289="","",F289-Q289)</f>
        <v/>
      </c>
      <c r="S289" s="46">
        <f>IFERROR(R289/F289,"")</f>
        <v/>
      </c>
      <c r="T289" s="45" t="n"/>
      <c r="U289" s="45" t="n"/>
      <c r="V289" s="45" t="n"/>
      <c r="W289" s="45" t="n"/>
      <c r="X289" s="45" t="n"/>
      <c r="Y289" s="13" t="n"/>
    </row>
    <row r="290" ht="15" customHeight="1">
      <c r="A290" s="13" t="n"/>
      <c r="B290" s="14">
        <f>IF(A290="","",IF(COUNTIF(lst_Jobs,A290&amp;"")&gt;0,"OK","CHECK"))</f>
        <v/>
      </c>
      <c r="C290" s="14">
        <f>IF(A290="","",IFERROR(INDEX(lst_JobName,MATCH(A290&amp;"",lst_Jobs,0)),""))</f>
        <v/>
      </c>
      <c r="D290" s="14">
        <f>IF(A290="","",IFERROR(INDEX(tbl_Finance[Client],MATCH(A290&amp;"",tbl_Finance[Job Number],0)),""))</f>
        <v/>
      </c>
      <c r="E290" s="44">
        <f>IF(A290="","",COUNTIFS(tbl_Finance[Job Number],A290&amp;"",tbl_Finance[Ex GST],"&lt;&gt;"))</f>
        <v/>
      </c>
      <c r="F290" s="16">
        <f>IF(A290="","",SUMIFS(tbl_Finance[Ex GST],tbl_Finance[Job Number],A290&amp;""))</f>
        <v/>
      </c>
      <c r="G290" s="14">
        <f>IF(A290="","",IFERROR(INDEX(tbl_Finance[Cost Centre],MATCH(A290&amp;"",tbl_Finance[Job Number],0)),"not invoiced yet"))</f>
        <v/>
      </c>
      <c r="H290" s="11" t="n"/>
      <c r="I290" s="13" t="n"/>
      <c r="J290" s="13" t="n"/>
      <c r="K290" s="13" t="n"/>
      <c r="L290" s="15" t="n"/>
      <c r="M290" s="16">
        <f>IF(A290="","",F290+N(L290))</f>
        <v/>
      </c>
      <c r="N290" s="46">
        <f>IFERROR(L290/M290,"")</f>
        <v/>
      </c>
      <c r="O290" s="15" t="n"/>
      <c r="P290" s="15" t="n"/>
      <c r="Q290" s="16">
        <f>IF(A290="","",N(O290)+N(P290))</f>
        <v/>
      </c>
      <c r="R290" s="16">
        <f>IF(A290="","",F290-Q290)</f>
        <v/>
      </c>
      <c r="S290" s="46">
        <f>IFERROR(R290/F290,"")</f>
        <v/>
      </c>
      <c r="T290" s="45" t="n"/>
      <c r="U290" s="45" t="n"/>
      <c r="V290" s="45" t="n"/>
      <c r="W290" s="45" t="n"/>
      <c r="X290" s="45" t="n"/>
      <c r="Y290" s="13" t="n"/>
    </row>
    <row r="291" ht="15" customHeight="1">
      <c r="A291" s="13" t="n"/>
      <c r="B291" s="14">
        <f>IF(A291="","",IF(COUNTIF(lst_Jobs,A291&amp;"")&gt;0,"OK","CHECK"))</f>
        <v/>
      </c>
      <c r="C291" s="14">
        <f>IF(A291="","",IFERROR(INDEX(lst_JobName,MATCH(A291&amp;"",lst_Jobs,0)),""))</f>
        <v/>
      </c>
      <c r="D291" s="14">
        <f>IF(A291="","",IFERROR(INDEX(tbl_Finance[Client],MATCH(A291&amp;"",tbl_Finance[Job Number],0)),""))</f>
        <v/>
      </c>
      <c r="E291" s="44">
        <f>IF(A291="","",COUNTIFS(tbl_Finance[Job Number],A291&amp;"",tbl_Finance[Ex GST],"&lt;&gt;"))</f>
        <v/>
      </c>
      <c r="F291" s="16">
        <f>IF(A291="","",SUMIFS(tbl_Finance[Ex GST],tbl_Finance[Job Number],A291&amp;""))</f>
        <v/>
      </c>
      <c r="G291" s="14">
        <f>IF(A291="","",IFERROR(INDEX(tbl_Finance[Cost Centre],MATCH(A291&amp;"",tbl_Finance[Job Number],0)),"not invoiced yet"))</f>
        <v/>
      </c>
      <c r="H291" s="11" t="n"/>
      <c r="I291" s="13" t="n"/>
      <c r="J291" s="13" t="n"/>
      <c r="K291" s="13" t="n"/>
      <c r="L291" s="15" t="n"/>
      <c r="M291" s="16">
        <f>IF(A291="","",F291+N(L291))</f>
        <v/>
      </c>
      <c r="N291" s="46">
        <f>IFERROR(L291/M291,"")</f>
        <v/>
      </c>
      <c r="O291" s="15" t="n"/>
      <c r="P291" s="15" t="n"/>
      <c r="Q291" s="16">
        <f>IF(A291="","",N(O291)+N(P291))</f>
        <v/>
      </c>
      <c r="R291" s="16">
        <f>IF(A291="","",F291-Q291)</f>
        <v/>
      </c>
      <c r="S291" s="46">
        <f>IFERROR(R291/F291,"")</f>
        <v/>
      </c>
      <c r="T291" s="45" t="n"/>
      <c r="U291" s="45" t="n"/>
      <c r="V291" s="45" t="n"/>
      <c r="W291" s="45" t="n"/>
      <c r="X291" s="45" t="n"/>
      <c r="Y291" s="13" t="n"/>
    </row>
    <row r="292" ht="15" customHeight="1">
      <c r="A292" s="13" t="n"/>
      <c r="B292" s="14">
        <f>IF(A292="","",IF(COUNTIF(lst_Jobs,A292&amp;"")&gt;0,"OK","CHECK"))</f>
        <v/>
      </c>
      <c r="C292" s="14">
        <f>IF(A292="","",IFERROR(INDEX(lst_JobName,MATCH(A292&amp;"",lst_Jobs,0)),""))</f>
        <v/>
      </c>
      <c r="D292" s="14">
        <f>IF(A292="","",IFERROR(INDEX(tbl_Finance[Client],MATCH(A292&amp;"",tbl_Finance[Job Number],0)),""))</f>
        <v/>
      </c>
      <c r="E292" s="44">
        <f>IF(A292="","",COUNTIFS(tbl_Finance[Job Number],A292&amp;"",tbl_Finance[Ex GST],"&lt;&gt;"))</f>
        <v/>
      </c>
      <c r="F292" s="16">
        <f>IF(A292="","",SUMIFS(tbl_Finance[Ex GST],tbl_Finance[Job Number],A292&amp;""))</f>
        <v/>
      </c>
      <c r="G292" s="14">
        <f>IF(A292="","",IFERROR(INDEX(tbl_Finance[Cost Centre],MATCH(A292&amp;"",tbl_Finance[Job Number],0)),"not invoiced yet"))</f>
        <v/>
      </c>
      <c r="H292" s="11" t="n"/>
      <c r="I292" s="13" t="n"/>
      <c r="J292" s="13" t="n"/>
      <c r="K292" s="13" t="n"/>
      <c r="L292" s="15" t="n"/>
      <c r="M292" s="16">
        <f>IF(A292="","",F292+N(L292))</f>
        <v/>
      </c>
      <c r="N292" s="46">
        <f>IFERROR(L292/M292,"")</f>
        <v/>
      </c>
      <c r="O292" s="15" t="n"/>
      <c r="P292" s="15" t="n"/>
      <c r="Q292" s="16">
        <f>IF(A292="","",N(O292)+N(P292))</f>
        <v/>
      </c>
      <c r="R292" s="16">
        <f>IF(A292="","",F292-Q292)</f>
        <v/>
      </c>
      <c r="S292" s="46">
        <f>IFERROR(R292/F292,"")</f>
        <v/>
      </c>
      <c r="T292" s="45" t="n"/>
      <c r="U292" s="45" t="n"/>
      <c r="V292" s="45" t="n"/>
      <c r="W292" s="45" t="n"/>
      <c r="X292" s="45" t="n"/>
      <c r="Y292" s="13" t="n"/>
    </row>
    <row r="293" ht="15" customHeight="1">
      <c r="A293" s="13" t="n"/>
      <c r="B293" s="14">
        <f>IF(A293="","",IF(COUNTIF(lst_Jobs,A293&amp;"")&gt;0,"OK","CHECK"))</f>
        <v/>
      </c>
      <c r="C293" s="14">
        <f>IF(A293="","",IFERROR(INDEX(lst_JobName,MATCH(A293&amp;"",lst_Jobs,0)),""))</f>
        <v/>
      </c>
      <c r="D293" s="14">
        <f>IF(A293="","",IFERROR(INDEX(tbl_Finance[Client],MATCH(A293&amp;"",tbl_Finance[Job Number],0)),""))</f>
        <v/>
      </c>
      <c r="E293" s="44">
        <f>IF(A293="","",COUNTIFS(tbl_Finance[Job Number],A293&amp;"",tbl_Finance[Ex GST],"&lt;&gt;"))</f>
        <v/>
      </c>
      <c r="F293" s="16">
        <f>IF(A293="","",SUMIFS(tbl_Finance[Ex GST],tbl_Finance[Job Number],A293&amp;""))</f>
        <v/>
      </c>
      <c r="G293" s="14">
        <f>IF(A293="","",IFERROR(INDEX(tbl_Finance[Cost Centre],MATCH(A293&amp;"",tbl_Finance[Job Number],0)),"not invoiced yet"))</f>
        <v/>
      </c>
      <c r="H293" s="11" t="n"/>
      <c r="I293" s="13" t="n"/>
      <c r="J293" s="13" t="n"/>
      <c r="K293" s="13" t="n"/>
      <c r="L293" s="15" t="n"/>
      <c r="M293" s="16">
        <f>IF(A293="","",F293+N(L293))</f>
        <v/>
      </c>
      <c r="N293" s="46">
        <f>IFERROR(L293/M293,"")</f>
        <v/>
      </c>
      <c r="O293" s="15" t="n"/>
      <c r="P293" s="15" t="n"/>
      <c r="Q293" s="16">
        <f>IF(A293="","",N(O293)+N(P293))</f>
        <v/>
      </c>
      <c r="R293" s="16">
        <f>IF(A293="","",F293-Q293)</f>
        <v/>
      </c>
      <c r="S293" s="46">
        <f>IFERROR(R293/F293,"")</f>
        <v/>
      </c>
      <c r="T293" s="45" t="n"/>
      <c r="U293" s="45" t="n"/>
      <c r="V293" s="45" t="n"/>
      <c r="W293" s="45" t="n"/>
      <c r="X293" s="45" t="n"/>
      <c r="Y293" s="13" t="n"/>
    </row>
    <row r="294" ht="15" customHeight="1">
      <c r="A294" s="13" t="n"/>
      <c r="B294" s="14">
        <f>IF(A294="","",IF(COUNTIF(lst_Jobs,A294&amp;"")&gt;0,"OK","CHECK"))</f>
        <v/>
      </c>
      <c r="C294" s="14">
        <f>IF(A294="","",IFERROR(INDEX(lst_JobName,MATCH(A294&amp;"",lst_Jobs,0)),""))</f>
        <v/>
      </c>
      <c r="D294" s="14">
        <f>IF(A294="","",IFERROR(INDEX(tbl_Finance[Client],MATCH(A294&amp;"",tbl_Finance[Job Number],0)),""))</f>
        <v/>
      </c>
      <c r="E294" s="44">
        <f>IF(A294="","",COUNTIFS(tbl_Finance[Job Number],A294&amp;"",tbl_Finance[Ex GST],"&lt;&gt;"))</f>
        <v/>
      </c>
      <c r="F294" s="16">
        <f>IF(A294="","",SUMIFS(tbl_Finance[Ex GST],tbl_Finance[Job Number],A294&amp;""))</f>
        <v/>
      </c>
      <c r="G294" s="14">
        <f>IF(A294="","",IFERROR(INDEX(tbl_Finance[Cost Centre],MATCH(A294&amp;"",tbl_Finance[Job Number],0)),"not invoiced yet"))</f>
        <v/>
      </c>
      <c r="H294" s="11" t="n"/>
      <c r="I294" s="13" t="n"/>
      <c r="J294" s="13" t="n"/>
      <c r="K294" s="13" t="n"/>
      <c r="L294" s="15" t="n"/>
      <c r="M294" s="16">
        <f>IF(A294="","",F294+N(L294))</f>
        <v/>
      </c>
      <c r="N294" s="46">
        <f>IFERROR(L294/M294,"")</f>
        <v/>
      </c>
      <c r="O294" s="15" t="n"/>
      <c r="P294" s="15" t="n"/>
      <c r="Q294" s="16">
        <f>IF(A294="","",N(O294)+N(P294))</f>
        <v/>
      </c>
      <c r="R294" s="16">
        <f>IF(A294="","",F294-Q294)</f>
        <v/>
      </c>
      <c r="S294" s="46">
        <f>IFERROR(R294/F294,"")</f>
        <v/>
      </c>
      <c r="T294" s="45" t="n"/>
      <c r="U294" s="45" t="n"/>
      <c r="V294" s="45" t="n"/>
      <c r="W294" s="45" t="n"/>
      <c r="X294" s="45" t="n"/>
      <c r="Y294" s="13" t="n"/>
    </row>
    <row r="295" ht="15" customHeight="1">
      <c r="A295" s="13" t="n"/>
      <c r="B295" s="14">
        <f>IF(A295="","",IF(COUNTIF(lst_Jobs,A295&amp;"")&gt;0,"OK","CHECK"))</f>
        <v/>
      </c>
      <c r="C295" s="14">
        <f>IF(A295="","",IFERROR(INDEX(lst_JobName,MATCH(A295&amp;"",lst_Jobs,0)),""))</f>
        <v/>
      </c>
      <c r="D295" s="14">
        <f>IF(A295="","",IFERROR(INDEX(tbl_Finance[Client],MATCH(A295&amp;"",tbl_Finance[Job Number],0)),""))</f>
        <v/>
      </c>
      <c r="E295" s="44">
        <f>IF(A295="","",COUNTIFS(tbl_Finance[Job Number],A295&amp;"",tbl_Finance[Ex GST],"&lt;&gt;"))</f>
        <v/>
      </c>
      <c r="F295" s="16">
        <f>IF(A295="","",SUMIFS(tbl_Finance[Ex GST],tbl_Finance[Job Number],A295&amp;""))</f>
        <v/>
      </c>
      <c r="G295" s="14">
        <f>IF(A295="","",IFERROR(INDEX(tbl_Finance[Cost Centre],MATCH(A295&amp;"",tbl_Finance[Job Number],0)),"not invoiced yet"))</f>
        <v/>
      </c>
      <c r="H295" s="11" t="n"/>
      <c r="I295" s="13" t="n"/>
      <c r="J295" s="13" t="n"/>
      <c r="K295" s="13" t="n"/>
      <c r="L295" s="15" t="n"/>
      <c r="M295" s="16">
        <f>IF(A295="","",F295+N(L295))</f>
        <v/>
      </c>
      <c r="N295" s="46">
        <f>IFERROR(L295/M295,"")</f>
        <v/>
      </c>
      <c r="O295" s="15" t="n"/>
      <c r="P295" s="15" t="n"/>
      <c r="Q295" s="16">
        <f>IF(A295="","",N(O295)+N(P295))</f>
        <v/>
      </c>
      <c r="R295" s="16">
        <f>IF(A295="","",F295-Q295)</f>
        <v/>
      </c>
      <c r="S295" s="46">
        <f>IFERROR(R295/F295,"")</f>
        <v/>
      </c>
      <c r="T295" s="45" t="n"/>
      <c r="U295" s="45" t="n"/>
      <c r="V295" s="45" t="n"/>
      <c r="W295" s="45" t="n"/>
      <c r="X295" s="45" t="n"/>
      <c r="Y295" s="13" t="n"/>
    </row>
    <row r="296" ht="15" customHeight="1">
      <c r="A296" s="13" t="n"/>
      <c r="B296" s="14">
        <f>IF(A296="","",IF(COUNTIF(lst_Jobs,A296&amp;"")&gt;0,"OK","CHECK"))</f>
        <v/>
      </c>
      <c r="C296" s="14">
        <f>IF(A296="","",IFERROR(INDEX(lst_JobName,MATCH(A296&amp;"",lst_Jobs,0)),""))</f>
        <v/>
      </c>
      <c r="D296" s="14">
        <f>IF(A296="","",IFERROR(INDEX(tbl_Finance[Client],MATCH(A296&amp;"",tbl_Finance[Job Number],0)),""))</f>
        <v/>
      </c>
      <c r="E296" s="44">
        <f>IF(A296="","",COUNTIFS(tbl_Finance[Job Number],A296&amp;"",tbl_Finance[Ex GST],"&lt;&gt;"))</f>
        <v/>
      </c>
      <c r="F296" s="16">
        <f>IF(A296="","",SUMIFS(tbl_Finance[Ex GST],tbl_Finance[Job Number],A296&amp;""))</f>
        <v/>
      </c>
      <c r="G296" s="14">
        <f>IF(A296="","",IFERROR(INDEX(tbl_Finance[Cost Centre],MATCH(A296&amp;"",tbl_Finance[Job Number],0)),"not invoiced yet"))</f>
        <v/>
      </c>
      <c r="H296" s="11" t="n"/>
      <c r="I296" s="13" t="n"/>
      <c r="J296" s="13" t="n"/>
      <c r="K296" s="13" t="n"/>
      <c r="L296" s="15" t="n"/>
      <c r="M296" s="16">
        <f>IF(A296="","",F296+N(L296))</f>
        <v/>
      </c>
      <c r="N296" s="46">
        <f>IFERROR(L296/M296,"")</f>
        <v/>
      </c>
      <c r="O296" s="15" t="n"/>
      <c r="P296" s="15" t="n"/>
      <c r="Q296" s="16">
        <f>IF(A296="","",N(O296)+N(P296))</f>
        <v/>
      </c>
      <c r="R296" s="16">
        <f>IF(A296="","",F296-Q296)</f>
        <v/>
      </c>
      <c r="S296" s="46">
        <f>IFERROR(R296/F296,"")</f>
        <v/>
      </c>
      <c r="T296" s="45" t="n"/>
      <c r="U296" s="45" t="n"/>
      <c r="V296" s="45" t="n"/>
      <c r="W296" s="45" t="n"/>
      <c r="X296" s="45" t="n"/>
      <c r="Y296" s="13" t="n"/>
    </row>
    <row r="297" ht="15" customHeight="1">
      <c r="A297" s="13" t="n"/>
      <c r="B297" s="14">
        <f>IF(A297="","",IF(COUNTIF(lst_Jobs,A297&amp;"")&gt;0,"OK","CHECK"))</f>
        <v/>
      </c>
      <c r="C297" s="14">
        <f>IF(A297="","",IFERROR(INDEX(lst_JobName,MATCH(A297&amp;"",lst_Jobs,0)),""))</f>
        <v/>
      </c>
      <c r="D297" s="14">
        <f>IF(A297="","",IFERROR(INDEX(tbl_Finance[Client],MATCH(A297&amp;"",tbl_Finance[Job Number],0)),""))</f>
        <v/>
      </c>
      <c r="E297" s="44">
        <f>IF(A297="","",COUNTIFS(tbl_Finance[Job Number],A297&amp;"",tbl_Finance[Ex GST],"&lt;&gt;"))</f>
        <v/>
      </c>
      <c r="F297" s="16">
        <f>IF(A297="","",SUMIFS(tbl_Finance[Ex GST],tbl_Finance[Job Number],A297&amp;""))</f>
        <v/>
      </c>
      <c r="G297" s="14">
        <f>IF(A297="","",IFERROR(INDEX(tbl_Finance[Cost Centre],MATCH(A297&amp;"",tbl_Finance[Job Number],0)),"not invoiced yet"))</f>
        <v/>
      </c>
      <c r="H297" s="11" t="n"/>
      <c r="I297" s="13" t="n"/>
      <c r="J297" s="13" t="n"/>
      <c r="K297" s="13" t="n"/>
      <c r="L297" s="15" t="n"/>
      <c r="M297" s="16">
        <f>IF(A297="","",F297+N(L297))</f>
        <v/>
      </c>
      <c r="N297" s="46">
        <f>IFERROR(L297/M297,"")</f>
        <v/>
      </c>
      <c r="O297" s="15" t="n"/>
      <c r="P297" s="15" t="n"/>
      <c r="Q297" s="16">
        <f>IF(A297="","",N(O297)+N(P297))</f>
        <v/>
      </c>
      <c r="R297" s="16">
        <f>IF(A297="","",F297-Q297)</f>
        <v/>
      </c>
      <c r="S297" s="46">
        <f>IFERROR(R297/F297,"")</f>
        <v/>
      </c>
      <c r="T297" s="45" t="n"/>
      <c r="U297" s="45" t="n"/>
      <c r="V297" s="45" t="n"/>
      <c r="W297" s="45" t="n"/>
      <c r="X297" s="45" t="n"/>
      <c r="Y297" s="13" t="n"/>
    </row>
    <row r="298" ht="15" customHeight="1">
      <c r="A298" s="13" t="n"/>
      <c r="B298" s="14">
        <f>IF(A298="","",IF(COUNTIF(lst_Jobs,A298&amp;"")&gt;0,"OK","CHECK"))</f>
        <v/>
      </c>
      <c r="C298" s="14">
        <f>IF(A298="","",IFERROR(INDEX(lst_JobName,MATCH(A298&amp;"",lst_Jobs,0)),""))</f>
        <v/>
      </c>
      <c r="D298" s="14">
        <f>IF(A298="","",IFERROR(INDEX(tbl_Finance[Client],MATCH(A298&amp;"",tbl_Finance[Job Number],0)),""))</f>
        <v/>
      </c>
      <c r="E298" s="44">
        <f>IF(A298="","",COUNTIFS(tbl_Finance[Job Number],A298&amp;"",tbl_Finance[Ex GST],"&lt;&gt;"))</f>
        <v/>
      </c>
      <c r="F298" s="16">
        <f>IF(A298="","",SUMIFS(tbl_Finance[Ex GST],tbl_Finance[Job Number],A298&amp;""))</f>
        <v/>
      </c>
      <c r="G298" s="14">
        <f>IF(A298="","",IFERROR(INDEX(tbl_Finance[Cost Centre],MATCH(A298&amp;"",tbl_Finance[Job Number],0)),"not invoiced yet"))</f>
        <v/>
      </c>
      <c r="H298" s="11" t="n"/>
      <c r="I298" s="13" t="n"/>
      <c r="J298" s="13" t="n"/>
      <c r="K298" s="13" t="n"/>
      <c r="L298" s="15" t="n"/>
      <c r="M298" s="16">
        <f>IF(A298="","",F298+N(L298))</f>
        <v/>
      </c>
      <c r="N298" s="46">
        <f>IFERROR(L298/M298,"")</f>
        <v/>
      </c>
      <c r="O298" s="15" t="n"/>
      <c r="P298" s="15" t="n"/>
      <c r="Q298" s="16">
        <f>IF(A298="","",N(O298)+N(P298))</f>
        <v/>
      </c>
      <c r="R298" s="16">
        <f>IF(A298="","",F298-Q298)</f>
        <v/>
      </c>
      <c r="S298" s="46">
        <f>IFERROR(R298/F298,"")</f>
        <v/>
      </c>
      <c r="T298" s="45" t="n"/>
      <c r="U298" s="45" t="n"/>
      <c r="V298" s="45" t="n"/>
      <c r="W298" s="45" t="n"/>
      <c r="X298" s="45" t="n"/>
      <c r="Y298" s="13" t="n"/>
    </row>
    <row r="299" ht="15" customHeight="1">
      <c r="A299" s="13" t="n"/>
      <c r="B299" s="14">
        <f>IF(A299="","",IF(COUNTIF(lst_Jobs,A299&amp;"")&gt;0,"OK","CHECK"))</f>
        <v/>
      </c>
      <c r="C299" s="14">
        <f>IF(A299="","",IFERROR(INDEX(lst_JobName,MATCH(A299&amp;"",lst_Jobs,0)),""))</f>
        <v/>
      </c>
      <c r="D299" s="14">
        <f>IF(A299="","",IFERROR(INDEX(tbl_Finance[Client],MATCH(A299&amp;"",tbl_Finance[Job Number],0)),""))</f>
        <v/>
      </c>
      <c r="E299" s="44">
        <f>IF(A299="","",COUNTIFS(tbl_Finance[Job Number],A299&amp;"",tbl_Finance[Ex GST],"&lt;&gt;"))</f>
        <v/>
      </c>
      <c r="F299" s="16">
        <f>IF(A299="","",SUMIFS(tbl_Finance[Ex GST],tbl_Finance[Job Number],A299&amp;""))</f>
        <v/>
      </c>
      <c r="G299" s="14">
        <f>IF(A299="","",IFERROR(INDEX(tbl_Finance[Cost Centre],MATCH(A299&amp;"",tbl_Finance[Job Number],0)),"not invoiced yet"))</f>
        <v/>
      </c>
      <c r="H299" s="11" t="n"/>
      <c r="I299" s="13" t="n"/>
      <c r="J299" s="13" t="n"/>
      <c r="K299" s="13" t="n"/>
      <c r="L299" s="15" t="n"/>
      <c r="M299" s="16">
        <f>IF(A299="","",F299+N(L299))</f>
        <v/>
      </c>
      <c r="N299" s="46">
        <f>IFERROR(L299/M299,"")</f>
        <v/>
      </c>
      <c r="O299" s="15" t="n"/>
      <c r="P299" s="15" t="n"/>
      <c r="Q299" s="16">
        <f>IF(A299="","",N(O299)+N(P299))</f>
        <v/>
      </c>
      <c r="R299" s="16">
        <f>IF(A299="","",F299-Q299)</f>
        <v/>
      </c>
      <c r="S299" s="46">
        <f>IFERROR(R299/F299,"")</f>
        <v/>
      </c>
      <c r="T299" s="45" t="n"/>
      <c r="U299" s="45" t="n"/>
      <c r="V299" s="45" t="n"/>
      <c r="W299" s="45" t="n"/>
      <c r="X299" s="45" t="n"/>
      <c r="Y299" s="13" t="n"/>
    </row>
    <row r="300" ht="15" customHeight="1">
      <c r="A300" s="13" t="n"/>
      <c r="B300" s="14">
        <f>IF(A300="","",IF(COUNTIF(lst_Jobs,A300&amp;"")&gt;0,"OK","CHECK"))</f>
        <v/>
      </c>
      <c r="C300" s="14">
        <f>IF(A300="","",IFERROR(INDEX(lst_JobName,MATCH(A300&amp;"",lst_Jobs,0)),""))</f>
        <v/>
      </c>
      <c r="D300" s="14">
        <f>IF(A300="","",IFERROR(INDEX(tbl_Finance[Client],MATCH(A300&amp;"",tbl_Finance[Job Number],0)),""))</f>
        <v/>
      </c>
      <c r="E300" s="44">
        <f>IF(A300="","",COUNTIFS(tbl_Finance[Job Number],A300&amp;"",tbl_Finance[Ex GST],"&lt;&gt;"))</f>
        <v/>
      </c>
      <c r="F300" s="16">
        <f>IF(A300="","",SUMIFS(tbl_Finance[Ex GST],tbl_Finance[Job Number],A300&amp;""))</f>
        <v/>
      </c>
      <c r="G300" s="14">
        <f>IF(A300="","",IFERROR(INDEX(tbl_Finance[Cost Centre],MATCH(A300&amp;"",tbl_Finance[Job Number],0)),"not invoiced yet"))</f>
        <v/>
      </c>
      <c r="H300" s="11" t="n"/>
      <c r="I300" s="13" t="n"/>
      <c r="J300" s="13" t="n"/>
      <c r="K300" s="13" t="n"/>
      <c r="L300" s="15" t="n"/>
      <c r="M300" s="16">
        <f>IF(A300="","",F300+N(L300))</f>
        <v/>
      </c>
      <c r="N300" s="46">
        <f>IFERROR(L300/M300,"")</f>
        <v/>
      </c>
      <c r="O300" s="15" t="n"/>
      <c r="P300" s="15" t="n"/>
      <c r="Q300" s="16">
        <f>IF(A300="","",N(O300)+N(P300))</f>
        <v/>
      </c>
      <c r="R300" s="16">
        <f>IF(A300="","",F300-Q300)</f>
        <v/>
      </c>
      <c r="S300" s="46">
        <f>IFERROR(R300/F300,"")</f>
        <v/>
      </c>
      <c r="T300" s="45" t="n"/>
      <c r="U300" s="45" t="n"/>
      <c r="V300" s="45" t="n"/>
      <c r="W300" s="45" t="n"/>
      <c r="X300" s="45" t="n"/>
      <c r="Y300" s="13" t="n"/>
    </row>
    <row r="301" ht="15" customHeight="1">
      <c r="A301" s="13" t="n"/>
      <c r="B301" s="14">
        <f>IF(A301="","",IF(COUNTIF(lst_Jobs,A301&amp;"")&gt;0,"OK","CHECK"))</f>
        <v/>
      </c>
      <c r="C301" s="14">
        <f>IF(A301="","",IFERROR(INDEX(lst_JobName,MATCH(A301&amp;"",lst_Jobs,0)),""))</f>
        <v/>
      </c>
      <c r="D301" s="14">
        <f>IF(A301="","",IFERROR(INDEX(tbl_Finance[Client],MATCH(A301&amp;"",tbl_Finance[Job Number],0)),""))</f>
        <v/>
      </c>
      <c r="E301" s="44">
        <f>IF(A301="","",COUNTIFS(tbl_Finance[Job Number],A301&amp;"",tbl_Finance[Ex GST],"&lt;&gt;"))</f>
        <v/>
      </c>
      <c r="F301" s="16">
        <f>IF(A301="","",SUMIFS(tbl_Finance[Ex GST],tbl_Finance[Job Number],A301&amp;""))</f>
        <v/>
      </c>
      <c r="G301" s="14">
        <f>IF(A301="","",IFERROR(INDEX(tbl_Finance[Cost Centre],MATCH(A301&amp;"",tbl_Finance[Job Number],0)),"not invoiced yet"))</f>
        <v/>
      </c>
      <c r="H301" s="11" t="n"/>
      <c r="I301" s="13" t="n"/>
      <c r="J301" s="13" t="n"/>
      <c r="K301" s="13" t="n"/>
      <c r="L301" s="15" t="n"/>
      <c r="M301" s="16">
        <f>IF(A301="","",F301+N(L301))</f>
        <v/>
      </c>
      <c r="N301" s="46">
        <f>IFERROR(L301/M301,"")</f>
        <v/>
      </c>
      <c r="O301" s="15" t="n"/>
      <c r="P301" s="15" t="n"/>
      <c r="Q301" s="16">
        <f>IF(A301="","",N(O301)+N(P301))</f>
        <v/>
      </c>
      <c r="R301" s="16">
        <f>IF(A301="","",F301-Q301)</f>
        <v/>
      </c>
      <c r="S301" s="46">
        <f>IFERROR(R301/F301,"")</f>
        <v/>
      </c>
      <c r="T301" s="45" t="n"/>
      <c r="U301" s="45" t="n"/>
      <c r="V301" s="45" t="n"/>
      <c r="W301" s="45" t="n"/>
      <c r="X301" s="45" t="n"/>
      <c r="Y301" s="13" t="n"/>
    </row>
    <row r="302" ht="15" customHeight="1">
      <c r="A302" s="13" t="n"/>
      <c r="B302" s="14">
        <f>IF(A302="","",IF(COUNTIF(lst_Jobs,A302&amp;"")&gt;0,"OK","CHECK"))</f>
        <v/>
      </c>
      <c r="C302" s="14">
        <f>IF(A302="","",IFERROR(INDEX(lst_JobName,MATCH(A302&amp;"",lst_Jobs,0)),""))</f>
        <v/>
      </c>
      <c r="D302" s="14">
        <f>IF(A302="","",IFERROR(INDEX(tbl_Finance[Client],MATCH(A302&amp;"",tbl_Finance[Job Number],0)),""))</f>
        <v/>
      </c>
      <c r="E302" s="44">
        <f>IF(A302="","",COUNTIFS(tbl_Finance[Job Number],A302&amp;"",tbl_Finance[Ex GST],"&lt;&gt;"))</f>
        <v/>
      </c>
      <c r="F302" s="16">
        <f>IF(A302="","",SUMIFS(tbl_Finance[Ex GST],tbl_Finance[Job Number],A302&amp;""))</f>
        <v/>
      </c>
      <c r="G302" s="14">
        <f>IF(A302="","",IFERROR(INDEX(tbl_Finance[Cost Centre],MATCH(A302&amp;"",tbl_Finance[Job Number],0)),"not invoiced yet"))</f>
        <v/>
      </c>
      <c r="H302" s="11" t="n"/>
      <c r="I302" s="13" t="n"/>
      <c r="J302" s="13" t="n"/>
      <c r="K302" s="13" t="n"/>
      <c r="L302" s="15" t="n"/>
      <c r="M302" s="16">
        <f>IF(A302="","",F302+N(L302))</f>
        <v/>
      </c>
      <c r="N302" s="46">
        <f>IFERROR(L302/M302,"")</f>
        <v/>
      </c>
      <c r="O302" s="15" t="n"/>
      <c r="P302" s="15" t="n"/>
      <c r="Q302" s="16">
        <f>IF(A302="","",N(O302)+N(P302))</f>
        <v/>
      </c>
      <c r="R302" s="16">
        <f>IF(A302="","",F302-Q302)</f>
        <v/>
      </c>
      <c r="S302" s="46">
        <f>IFERROR(R302/F302,"")</f>
        <v/>
      </c>
      <c r="T302" s="45" t="n"/>
      <c r="U302" s="45" t="n"/>
      <c r="V302" s="45" t="n"/>
      <c r="W302" s="45" t="n"/>
      <c r="X302" s="45" t="n"/>
      <c r="Y302" s="13" t="n"/>
    </row>
    <row r="303" ht="15" customHeight="1">
      <c r="A303" s="13" t="n"/>
      <c r="B303" s="14">
        <f>IF(A303="","",IF(COUNTIF(lst_Jobs,A303&amp;"")&gt;0,"OK","CHECK"))</f>
        <v/>
      </c>
      <c r="C303" s="14">
        <f>IF(A303="","",IFERROR(INDEX(lst_JobName,MATCH(A303&amp;"",lst_Jobs,0)),""))</f>
        <v/>
      </c>
      <c r="D303" s="14">
        <f>IF(A303="","",IFERROR(INDEX(tbl_Finance[Client],MATCH(A303&amp;"",tbl_Finance[Job Number],0)),""))</f>
        <v/>
      </c>
      <c r="E303" s="44">
        <f>IF(A303="","",COUNTIFS(tbl_Finance[Job Number],A303&amp;"",tbl_Finance[Ex GST],"&lt;&gt;"))</f>
        <v/>
      </c>
      <c r="F303" s="16">
        <f>IF(A303="","",SUMIFS(tbl_Finance[Ex GST],tbl_Finance[Job Number],A303&amp;""))</f>
        <v/>
      </c>
      <c r="G303" s="14">
        <f>IF(A303="","",IFERROR(INDEX(tbl_Finance[Cost Centre],MATCH(A303&amp;"",tbl_Finance[Job Number],0)),"not invoiced yet"))</f>
        <v/>
      </c>
      <c r="H303" s="11" t="n"/>
      <c r="I303" s="13" t="n"/>
      <c r="J303" s="13" t="n"/>
      <c r="K303" s="13" t="n"/>
      <c r="L303" s="15" t="n"/>
      <c r="M303" s="16">
        <f>IF(A303="","",F303+N(L303))</f>
        <v/>
      </c>
      <c r="N303" s="46">
        <f>IFERROR(L303/M303,"")</f>
        <v/>
      </c>
      <c r="O303" s="15" t="n"/>
      <c r="P303" s="15" t="n"/>
      <c r="Q303" s="16">
        <f>IF(A303="","",N(O303)+N(P303))</f>
        <v/>
      </c>
      <c r="R303" s="16">
        <f>IF(A303="","",F303-Q303)</f>
        <v/>
      </c>
      <c r="S303" s="46">
        <f>IFERROR(R303/F303,"")</f>
        <v/>
      </c>
      <c r="T303" s="45" t="n"/>
      <c r="U303" s="45" t="n"/>
      <c r="V303" s="45" t="n"/>
      <c r="W303" s="45" t="n"/>
      <c r="X303" s="45" t="n"/>
      <c r="Y303" s="13" t="n"/>
    </row>
    <row r="304" ht="15" customHeight="1">
      <c r="A304" s="13" t="n"/>
      <c r="B304" s="14">
        <f>IF(A304="","",IF(COUNTIF(lst_Jobs,A304&amp;"")&gt;0,"OK","CHECK"))</f>
        <v/>
      </c>
      <c r="C304" s="14">
        <f>IF(A304="","",IFERROR(INDEX(lst_JobName,MATCH(A304&amp;"",lst_Jobs,0)),""))</f>
        <v/>
      </c>
      <c r="D304" s="14">
        <f>IF(A304="","",IFERROR(INDEX(tbl_Finance[Client],MATCH(A304&amp;"",tbl_Finance[Job Number],0)),""))</f>
        <v/>
      </c>
      <c r="E304" s="44">
        <f>IF(A304="","",COUNTIFS(tbl_Finance[Job Number],A304&amp;"",tbl_Finance[Ex GST],"&lt;&gt;"))</f>
        <v/>
      </c>
      <c r="F304" s="16">
        <f>IF(A304="","",SUMIFS(tbl_Finance[Ex GST],tbl_Finance[Job Number],A304&amp;""))</f>
        <v/>
      </c>
      <c r="G304" s="14">
        <f>IF(A304="","",IFERROR(INDEX(tbl_Finance[Cost Centre],MATCH(A304&amp;"",tbl_Finance[Job Number],0)),"not invoiced yet"))</f>
        <v/>
      </c>
      <c r="H304" s="11" t="n"/>
      <c r="I304" s="13" t="n"/>
      <c r="J304" s="13" t="n"/>
      <c r="K304" s="13" t="n"/>
      <c r="L304" s="15" t="n"/>
      <c r="M304" s="16">
        <f>IF(A304="","",F304+N(L304))</f>
        <v/>
      </c>
      <c r="N304" s="46">
        <f>IFERROR(L304/M304,"")</f>
        <v/>
      </c>
      <c r="O304" s="15" t="n"/>
      <c r="P304" s="15" t="n"/>
      <c r="Q304" s="16">
        <f>IF(A304="","",N(O304)+N(P304))</f>
        <v/>
      </c>
      <c r="R304" s="16">
        <f>IF(A304="","",F304-Q304)</f>
        <v/>
      </c>
      <c r="S304" s="46">
        <f>IFERROR(R304/F304,"")</f>
        <v/>
      </c>
      <c r="T304" s="45" t="n"/>
      <c r="U304" s="45" t="n"/>
      <c r="V304" s="45" t="n"/>
      <c r="W304" s="45" t="n"/>
      <c r="X304" s="45" t="n"/>
      <c r="Y304" s="13" t="n"/>
    </row>
    <row r="305" ht="15" customHeight="1">
      <c r="A305" s="13" t="n"/>
      <c r="B305" s="14">
        <f>IF(A305="","",IF(COUNTIF(lst_Jobs,A305&amp;"")&gt;0,"OK","CHECK"))</f>
        <v/>
      </c>
      <c r="C305" s="14">
        <f>IF(A305="","",IFERROR(INDEX(lst_JobName,MATCH(A305&amp;"",lst_Jobs,0)),""))</f>
        <v/>
      </c>
      <c r="D305" s="14">
        <f>IF(A305="","",IFERROR(INDEX(tbl_Finance[Client],MATCH(A305&amp;"",tbl_Finance[Job Number],0)),""))</f>
        <v/>
      </c>
      <c r="E305" s="44">
        <f>IF(A305="","",COUNTIFS(tbl_Finance[Job Number],A305&amp;"",tbl_Finance[Ex GST],"&lt;&gt;"))</f>
        <v/>
      </c>
      <c r="F305" s="16">
        <f>IF(A305="","",SUMIFS(tbl_Finance[Ex GST],tbl_Finance[Job Number],A305&amp;""))</f>
        <v/>
      </c>
      <c r="G305" s="14">
        <f>IF(A305="","",IFERROR(INDEX(tbl_Finance[Cost Centre],MATCH(A305&amp;"",tbl_Finance[Job Number],0)),"not invoiced yet"))</f>
        <v/>
      </c>
      <c r="H305" s="11" t="n"/>
      <c r="I305" s="13" t="n"/>
      <c r="J305" s="13" t="n"/>
      <c r="K305" s="13" t="n"/>
      <c r="L305" s="15" t="n"/>
      <c r="M305" s="16">
        <f>IF(A305="","",F305+N(L305))</f>
        <v/>
      </c>
      <c r="N305" s="46">
        <f>IFERROR(L305/M305,"")</f>
        <v/>
      </c>
      <c r="O305" s="15" t="n"/>
      <c r="P305" s="15" t="n"/>
      <c r="Q305" s="16">
        <f>IF(A305="","",N(O305)+N(P305))</f>
        <v/>
      </c>
      <c r="R305" s="16">
        <f>IF(A305="","",F305-Q305)</f>
        <v/>
      </c>
      <c r="S305" s="46">
        <f>IFERROR(R305/F305,"")</f>
        <v/>
      </c>
      <c r="T305" s="45" t="n"/>
      <c r="U305" s="45" t="n"/>
      <c r="V305" s="45" t="n"/>
      <c r="W305" s="45" t="n"/>
      <c r="X305" s="45" t="n"/>
      <c r="Y305" s="13" t="n"/>
    </row>
    <row r="306" ht="15" customHeight="1">
      <c r="A306" s="13" t="n"/>
      <c r="B306" s="14">
        <f>IF(A306="","",IF(COUNTIF(lst_Jobs,A306&amp;"")&gt;0,"OK","CHECK"))</f>
        <v/>
      </c>
      <c r="C306" s="14">
        <f>IF(A306="","",IFERROR(INDEX(lst_JobName,MATCH(A306&amp;"",lst_Jobs,0)),""))</f>
        <v/>
      </c>
      <c r="D306" s="14">
        <f>IF(A306="","",IFERROR(INDEX(tbl_Finance[Client],MATCH(A306&amp;"",tbl_Finance[Job Number],0)),""))</f>
        <v/>
      </c>
      <c r="E306" s="44">
        <f>IF(A306="","",COUNTIFS(tbl_Finance[Job Number],A306&amp;"",tbl_Finance[Ex GST],"&lt;&gt;"))</f>
        <v/>
      </c>
      <c r="F306" s="16">
        <f>IF(A306="","",SUMIFS(tbl_Finance[Ex GST],tbl_Finance[Job Number],A306&amp;""))</f>
        <v/>
      </c>
      <c r="G306" s="14">
        <f>IF(A306="","",IFERROR(INDEX(tbl_Finance[Cost Centre],MATCH(A306&amp;"",tbl_Finance[Job Number],0)),"not invoiced yet"))</f>
        <v/>
      </c>
      <c r="H306" s="11" t="n"/>
      <c r="I306" s="13" t="n"/>
      <c r="J306" s="13" t="n"/>
      <c r="K306" s="13" t="n"/>
      <c r="L306" s="15" t="n"/>
      <c r="M306" s="16">
        <f>IF(A306="","",F306+N(L306))</f>
        <v/>
      </c>
      <c r="N306" s="46">
        <f>IFERROR(L306/M306,"")</f>
        <v/>
      </c>
      <c r="O306" s="15" t="n"/>
      <c r="P306" s="15" t="n"/>
      <c r="Q306" s="16">
        <f>IF(A306="","",N(O306)+N(P306))</f>
        <v/>
      </c>
      <c r="R306" s="16">
        <f>IF(A306="","",F306-Q306)</f>
        <v/>
      </c>
      <c r="S306" s="46">
        <f>IFERROR(R306/F306,"")</f>
        <v/>
      </c>
      <c r="T306" s="45" t="n"/>
      <c r="U306" s="45" t="n"/>
      <c r="V306" s="45" t="n"/>
      <c r="W306" s="45" t="n"/>
      <c r="X306" s="45" t="n"/>
      <c r="Y306" s="13" t="n"/>
    </row>
    <row r="307" ht="15" customHeight="1">
      <c r="A307" s="13" t="n"/>
      <c r="B307" s="14">
        <f>IF(A307="","",IF(COUNTIF(lst_Jobs,A307&amp;"")&gt;0,"OK","CHECK"))</f>
        <v/>
      </c>
      <c r="C307" s="14">
        <f>IF(A307="","",IFERROR(INDEX(lst_JobName,MATCH(A307&amp;"",lst_Jobs,0)),""))</f>
        <v/>
      </c>
      <c r="D307" s="14">
        <f>IF(A307="","",IFERROR(INDEX(tbl_Finance[Client],MATCH(A307&amp;"",tbl_Finance[Job Number],0)),""))</f>
        <v/>
      </c>
      <c r="E307" s="44">
        <f>IF(A307="","",COUNTIFS(tbl_Finance[Job Number],A307&amp;"",tbl_Finance[Ex GST],"&lt;&gt;"))</f>
        <v/>
      </c>
      <c r="F307" s="16">
        <f>IF(A307="","",SUMIFS(tbl_Finance[Ex GST],tbl_Finance[Job Number],A307&amp;""))</f>
        <v/>
      </c>
      <c r="G307" s="14">
        <f>IF(A307="","",IFERROR(INDEX(tbl_Finance[Cost Centre],MATCH(A307&amp;"",tbl_Finance[Job Number],0)),"not invoiced yet"))</f>
        <v/>
      </c>
      <c r="H307" s="11" t="n"/>
      <c r="I307" s="13" t="n"/>
      <c r="J307" s="13" t="n"/>
      <c r="K307" s="13" t="n"/>
      <c r="L307" s="15" t="n"/>
      <c r="M307" s="16">
        <f>IF(A307="","",F307+N(L307))</f>
        <v/>
      </c>
      <c r="N307" s="46">
        <f>IFERROR(L307/M307,"")</f>
        <v/>
      </c>
      <c r="O307" s="15" t="n"/>
      <c r="P307" s="15" t="n"/>
      <c r="Q307" s="16">
        <f>IF(A307="","",N(O307)+N(P307))</f>
        <v/>
      </c>
      <c r="R307" s="16">
        <f>IF(A307="","",F307-Q307)</f>
        <v/>
      </c>
      <c r="S307" s="46">
        <f>IFERROR(R307/F307,"")</f>
        <v/>
      </c>
      <c r="T307" s="45" t="n"/>
      <c r="U307" s="45" t="n"/>
      <c r="V307" s="45" t="n"/>
      <c r="W307" s="45" t="n"/>
      <c r="X307" s="45" t="n"/>
      <c r="Y307" s="13" t="n"/>
    </row>
    <row r="308" ht="15" customHeight="1">
      <c r="A308" s="13" t="n"/>
      <c r="B308" s="14">
        <f>IF(A308="","",IF(COUNTIF(lst_Jobs,A308&amp;"")&gt;0,"OK","CHECK"))</f>
        <v/>
      </c>
      <c r="C308" s="14">
        <f>IF(A308="","",IFERROR(INDEX(lst_JobName,MATCH(A308&amp;"",lst_Jobs,0)),""))</f>
        <v/>
      </c>
      <c r="D308" s="14">
        <f>IF(A308="","",IFERROR(INDEX(tbl_Finance[Client],MATCH(A308&amp;"",tbl_Finance[Job Number],0)),""))</f>
        <v/>
      </c>
      <c r="E308" s="44">
        <f>IF(A308="","",COUNTIFS(tbl_Finance[Job Number],A308&amp;"",tbl_Finance[Ex GST],"&lt;&gt;"))</f>
        <v/>
      </c>
      <c r="F308" s="16">
        <f>IF(A308="","",SUMIFS(tbl_Finance[Ex GST],tbl_Finance[Job Number],A308&amp;""))</f>
        <v/>
      </c>
      <c r="G308" s="14">
        <f>IF(A308="","",IFERROR(INDEX(tbl_Finance[Cost Centre],MATCH(A308&amp;"",tbl_Finance[Job Number],0)),"not invoiced yet"))</f>
        <v/>
      </c>
      <c r="H308" s="11" t="n"/>
      <c r="I308" s="13" t="n"/>
      <c r="J308" s="13" t="n"/>
      <c r="K308" s="13" t="n"/>
      <c r="L308" s="15" t="n"/>
      <c r="M308" s="16">
        <f>IF(A308="","",F308+N(L308))</f>
        <v/>
      </c>
      <c r="N308" s="46">
        <f>IFERROR(L308/M308,"")</f>
        <v/>
      </c>
      <c r="O308" s="15" t="n"/>
      <c r="P308" s="15" t="n"/>
      <c r="Q308" s="16">
        <f>IF(A308="","",N(O308)+N(P308))</f>
        <v/>
      </c>
      <c r="R308" s="16">
        <f>IF(A308="","",F308-Q308)</f>
        <v/>
      </c>
      <c r="S308" s="46">
        <f>IFERROR(R308/F308,"")</f>
        <v/>
      </c>
      <c r="T308" s="45" t="n"/>
      <c r="U308" s="45" t="n"/>
      <c r="V308" s="45" t="n"/>
      <c r="W308" s="45" t="n"/>
      <c r="X308" s="45" t="n"/>
      <c r="Y308" s="13" t="n"/>
    </row>
    <row r="309" ht="15" customHeight="1">
      <c r="A309" s="13" t="n"/>
      <c r="B309" s="14">
        <f>IF(A309="","",IF(COUNTIF(lst_Jobs,A309&amp;"")&gt;0,"OK","CHECK"))</f>
        <v/>
      </c>
      <c r="C309" s="14">
        <f>IF(A309="","",IFERROR(INDEX(lst_JobName,MATCH(A309&amp;"",lst_Jobs,0)),""))</f>
        <v/>
      </c>
      <c r="D309" s="14">
        <f>IF(A309="","",IFERROR(INDEX(tbl_Finance[Client],MATCH(A309&amp;"",tbl_Finance[Job Number],0)),""))</f>
        <v/>
      </c>
      <c r="E309" s="44">
        <f>IF(A309="","",COUNTIFS(tbl_Finance[Job Number],A309&amp;"",tbl_Finance[Ex GST],"&lt;&gt;"))</f>
        <v/>
      </c>
      <c r="F309" s="16">
        <f>IF(A309="","",SUMIFS(tbl_Finance[Ex GST],tbl_Finance[Job Number],A309&amp;""))</f>
        <v/>
      </c>
      <c r="G309" s="14">
        <f>IF(A309="","",IFERROR(INDEX(tbl_Finance[Cost Centre],MATCH(A309&amp;"",tbl_Finance[Job Number],0)),"not invoiced yet"))</f>
        <v/>
      </c>
      <c r="H309" s="11" t="n"/>
      <c r="I309" s="13" t="n"/>
      <c r="J309" s="13" t="n"/>
      <c r="K309" s="13" t="n"/>
      <c r="L309" s="15" t="n"/>
      <c r="M309" s="16">
        <f>IF(A309="","",F309+N(L309))</f>
        <v/>
      </c>
      <c r="N309" s="46">
        <f>IFERROR(L309/M309,"")</f>
        <v/>
      </c>
      <c r="O309" s="15" t="n"/>
      <c r="P309" s="15" t="n"/>
      <c r="Q309" s="16">
        <f>IF(A309="","",N(O309)+N(P309))</f>
        <v/>
      </c>
      <c r="R309" s="16">
        <f>IF(A309="","",F309-Q309)</f>
        <v/>
      </c>
      <c r="S309" s="46">
        <f>IFERROR(R309/F309,"")</f>
        <v/>
      </c>
      <c r="T309" s="45" t="n"/>
      <c r="U309" s="45" t="n"/>
      <c r="V309" s="45" t="n"/>
      <c r="W309" s="45" t="n"/>
      <c r="X309" s="45" t="n"/>
      <c r="Y309" s="13" t="n"/>
    </row>
    <row r="310" ht="15" customHeight="1">
      <c r="A310" s="13" t="n"/>
      <c r="B310" s="14">
        <f>IF(A310="","",IF(COUNTIF(lst_Jobs,A310&amp;"")&gt;0,"OK","CHECK"))</f>
        <v/>
      </c>
      <c r="C310" s="14">
        <f>IF(A310="","",IFERROR(INDEX(lst_JobName,MATCH(A310&amp;"",lst_Jobs,0)),""))</f>
        <v/>
      </c>
      <c r="D310" s="14">
        <f>IF(A310="","",IFERROR(INDEX(tbl_Finance[Client],MATCH(A310&amp;"",tbl_Finance[Job Number],0)),""))</f>
        <v/>
      </c>
      <c r="E310" s="44">
        <f>IF(A310="","",COUNTIFS(tbl_Finance[Job Number],A310&amp;"",tbl_Finance[Ex GST],"&lt;&gt;"))</f>
        <v/>
      </c>
      <c r="F310" s="16">
        <f>IF(A310="","",SUMIFS(tbl_Finance[Ex GST],tbl_Finance[Job Number],A310&amp;""))</f>
        <v/>
      </c>
      <c r="G310" s="14">
        <f>IF(A310="","",IFERROR(INDEX(tbl_Finance[Cost Centre],MATCH(A310&amp;"",tbl_Finance[Job Number],0)),"not invoiced yet"))</f>
        <v/>
      </c>
      <c r="H310" s="11" t="n"/>
      <c r="I310" s="13" t="n"/>
      <c r="J310" s="13" t="n"/>
      <c r="K310" s="13" t="n"/>
      <c r="L310" s="15" t="n"/>
      <c r="M310" s="16">
        <f>IF(A310="","",F310+N(L310))</f>
        <v/>
      </c>
      <c r="N310" s="46">
        <f>IFERROR(L310/M310,"")</f>
        <v/>
      </c>
      <c r="O310" s="15" t="n"/>
      <c r="P310" s="15" t="n"/>
      <c r="Q310" s="16">
        <f>IF(A310="","",N(O310)+N(P310))</f>
        <v/>
      </c>
      <c r="R310" s="16">
        <f>IF(A310="","",F310-Q310)</f>
        <v/>
      </c>
      <c r="S310" s="46">
        <f>IFERROR(R310/F310,"")</f>
        <v/>
      </c>
      <c r="T310" s="45" t="n"/>
      <c r="U310" s="45" t="n"/>
      <c r="V310" s="45" t="n"/>
      <c r="W310" s="45" t="n"/>
      <c r="X310" s="45" t="n"/>
      <c r="Y310" s="13" t="n"/>
    </row>
    <row r="311" ht="15" customHeight="1">
      <c r="A311" s="13" t="n"/>
      <c r="B311" s="14">
        <f>IF(A311="","",IF(COUNTIF(lst_Jobs,A311&amp;"")&gt;0,"OK","CHECK"))</f>
        <v/>
      </c>
      <c r="C311" s="14">
        <f>IF(A311="","",IFERROR(INDEX(lst_JobName,MATCH(A311&amp;"",lst_Jobs,0)),""))</f>
        <v/>
      </c>
      <c r="D311" s="14">
        <f>IF(A311="","",IFERROR(INDEX(tbl_Finance[Client],MATCH(A311&amp;"",tbl_Finance[Job Number],0)),""))</f>
        <v/>
      </c>
      <c r="E311" s="44">
        <f>IF(A311="","",COUNTIFS(tbl_Finance[Job Number],A311&amp;"",tbl_Finance[Ex GST],"&lt;&gt;"))</f>
        <v/>
      </c>
      <c r="F311" s="16">
        <f>IF(A311="","",SUMIFS(tbl_Finance[Ex GST],tbl_Finance[Job Number],A311&amp;""))</f>
        <v/>
      </c>
      <c r="G311" s="14">
        <f>IF(A311="","",IFERROR(INDEX(tbl_Finance[Cost Centre],MATCH(A311&amp;"",tbl_Finance[Job Number],0)),"not invoiced yet"))</f>
        <v/>
      </c>
      <c r="H311" s="11" t="n"/>
      <c r="I311" s="13" t="n"/>
      <c r="J311" s="13" t="n"/>
      <c r="K311" s="13" t="n"/>
      <c r="L311" s="15" t="n"/>
      <c r="M311" s="16">
        <f>IF(A311="","",F311+N(L311))</f>
        <v/>
      </c>
      <c r="N311" s="46">
        <f>IFERROR(L311/M311,"")</f>
        <v/>
      </c>
      <c r="O311" s="15" t="n"/>
      <c r="P311" s="15" t="n"/>
      <c r="Q311" s="16">
        <f>IF(A311="","",N(O311)+N(P311))</f>
        <v/>
      </c>
      <c r="R311" s="16">
        <f>IF(A311="","",F311-Q311)</f>
        <v/>
      </c>
      <c r="S311" s="46">
        <f>IFERROR(R311/F311,"")</f>
        <v/>
      </c>
      <c r="T311" s="45" t="n"/>
      <c r="U311" s="45" t="n"/>
      <c r="V311" s="45" t="n"/>
      <c r="W311" s="45" t="n"/>
      <c r="X311" s="45" t="n"/>
      <c r="Y311" s="13" t="n"/>
    </row>
    <row r="312" ht="15" customHeight="1">
      <c r="A312" s="13" t="n"/>
      <c r="B312" s="14">
        <f>IF(A312="","",IF(COUNTIF(lst_Jobs,A312&amp;"")&gt;0,"OK","CHECK"))</f>
        <v/>
      </c>
      <c r="C312" s="14">
        <f>IF(A312="","",IFERROR(INDEX(lst_JobName,MATCH(A312&amp;"",lst_Jobs,0)),""))</f>
        <v/>
      </c>
      <c r="D312" s="14">
        <f>IF(A312="","",IFERROR(INDEX(tbl_Finance[Client],MATCH(A312&amp;"",tbl_Finance[Job Number],0)),""))</f>
        <v/>
      </c>
      <c r="E312" s="44">
        <f>IF(A312="","",COUNTIFS(tbl_Finance[Job Number],A312&amp;"",tbl_Finance[Ex GST],"&lt;&gt;"))</f>
        <v/>
      </c>
      <c r="F312" s="16">
        <f>IF(A312="","",SUMIFS(tbl_Finance[Ex GST],tbl_Finance[Job Number],A312&amp;""))</f>
        <v/>
      </c>
      <c r="G312" s="14">
        <f>IF(A312="","",IFERROR(INDEX(tbl_Finance[Cost Centre],MATCH(A312&amp;"",tbl_Finance[Job Number],0)),"not invoiced yet"))</f>
        <v/>
      </c>
      <c r="H312" s="11" t="n"/>
      <c r="I312" s="13" t="n"/>
      <c r="J312" s="13" t="n"/>
      <c r="K312" s="13" t="n"/>
      <c r="L312" s="15" t="n"/>
      <c r="M312" s="16">
        <f>IF(A312="","",F312+N(L312))</f>
        <v/>
      </c>
      <c r="N312" s="46">
        <f>IFERROR(L312/M312,"")</f>
        <v/>
      </c>
      <c r="O312" s="15" t="n"/>
      <c r="P312" s="15" t="n"/>
      <c r="Q312" s="16">
        <f>IF(A312="","",N(O312)+N(P312))</f>
        <v/>
      </c>
      <c r="R312" s="16">
        <f>IF(A312="","",F312-Q312)</f>
        <v/>
      </c>
      <c r="S312" s="46">
        <f>IFERROR(R312/F312,"")</f>
        <v/>
      </c>
      <c r="T312" s="45" t="n"/>
      <c r="U312" s="45" t="n"/>
      <c r="V312" s="45" t="n"/>
      <c r="W312" s="45" t="n"/>
      <c r="X312" s="45" t="n"/>
      <c r="Y312" s="13" t="n"/>
    </row>
    <row r="313" ht="15" customHeight="1">
      <c r="A313" s="13" t="n"/>
      <c r="B313" s="14">
        <f>IF(A313="","",IF(COUNTIF(lst_Jobs,A313&amp;"")&gt;0,"OK","CHECK"))</f>
        <v/>
      </c>
      <c r="C313" s="14">
        <f>IF(A313="","",IFERROR(INDEX(lst_JobName,MATCH(A313&amp;"",lst_Jobs,0)),""))</f>
        <v/>
      </c>
      <c r="D313" s="14">
        <f>IF(A313="","",IFERROR(INDEX(tbl_Finance[Client],MATCH(A313&amp;"",tbl_Finance[Job Number],0)),""))</f>
        <v/>
      </c>
      <c r="E313" s="44">
        <f>IF(A313="","",COUNTIFS(tbl_Finance[Job Number],A313&amp;"",tbl_Finance[Ex GST],"&lt;&gt;"))</f>
        <v/>
      </c>
      <c r="F313" s="16">
        <f>IF(A313="","",SUMIFS(tbl_Finance[Ex GST],tbl_Finance[Job Number],A313&amp;""))</f>
        <v/>
      </c>
      <c r="G313" s="14">
        <f>IF(A313="","",IFERROR(INDEX(tbl_Finance[Cost Centre],MATCH(A313&amp;"",tbl_Finance[Job Number],0)),"not invoiced yet"))</f>
        <v/>
      </c>
      <c r="H313" s="11" t="n"/>
      <c r="I313" s="13" t="n"/>
      <c r="J313" s="13" t="n"/>
      <c r="K313" s="13" t="n"/>
      <c r="L313" s="15" t="n"/>
      <c r="M313" s="16">
        <f>IF(A313="","",F313+N(L313))</f>
        <v/>
      </c>
      <c r="N313" s="46">
        <f>IFERROR(L313/M313,"")</f>
        <v/>
      </c>
      <c r="O313" s="15" t="n"/>
      <c r="P313" s="15" t="n"/>
      <c r="Q313" s="16">
        <f>IF(A313="","",N(O313)+N(P313))</f>
        <v/>
      </c>
      <c r="R313" s="16">
        <f>IF(A313="","",F313-Q313)</f>
        <v/>
      </c>
      <c r="S313" s="46">
        <f>IFERROR(R313/F313,"")</f>
        <v/>
      </c>
      <c r="T313" s="45" t="n"/>
      <c r="U313" s="45" t="n"/>
      <c r="V313" s="45" t="n"/>
      <c r="W313" s="45" t="n"/>
      <c r="X313" s="45" t="n"/>
      <c r="Y313" s="13" t="n"/>
    </row>
    <row r="314" ht="15" customHeight="1">
      <c r="A314" s="13" t="n"/>
      <c r="B314" s="14">
        <f>IF(A314="","",IF(COUNTIF(lst_Jobs,A314&amp;"")&gt;0,"OK","CHECK"))</f>
        <v/>
      </c>
      <c r="C314" s="14">
        <f>IF(A314="","",IFERROR(INDEX(lst_JobName,MATCH(A314&amp;"",lst_Jobs,0)),""))</f>
        <v/>
      </c>
      <c r="D314" s="14">
        <f>IF(A314="","",IFERROR(INDEX(tbl_Finance[Client],MATCH(A314&amp;"",tbl_Finance[Job Number],0)),""))</f>
        <v/>
      </c>
      <c r="E314" s="44">
        <f>IF(A314="","",COUNTIFS(tbl_Finance[Job Number],A314&amp;"",tbl_Finance[Ex GST],"&lt;&gt;"))</f>
        <v/>
      </c>
      <c r="F314" s="16">
        <f>IF(A314="","",SUMIFS(tbl_Finance[Ex GST],tbl_Finance[Job Number],A314&amp;""))</f>
        <v/>
      </c>
      <c r="G314" s="14">
        <f>IF(A314="","",IFERROR(INDEX(tbl_Finance[Cost Centre],MATCH(A314&amp;"",tbl_Finance[Job Number],0)),"not invoiced yet"))</f>
        <v/>
      </c>
      <c r="H314" s="11" t="n"/>
      <c r="I314" s="13" t="n"/>
      <c r="J314" s="13" t="n"/>
      <c r="K314" s="13" t="n"/>
      <c r="L314" s="15" t="n"/>
      <c r="M314" s="16">
        <f>IF(A314="","",F314+N(L314))</f>
        <v/>
      </c>
      <c r="N314" s="46">
        <f>IFERROR(L314/M314,"")</f>
        <v/>
      </c>
      <c r="O314" s="15" t="n"/>
      <c r="P314" s="15" t="n"/>
      <c r="Q314" s="16">
        <f>IF(A314="","",N(O314)+N(P314))</f>
        <v/>
      </c>
      <c r="R314" s="16">
        <f>IF(A314="","",F314-Q314)</f>
        <v/>
      </c>
      <c r="S314" s="46">
        <f>IFERROR(R314/F314,"")</f>
        <v/>
      </c>
      <c r="T314" s="45" t="n"/>
      <c r="U314" s="45" t="n"/>
      <c r="V314" s="45" t="n"/>
      <c r="W314" s="45" t="n"/>
      <c r="X314" s="45" t="n"/>
      <c r="Y314" s="13" t="n"/>
    </row>
    <row r="315" ht="15" customHeight="1">
      <c r="A315" s="13" t="n"/>
      <c r="B315" s="14">
        <f>IF(A315="","",IF(COUNTIF(lst_Jobs,A315&amp;"")&gt;0,"OK","CHECK"))</f>
        <v/>
      </c>
      <c r="C315" s="14">
        <f>IF(A315="","",IFERROR(INDEX(lst_JobName,MATCH(A315&amp;"",lst_Jobs,0)),""))</f>
        <v/>
      </c>
      <c r="D315" s="14">
        <f>IF(A315="","",IFERROR(INDEX(tbl_Finance[Client],MATCH(A315&amp;"",tbl_Finance[Job Number],0)),""))</f>
        <v/>
      </c>
      <c r="E315" s="44">
        <f>IF(A315="","",COUNTIFS(tbl_Finance[Job Number],A315&amp;"",tbl_Finance[Ex GST],"&lt;&gt;"))</f>
        <v/>
      </c>
      <c r="F315" s="16">
        <f>IF(A315="","",SUMIFS(tbl_Finance[Ex GST],tbl_Finance[Job Number],A315&amp;""))</f>
        <v/>
      </c>
      <c r="G315" s="14">
        <f>IF(A315="","",IFERROR(INDEX(tbl_Finance[Cost Centre],MATCH(A315&amp;"",tbl_Finance[Job Number],0)),"not invoiced yet"))</f>
        <v/>
      </c>
      <c r="H315" s="11" t="n"/>
      <c r="I315" s="13" t="n"/>
      <c r="J315" s="13" t="n"/>
      <c r="K315" s="13" t="n"/>
      <c r="L315" s="15" t="n"/>
      <c r="M315" s="16">
        <f>IF(A315="","",F315+N(L315))</f>
        <v/>
      </c>
      <c r="N315" s="46">
        <f>IFERROR(L315/M315,"")</f>
        <v/>
      </c>
      <c r="O315" s="15" t="n"/>
      <c r="P315" s="15" t="n"/>
      <c r="Q315" s="16">
        <f>IF(A315="","",N(O315)+N(P315))</f>
        <v/>
      </c>
      <c r="R315" s="16">
        <f>IF(A315="","",F315-Q315)</f>
        <v/>
      </c>
      <c r="S315" s="46">
        <f>IFERROR(R315/F315,"")</f>
        <v/>
      </c>
      <c r="T315" s="45" t="n"/>
      <c r="U315" s="45" t="n"/>
      <c r="V315" s="45" t="n"/>
      <c r="W315" s="45" t="n"/>
      <c r="X315" s="45" t="n"/>
      <c r="Y315" s="13" t="n"/>
    </row>
    <row r="316" ht="15" customHeight="1">
      <c r="A316" s="13" t="n"/>
      <c r="B316" s="14">
        <f>IF(A316="","",IF(COUNTIF(lst_Jobs,A316&amp;"")&gt;0,"OK","CHECK"))</f>
        <v/>
      </c>
      <c r="C316" s="14">
        <f>IF(A316="","",IFERROR(INDEX(lst_JobName,MATCH(A316&amp;"",lst_Jobs,0)),""))</f>
        <v/>
      </c>
      <c r="D316" s="14">
        <f>IF(A316="","",IFERROR(INDEX(tbl_Finance[Client],MATCH(A316&amp;"",tbl_Finance[Job Number],0)),""))</f>
        <v/>
      </c>
      <c r="E316" s="44">
        <f>IF(A316="","",COUNTIFS(tbl_Finance[Job Number],A316&amp;"",tbl_Finance[Ex GST],"&lt;&gt;"))</f>
        <v/>
      </c>
      <c r="F316" s="16">
        <f>IF(A316="","",SUMIFS(tbl_Finance[Ex GST],tbl_Finance[Job Number],A316&amp;""))</f>
        <v/>
      </c>
      <c r="G316" s="14">
        <f>IF(A316="","",IFERROR(INDEX(tbl_Finance[Cost Centre],MATCH(A316&amp;"",tbl_Finance[Job Number],0)),"not invoiced yet"))</f>
        <v/>
      </c>
      <c r="H316" s="11" t="n"/>
      <c r="I316" s="13" t="n"/>
      <c r="J316" s="13" t="n"/>
      <c r="K316" s="13" t="n"/>
      <c r="L316" s="15" t="n"/>
      <c r="M316" s="16">
        <f>IF(A316="","",F316+N(L316))</f>
        <v/>
      </c>
      <c r="N316" s="46">
        <f>IFERROR(L316/M316,"")</f>
        <v/>
      </c>
      <c r="O316" s="15" t="n"/>
      <c r="P316" s="15" t="n"/>
      <c r="Q316" s="16">
        <f>IF(A316="","",N(O316)+N(P316))</f>
        <v/>
      </c>
      <c r="R316" s="16">
        <f>IF(A316="","",F316-Q316)</f>
        <v/>
      </c>
      <c r="S316" s="46">
        <f>IFERROR(R316/F316,"")</f>
        <v/>
      </c>
      <c r="T316" s="45" t="n"/>
      <c r="U316" s="45" t="n"/>
      <c r="V316" s="45" t="n"/>
      <c r="W316" s="45" t="n"/>
      <c r="X316" s="45" t="n"/>
      <c r="Y316" s="13" t="n"/>
    </row>
    <row r="317" ht="15" customHeight="1">
      <c r="A317" s="13" t="n"/>
      <c r="B317" s="14">
        <f>IF(A317="","",IF(COUNTIF(lst_Jobs,A317&amp;"")&gt;0,"OK","CHECK"))</f>
        <v/>
      </c>
      <c r="C317" s="14">
        <f>IF(A317="","",IFERROR(INDEX(lst_JobName,MATCH(A317&amp;"",lst_Jobs,0)),""))</f>
        <v/>
      </c>
      <c r="D317" s="14">
        <f>IF(A317="","",IFERROR(INDEX(tbl_Finance[Client],MATCH(A317&amp;"",tbl_Finance[Job Number],0)),""))</f>
        <v/>
      </c>
      <c r="E317" s="44">
        <f>IF(A317="","",COUNTIFS(tbl_Finance[Job Number],A317&amp;"",tbl_Finance[Ex GST],"&lt;&gt;"))</f>
        <v/>
      </c>
      <c r="F317" s="16">
        <f>IF(A317="","",SUMIFS(tbl_Finance[Ex GST],tbl_Finance[Job Number],A317&amp;""))</f>
        <v/>
      </c>
      <c r="G317" s="14">
        <f>IF(A317="","",IFERROR(INDEX(tbl_Finance[Cost Centre],MATCH(A317&amp;"",tbl_Finance[Job Number],0)),"not invoiced yet"))</f>
        <v/>
      </c>
      <c r="H317" s="11" t="n"/>
      <c r="I317" s="13" t="n"/>
      <c r="J317" s="13" t="n"/>
      <c r="K317" s="13" t="n"/>
      <c r="L317" s="15" t="n"/>
      <c r="M317" s="16">
        <f>IF(A317="","",F317+N(L317))</f>
        <v/>
      </c>
      <c r="N317" s="46">
        <f>IFERROR(L317/M317,"")</f>
        <v/>
      </c>
      <c r="O317" s="15" t="n"/>
      <c r="P317" s="15" t="n"/>
      <c r="Q317" s="16">
        <f>IF(A317="","",N(O317)+N(P317))</f>
        <v/>
      </c>
      <c r="R317" s="16">
        <f>IF(A317="","",F317-Q317)</f>
        <v/>
      </c>
      <c r="S317" s="46">
        <f>IFERROR(R317/F317,"")</f>
        <v/>
      </c>
      <c r="T317" s="45" t="n"/>
      <c r="U317" s="45" t="n"/>
      <c r="V317" s="45" t="n"/>
      <c r="W317" s="45" t="n"/>
      <c r="X317" s="45" t="n"/>
      <c r="Y317" s="13" t="n"/>
    </row>
    <row r="318" ht="15" customHeight="1">
      <c r="A318" s="13" t="n"/>
      <c r="B318" s="14">
        <f>IF(A318="","",IF(COUNTIF(lst_Jobs,A318&amp;"")&gt;0,"OK","CHECK"))</f>
        <v/>
      </c>
      <c r="C318" s="14">
        <f>IF(A318="","",IFERROR(INDEX(lst_JobName,MATCH(A318&amp;"",lst_Jobs,0)),""))</f>
        <v/>
      </c>
      <c r="D318" s="14">
        <f>IF(A318="","",IFERROR(INDEX(tbl_Finance[Client],MATCH(A318&amp;"",tbl_Finance[Job Number],0)),""))</f>
        <v/>
      </c>
      <c r="E318" s="44">
        <f>IF(A318="","",COUNTIFS(tbl_Finance[Job Number],A318&amp;"",tbl_Finance[Ex GST],"&lt;&gt;"))</f>
        <v/>
      </c>
      <c r="F318" s="16">
        <f>IF(A318="","",SUMIFS(tbl_Finance[Ex GST],tbl_Finance[Job Number],A318&amp;""))</f>
        <v/>
      </c>
      <c r="G318" s="14">
        <f>IF(A318="","",IFERROR(INDEX(tbl_Finance[Cost Centre],MATCH(A318&amp;"",tbl_Finance[Job Number],0)),"not invoiced yet"))</f>
        <v/>
      </c>
      <c r="H318" s="11" t="n"/>
      <c r="I318" s="13" t="n"/>
      <c r="J318" s="13" t="n"/>
      <c r="K318" s="13" t="n"/>
      <c r="L318" s="15" t="n"/>
      <c r="M318" s="16">
        <f>IF(A318="","",F318+N(L318))</f>
        <v/>
      </c>
      <c r="N318" s="46">
        <f>IFERROR(L318/M318,"")</f>
        <v/>
      </c>
      <c r="O318" s="15" t="n"/>
      <c r="P318" s="15" t="n"/>
      <c r="Q318" s="16">
        <f>IF(A318="","",N(O318)+N(P318))</f>
        <v/>
      </c>
      <c r="R318" s="16">
        <f>IF(A318="","",F318-Q318)</f>
        <v/>
      </c>
      <c r="S318" s="46">
        <f>IFERROR(R318/F318,"")</f>
        <v/>
      </c>
      <c r="T318" s="45" t="n"/>
      <c r="U318" s="45" t="n"/>
      <c r="V318" s="45" t="n"/>
      <c r="W318" s="45" t="n"/>
      <c r="X318" s="45" t="n"/>
      <c r="Y318" s="13" t="n"/>
    </row>
    <row r="319" ht="15" customHeight="1">
      <c r="A319" s="13" t="n"/>
      <c r="B319" s="14">
        <f>IF(A319="","",IF(COUNTIF(lst_Jobs,A319&amp;"")&gt;0,"OK","CHECK"))</f>
        <v/>
      </c>
      <c r="C319" s="14">
        <f>IF(A319="","",IFERROR(INDEX(lst_JobName,MATCH(A319&amp;"",lst_Jobs,0)),""))</f>
        <v/>
      </c>
      <c r="D319" s="14">
        <f>IF(A319="","",IFERROR(INDEX(tbl_Finance[Client],MATCH(A319&amp;"",tbl_Finance[Job Number],0)),""))</f>
        <v/>
      </c>
      <c r="E319" s="44">
        <f>IF(A319="","",COUNTIFS(tbl_Finance[Job Number],A319&amp;"",tbl_Finance[Ex GST],"&lt;&gt;"))</f>
        <v/>
      </c>
      <c r="F319" s="16">
        <f>IF(A319="","",SUMIFS(tbl_Finance[Ex GST],tbl_Finance[Job Number],A319&amp;""))</f>
        <v/>
      </c>
      <c r="G319" s="14">
        <f>IF(A319="","",IFERROR(INDEX(tbl_Finance[Cost Centre],MATCH(A319&amp;"",tbl_Finance[Job Number],0)),"not invoiced yet"))</f>
        <v/>
      </c>
      <c r="H319" s="11" t="n"/>
      <c r="I319" s="13" t="n"/>
      <c r="J319" s="13" t="n"/>
      <c r="K319" s="13" t="n"/>
      <c r="L319" s="15" t="n"/>
      <c r="M319" s="16">
        <f>IF(A319="","",F319+N(L319))</f>
        <v/>
      </c>
      <c r="N319" s="46">
        <f>IFERROR(L319/M319,"")</f>
        <v/>
      </c>
      <c r="O319" s="15" t="n"/>
      <c r="P319" s="15" t="n"/>
      <c r="Q319" s="16">
        <f>IF(A319="","",N(O319)+N(P319))</f>
        <v/>
      </c>
      <c r="R319" s="16">
        <f>IF(A319="","",F319-Q319)</f>
        <v/>
      </c>
      <c r="S319" s="46">
        <f>IFERROR(R319/F319,"")</f>
        <v/>
      </c>
      <c r="T319" s="45" t="n"/>
      <c r="U319" s="45" t="n"/>
      <c r="V319" s="45" t="n"/>
      <c r="W319" s="45" t="n"/>
      <c r="X319" s="45" t="n"/>
      <c r="Y319" s="13" t="n"/>
    </row>
    <row r="320" ht="15" customHeight="1">
      <c r="A320" s="13" t="n"/>
      <c r="B320" s="14">
        <f>IF(A320="","",IF(COUNTIF(lst_Jobs,A320&amp;"")&gt;0,"OK","CHECK"))</f>
        <v/>
      </c>
      <c r="C320" s="14">
        <f>IF(A320="","",IFERROR(INDEX(lst_JobName,MATCH(A320&amp;"",lst_Jobs,0)),""))</f>
        <v/>
      </c>
      <c r="D320" s="14">
        <f>IF(A320="","",IFERROR(INDEX(tbl_Finance[Client],MATCH(A320&amp;"",tbl_Finance[Job Number],0)),""))</f>
        <v/>
      </c>
      <c r="E320" s="44">
        <f>IF(A320="","",COUNTIFS(tbl_Finance[Job Number],A320&amp;"",tbl_Finance[Ex GST],"&lt;&gt;"))</f>
        <v/>
      </c>
      <c r="F320" s="16">
        <f>IF(A320="","",SUMIFS(tbl_Finance[Ex GST],tbl_Finance[Job Number],A320&amp;""))</f>
        <v/>
      </c>
      <c r="G320" s="14">
        <f>IF(A320="","",IFERROR(INDEX(tbl_Finance[Cost Centre],MATCH(A320&amp;"",tbl_Finance[Job Number],0)),"not invoiced yet"))</f>
        <v/>
      </c>
      <c r="H320" s="11" t="n"/>
      <c r="I320" s="13" t="n"/>
      <c r="J320" s="13" t="n"/>
      <c r="K320" s="13" t="n"/>
      <c r="L320" s="15" t="n"/>
      <c r="M320" s="16">
        <f>IF(A320="","",F320+N(L320))</f>
        <v/>
      </c>
      <c r="N320" s="46">
        <f>IFERROR(L320/M320,"")</f>
        <v/>
      </c>
      <c r="O320" s="15" t="n"/>
      <c r="P320" s="15" t="n"/>
      <c r="Q320" s="16">
        <f>IF(A320="","",N(O320)+N(P320))</f>
        <v/>
      </c>
      <c r="R320" s="16">
        <f>IF(A320="","",F320-Q320)</f>
        <v/>
      </c>
      <c r="S320" s="46">
        <f>IFERROR(R320/F320,"")</f>
        <v/>
      </c>
      <c r="T320" s="45" t="n"/>
      <c r="U320" s="45" t="n"/>
      <c r="V320" s="45" t="n"/>
      <c r="W320" s="45" t="n"/>
      <c r="X320" s="45" t="n"/>
      <c r="Y320" s="13" t="n"/>
    </row>
    <row r="321" ht="15" customHeight="1">
      <c r="A321" s="13" t="n"/>
      <c r="B321" s="14">
        <f>IF(A321="","",IF(COUNTIF(lst_Jobs,A321&amp;"")&gt;0,"OK","CHECK"))</f>
        <v/>
      </c>
      <c r="C321" s="14">
        <f>IF(A321="","",IFERROR(INDEX(lst_JobName,MATCH(A321&amp;"",lst_Jobs,0)),""))</f>
        <v/>
      </c>
      <c r="D321" s="14">
        <f>IF(A321="","",IFERROR(INDEX(tbl_Finance[Client],MATCH(A321&amp;"",tbl_Finance[Job Number],0)),""))</f>
        <v/>
      </c>
      <c r="E321" s="44">
        <f>IF(A321="","",COUNTIFS(tbl_Finance[Job Number],A321&amp;"",tbl_Finance[Ex GST],"&lt;&gt;"))</f>
        <v/>
      </c>
      <c r="F321" s="16">
        <f>IF(A321="","",SUMIFS(tbl_Finance[Ex GST],tbl_Finance[Job Number],A321&amp;""))</f>
        <v/>
      </c>
      <c r="G321" s="14">
        <f>IF(A321="","",IFERROR(INDEX(tbl_Finance[Cost Centre],MATCH(A321&amp;"",tbl_Finance[Job Number],0)),"not invoiced yet"))</f>
        <v/>
      </c>
      <c r="H321" s="11" t="n"/>
      <c r="I321" s="13" t="n"/>
      <c r="J321" s="13" t="n"/>
      <c r="K321" s="13" t="n"/>
      <c r="L321" s="15" t="n"/>
      <c r="M321" s="16">
        <f>IF(A321="","",F321+N(L321))</f>
        <v/>
      </c>
      <c r="N321" s="46">
        <f>IFERROR(L321/M321,"")</f>
        <v/>
      </c>
      <c r="O321" s="15" t="n"/>
      <c r="P321" s="15" t="n"/>
      <c r="Q321" s="16">
        <f>IF(A321="","",N(O321)+N(P321))</f>
        <v/>
      </c>
      <c r="R321" s="16">
        <f>IF(A321="","",F321-Q321)</f>
        <v/>
      </c>
      <c r="S321" s="46">
        <f>IFERROR(R321/F321,"")</f>
        <v/>
      </c>
      <c r="T321" s="45" t="n"/>
      <c r="U321" s="45" t="n"/>
      <c r="V321" s="45" t="n"/>
      <c r="W321" s="45" t="n"/>
      <c r="X321" s="45" t="n"/>
      <c r="Y321" s="13" t="n"/>
    </row>
    <row r="322" ht="15" customHeight="1">
      <c r="A322" s="13" t="n"/>
      <c r="B322" s="14">
        <f>IF(A322="","",IF(COUNTIF(lst_Jobs,A322&amp;"")&gt;0,"OK","CHECK"))</f>
        <v/>
      </c>
      <c r="C322" s="14">
        <f>IF(A322="","",IFERROR(INDEX(lst_JobName,MATCH(A322&amp;"",lst_Jobs,0)),""))</f>
        <v/>
      </c>
      <c r="D322" s="14">
        <f>IF(A322="","",IFERROR(INDEX(tbl_Finance[Client],MATCH(A322&amp;"",tbl_Finance[Job Number],0)),""))</f>
        <v/>
      </c>
      <c r="E322" s="44">
        <f>IF(A322="","",COUNTIFS(tbl_Finance[Job Number],A322&amp;"",tbl_Finance[Ex GST],"&lt;&gt;"))</f>
        <v/>
      </c>
      <c r="F322" s="16">
        <f>IF(A322="","",SUMIFS(tbl_Finance[Ex GST],tbl_Finance[Job Number],A322&amp;""))</f>
        <v/>
      </c>
      <c r="G322" s="14">
        <f>IF(A322="","",IFERROR(INDEX(tbl_Finance[Cost Centre],MATCH(A322&amp;"",tbl_Finance[Job Number],0)),"not invoiced yet"))</f>
        <v/>
      </c>
      <c r="H322" s="11" t="n"/>
      <c r="I322" s="13" t="n"/>
      <c r="J322" s="13" t="n"/>
      <c r="K322" s="13" t="n"/>
      <c r="L322" s="15" t="n"/>
      <c r="M322" s="16">
        <f>IF(A322="","",F322+N(L322))</f>
        <v/>
      </c>
      <c r="N322" s="46">
        <f>IFERROR(L322/M322,"")</f>
        <v/>
      </c>
      <c r="O322" s="15" t="n"/>
      <c r="P322" s="15" t="n"/>
      <c r="Q322" s="16">
        <f>IF(A322="","",N(O322)+N(P322))</f>
        <v/>
      </c>
      <c r="R322" s="16">
        <f>IF(A322="","",F322-Q322)</f>
        <v/>
      </c>
      <c r="S322" s="46">
        <f>IFERROR(R322/F322,"")</f>
        <v/>
      </c>
      <c r="T322" s="45" t="n"/>
      <c r="U322" s="45" t="n"/>
      <c r="V322" s="45" t="n"/>
      <c r="W322" s="45" t="n"/>
      <c r="X322" s="45" t="n"/>
      <c r="Y322" s="13" t="n"/>
    </row>
    <row r="323" ht="15" customHeight="1">
      <c r="A323" s="13" t="n"/>
      <c r="B323" s="14">
        <f>IF(A323="","",IF(COUNTIF(lst_Jobs,A323&amp;"")&gt;0,"OK","CHECK"))</f>
        <v/>
      </c>
      <c r="C323" s="14">
        <f>IF(A323="","",IFERROR(INDEX(lst_JobName,MATCH(A323&amp;"",lst_Jobs,0)),""))</f>
        <v/>
      </c>
      <c r="D323" s="14">
        <f>IF(A323="","",IFERROR(INDEX(tbl_Finance[Client],MATCH(A323&amp;"",tbl_Finance[Job Number],0)),""))</f>
        <v/>
      </c>
      <c r="E323" s="44">
        <f>IF(A323="","",COUNTIFS(tbl_Finance[Job Number],A323&amp;"",tbl_Finance[Ex GST],"&lt;&gt;"))</f>
        <v/>
      </c>
      <c r="F323" s="16">
        <f>IF(A323="","",SUMIFS(tbl_Finance[Ex GST],tbl_Finance[Job Number],A323&amp;""))</f>
        <v/>
      </c>
      <c r="G323" s="14">
        <f>IF(A323="","",IFERROR(INDEX(tbl_Finance[Cost Centre],MATCH(A323&amp;"",tbl_Finance[Job Number],0)),"not invoiced yet"))</f>
        <v/>
      </c>
      <c r="H323" s="11" t="n"/>
      <c r="I323" s="13" t="n"/>
      <c r="J323" s="13" t="n"/>
      <c r="K323" s="13" t="n"/>
      <c r="L323" s="15" t="n"/>
      <c r="M323" s="16">
        <f>IF(A323="","",F323+N(L323))</f>
        <v/>
      </c>
      <c r="N323" s="46">
        <f>IFERROR(L323/M323,"")</f>
        <v/>
      </c>
      <c r="O323" s="15" t="n"/>
      <c r="P323" s="15" t="n"/>
      <c r="Q323" s="16">
        <f>IF(A323="","",N(O323)+N(P323))</f>
        <v/>
      </c>
      <c r="R323" s="16">
        <f>IF(A323="","",F323-Q323)</f>
        <v/>
      </c>
      <c r="S323" s="46">
        <f>IFERROR(R323/F323,"")</f>
        <v/>
      </c>
      <c r="T323" s="45" t="n"/>
      <c r="U323" s="45" t="n"/>
      <c r="V323" s="45" t="n"/>
      <c r="W323" s="45" t="n"/>
      <c r="X323" s="45" t="n"/>
      <c r="Y323" s="13" t="n"/>
    </row>
    <row r="324" ht="15" customHeight="1">
      <c r="A324" s="13" t="n"/>
      <c r="B324" s="14">
        <f>IF(A324="","",IF(COUNTIF(lst_Jobs,A324&amp;"")&gt;0,"OK","CHECK"))</f>
        <v/>
      </c>
      <c r="C324" s="14">
        <f>IF(A324="","",IFERROR(INDEX(lst_JobName,MATCH(A324&amp;"",lst_Jobs,0)),""))</f>
        <v/>
      </c>
      <c r="D324" s="14">
        <f>IF(A324="","",IFERROR(INDEX(tbl_Finance[Client],MATCH(A324&amp;"",tbl_Finance[Job Number],0)),""))</f>
        <v/>
      </c>
      <c r="E324" s="44">
        <f>IF(A324="","",COUNTIFS(tbl_Finance[Job Number],A324&amp;"",tbl_Finance[Ex GST],"&lt;&gt;"))</f>
        <v/>
      </c>
      <c r="F324" s="16">
        <f>IF(A324="","",SUMIFS(tbl_Finance[Ex GST],tbl_Finance[Job Number],A324&amp;""))</f>
        <v/>
      </c>
      <c r="G324" s="14">
        <f>IF(A324="","",IFERROR(INDEX(tbl_Finance[Cost Centre],MATCH(A324&amp;"",tbl_Finance[Job Number],0)),"not invoiced yet"))</f>
        <v/>
      </c>
      <c r="H324" s="11" t="n"/>
      <c r="I324" s="13" t="n"/>
      <c r="J324" s="13" t="n"/>
      <c r="K324" s="13" t="n"/>
      <c r="L324" s="15" t="n"/>
      <c r="M324" s="16">
        <f>IF(A324="","",F324+N(L324))</f>
        <v/>
      </c>
      <c r="N324" s="46">
        <f>IFERROR(L324/M324,"")</f>
        <v/>
      </c>
      <c r="O324" s="15" t="n"/>
      <c r="P324" s="15" t="n"/>
      <c r="Q324" s="16">
        <f>IF(A324="","",N(O324)+N(P324))</f>
        <v/>
      </c>
      <c r="R324" s="16">
        <f>IF(A324="","",F324-Q324)</f>
        <v/>
      </c>
      <c r="S324" s="46">
        <f>IFERROR(R324/F324,"")</f>
        <v/>
      </c>
      <c r="T324" s="45" t="n"/>
      <c r="U324" s="45" t="n"/>
      <c r="V324" s="45" t="n"/>
      <c r="W324" s="45" t="n"/>
      <c r="X324" s="45" t="n"/>
      <c r="Y324" s="13" t="n"/>
    </row>
    <row r="325" ht="15" customHeight="1">
      <c r="A325" s="13" t="n"/>
      <c r="B325" s="14">
        <f>IF(A325="","",IF(COUNTIF(lst_Jobs,A325&amp;"")&gt;0,"OK","CHECK"))</f>
        <v/>
      </c>
      <c r="C325" s="14">
        <f>IF(A325="","",IFERROR(INDEX(lst_JobName,MATCH(A325&amp;"",lst_Jobs,0)),""))</f>
        <v/>
      </c>
      <c r="D325" s="14">
        <f>IF(A325="","",IFERROR(INDEX(tbl_Finance[Client],MATCH(A325&amp;"",tbl_Finance[Job Number],0)),""))</f>
        <v/>
      </c>
      <c r="E325" s="44">
        <f>IF(A325="","",COUNTIFS(tbl_Finance[Job Number],A325&amp;"",tbl_Finance[Ex GST],"&lt;&gt;"))</f>
        <v/>
      </c>
      <c r="F325" s="16">
        <f>IF(A325="","",SUMIFS(tbl_Finance[Ex GST],tbl_Finance[Job Number],A325&amp;""))</f>
        <v/>
      </c>
      <c r="G325" s="14">
        <f>IF(A325="","",IFERROR(INDEX(tbl_Finance[Cost Centre],MATCH(A325&amp;"",tbl_Finance[Job Number],0)),"not invoiced yet"))</f>
        <v/>
      </c>
      <c r="H325" s="11" t="n"/>
      <c r="I325" s="13" t="n"/>
      <c r="J325" s="13" t="n"/>
      <c r="K325" s="13" t="n"/>
      <c r="L325" s="15" t="n"/>
      <c r="M325" s="16">
        <f>IF(A325="","",F325+N(L325))</f>
        <v/>
      </c>
      <c r="N325" s="46">
        <f>IFERROR(L325/M325,"")</f>
        <v/>
      </c>
      <c r="O325" s="15" t="n"/>
      <c r="P325" s="15" t="n"/>
      <c r="Q325" s="16">
        <f>IF(A325="","",N(O325)+N(P325))</f>
        <v/>
      </c>
      <c r="R325" s="16">
        <f>IF(A325="","",F325-Q325)</f>
        <v/>
      </c>
      <c r="S325" s="46">
        <f>IFERROR(R325/F325,"")</f>
        <v/>
      </c>
      <c r="T325" s="45" t="n"/>
      <c r="U325" s="45" t="n"/>
      <c r="V325" s="45" t="n"/>
      <c r="W325" s="45" t="n"/>
      <c r="X325" s="45" t="n"/>
      <c r="Y325" s="13" t="n"/>
    </row>
    <row r="326" ht="15" customHeight="1">
      <c r="A326" s="13" t="n"/>
      <c r="B326" s="14">
        <f>IF(A326="","",IF(COUNTIF(lst_Jobs,A326&amp;"")&gt;0,"OK","CHECK"))</f>
        <v/>
      </c>
      <c r="C326" s="14">
        <f>IF(A326="","",IFERROR(INDEX(lst_JobName,MATCH(A326&amp;"",lst_Jobs,0)),""))</f>
        <v/>
      </c>
      <c r="D326" s="14">
        <f>IF(A326="","",IFERROR(INDEX(tbl_Finance[Client],MATCH(A326&amp;"",tbl_Finance[Job Number],0)),""))</f>
        <v/>
      </c>
      <c r="E326" s="44">
        <f>IF(A326="","",COUNTIFS(tbl_Finance[Job Number],A326&amp;"",tbl_Finance[Ex GST],"&lt;&gt;"))</f>
        <v/>
      </c>
      <c r="F326" s="16">
        <f>IF(A326="","",SUMIFS(tbl_Finance[Ex GST],tbl_Finance[Job Number],A326&amp;""))</f>
        <v/>
      </c>
      <c r="G326" s="14">
        <f>IF(A326="","",IFERROR(INDEX(tbl_Finance[Cost Centre],MATCH(A326&amp;"",tbl_Finance[Job Number],0)),"not invoiced yet"))</f>
        <v/>
      </c>
      <c r="H326" s="11" t="n"/>
      <c r="I326" s="13" t="n"/>
      <c r="J326" s="13" t="n"/>
      <c r="K326" s="13" t="n"/>
      <c r="L326" s="15" t="n"/>
      <c r="M326" s="16">
        <f>IF(A326="","",F326+N(L326))</f>
        <v/>
      </c>
      <c r="N326" s="46">
        <f>IFERROR(L326/M326,"")</f>
        <v/>
      </c>
      <c r="O326" s="15" t="n"/>
      <c r="P326" s="15" t="n"/>
      <c r="Q326" s="16">
        <f>IF(A326="","",N(O326)+N(P326))</f>
        <v/>
      </c>
      <c r="R326" s="16">
        <f>IF(A326="","",F326-Q326)</f>
        <v/>
      </c>
      <c r="S326" s="46">
        <f>IFERROR(R326/F326,"")</f>
        <v/>
      </c>
      <c r="T326" s="45" t="n"/>
      <c r="U326" s="45" t="n"/>
      <c r="V326" s="45" t="n"/>
      <c r="W326" s="45" t="n"/>
      <c r="X326" s="45" t="n"/>
      <c r="Y326" s="13" t="n"/>
    </row>
    <row r="327" ht="15" customHeight="1">
      <c r="A327" s="13" t="n"/>
      <c r="B327" s="14">
        <f>IF(A327="","",IF(COUNTIF(lst_Jobs,A327&amp;"")&gt;0,"OK","CHECK"))</f>
        <v/>
      </c>
      <c r="C327" s="14">
        <f>IF(A327="","",IFERROR(INDEX(lst_JobName,MATCH(A327&amp;"",lst_Jobs,0)),""))</f>
        <v/>
      </c>
      <c r="D327" s="14">
        <f>IF(A327="","",IFERROR(INDEX(tbl_Finance[Client],MATCH(A327&amp;"",tbl_Finance[Job Number],0)),""))</f>
        <v/>
      </c>
      <c r="E327" s="44">
        <f>IF(A327="","",COUNTIFS(tbl_Finance[Job Number],A327&amp;"",tbl_Finance[Ex GST],"&lt;&gt;"))</f>
        <v/>
      </c>
      <c r="F327" s="16">
        <f>IF(A327="","",SUMIFS(tbl_Finance[Ex GST],tbl_Finance[Job Number],A327&amp;""))</f>
        <v/>
      </c>
      <c r="G327" s="14">
        <f>IF(A327="","",IFERROR(INDEX(tbl_Finance[Cost Centre],MATCH(A327&amp;"",tbl_Finance[Job Number],0)),"not invoiced yet"))</f>
        <v/>
      </c>
      <c r="H327" s="11" t="n"/>
      <c r="I327" s="13" t="n"/>
      <c r="J327" s="13" t="n"/>
      <c r="K327" s="13" t="n"/>
      <c r="L327" s="15" t="n"/>
      <c r="M327" s="16">
        <f>IF(A327="","",F327+N(L327))</f>
        <v/>
      </c>
      <c r="N327" s="46">
        <f>IFERROR(L327/M327,"")</f>
        <v/>
      </c>
      <c r="O327" s="15" t="n"/>
      <c r="P327" s="15" t="n"/>
      <c r="Q327" s="16">
        <f>IF(A327="","",N(O327)+N(P327))</f>
        <v/>
      </c>
      <c r="R327" s="16">
        <f>IF(A327="","",F327-Q327)</f>
        <v/>
      </c>
      <c r="S327" s="46">
        <f>IFERROR(R327/F327,"")</f>
        <v/>
      </c>
      <c r="T327" s="45" t="n"/>
      <c r="U327" s="45" t="n"/>
      <c r="V327" s="45" t="n"/>
      <c r="W327" s="45" t="n"/>
      <c r="X327" s="45" t="n"/>
      <c r="Y327" s="13" t="n"/>
    </row>
    <row r="328" ht="15" customHeight="1">
      <c r="A328" s="13" t="n"/>
      <c r="B328" s="14">
        <f>IF(A328="","",IF(COUNTIF(lst_Jobs,A328&amp;"")&gt;0,"OK","CHECK"))</f>
        <v/>
      </c>
      <c r="C328" s="14">
        <f>IF(A328="","",IFERROR(INDEX(lst_JobName,MATCH(A328&amp;"",lst_Jobs,0)),""))</f>
        <v/>
      </c>
      <c r="D328" s="14">
        <f>IF(A328="","",IFERROR(INDEX(tbl_Finance[Client],MATCH(A328&amp;"",tbl_Finance[Job Number],0)),""))</f>
        <v/>
      </c>
      <c r="E328" s="44">
        <f>IF(A328="","",COUNTIFS(tbl_Finance[Job Number],A328&amp;"",tbl_Finance[Ex GST],"&lt;&gt;"))</f>
        <v/>
      </c>
      <c r="F328" s="16">
        <f>IF(A328="","",SUMIFS(tbl_Finance[Ex GST],tbl_Finance[Job Number],A328&amp;""))</f>
        <v/>
      </c>
      <c r="G328" s="14">
        <f>IF(A328="","",IFERROR(INDEX(tbl_Finance[Cost Centre],MATCH(A328&amp;"",tbl_Finance[Job Number],0)),"not invoiced yet"))</f>
        <v/>
      </c>
      <c r="H328" s="11" t="n"/>
      <c r="I328" s="13" t="n"/>
      <c r="J328" s="13" t="n"/>
      <c r="K328" s="13" t="n"/>
      <c r="L328" s="15" t="n"/>
      <c r="M328" s="16">
        <f>IF(A328="","",F328+N(L328))</f>
        <v/>
      </c>
      <c r="N328" s="46">
        <f>IFERROR(L328/M328,"")</f>
        <v/>
      </c>
      <c r="O328" s="15" t="n"/>
      <c r="P328" s="15" t="n"/>
      <c r="Q328" s="16">
        <f>IF(A328="","",N(O328)+N(P328))</f>
        <v/>
      </c>
      <c r="R328" s="16">
        <f>IF(A328="","",F328-Q328)</f>
        <v/>
      </c>
      <c r="S328" s="46">
        <f>IFERROR(R328/F328,"")</f>
        <v/>
      </c>
      <c r="T328" s="45" t="n"/>
      <c r="U328" s="45" t="n"/>
      <c r="V328" s="45" t="n"/>
      <c r="W328" s="45" t="n"/>
      <c r="X328" s="45" t="n"/>
      <c r="Y328" s="13" t="n"/>
    </row>
    <row r="329" ht="15" customHeight="1">
      <c r="A329" s="13" t="n"/>
      <c r="B329" s="14">
        <f>IF(A329="","",IF(COUNTIF(lst_Jobs,A329&amp;"")&gt;0,"OK","CHECK"))</f>
        <v/>
      </c>
      <c r="C329" s="14">
        <f>IF(A329="","",IFERROR(INDEX(lst_JobName,MATCH(A329&amp;"",lst_Jobs,0)),""))</f>
        <v/>
      </c>
      <c r="D329" s="14">
        <f>IF(A329="","",IFERROR(INDEX(tbl_Finance[Client],MATCH(A329&amp;"",tbl_Finance[Job Number],0)),""))</f>
        <v/>
      </c>
      <c r="E329" s="44">
        <f>IF(A329="","",COUNTIFS(tbl_Finance[Job Number],A329&amp;"",tbl_Finance[Ex GST],"&lt;&gt;"))</f>
        <v/>
      </c>
      <c r="F329" s="16">
        <f>IF(A329="","",SUMIFS(tbl_Finance[Ex GST],tbl_Finance[Job Number],A329&amp;""))</f>
        <v/>
      </c>
      <c r="G329" s="14">
        <f>IF(A329="","",IFERROR(INDEX(tbl_Finance[Cost Centre],MATCH(A329&amp;"",tbl_Finance[Job Number],0)),"not invoiced yet"))</f>
        <v/>
      </c>
      <c r="H329" s="11" t="n"/>
      <c r="I329" s="13" t="n"/>
      <c r="J329" s="13" t="n"/>
      <c r="K329" s="13" t="n"/>
      <c r="L329" s="15" t="n"/>
      <c r="M329" s="16">
        <f>IF(A329="","",F329+N(L329))</f>
        <v/>
      </c>
      <c r="N329" s="46">
        <f>IFERROR(L329/M329,"")</f>
        <v/>
      </c>
      <c r="O329" s="15" t="n"/>
      <c r="P329" s="15" t="n"/>
      <c r="Q329" s="16">
        <f>IF(A329="","",N(O329)+N(P329))</f>
        <v/>
      </c>
      <c r="R329" s="16">
        <f>IF(A329="","",F329-Q329)</f>
        <v/>
      </c>
      <c r="S329" s="46">
        <f>IFERROR(R329/F329,"")</f>
        <v/>
      </c>
      <c r="T329" s="45" t="n"/>
      <c r="U329" s="45" t="n"/>
      <c r="V329" s="45" t="n"/>
      <c r="W329" s="45" t="n"/>
      <c r="X329" s="45" t="n"/>
      <c r="Y329" s="13" t="n"/>
    </row>
    <row r="330" ht="15" customHeight="1">
      <c r="A330" s="13" t="n"/>
      <c r="B330" s="14">
        <f>IF(A330="","",IF(COUNTIF(lst_Jobs,A330&amp;"")&gt;0,"OK","CHECK"))</f>
        <v/>
      </c>
      <c r="C330" s="14">
        <f>IF(A330="","",IFERROR(INDEX(lst_JobName,MATCH(A330&amp;"",lst_Jobs,0)),""))</f>
        <v/>
      </c>
      <c r="D330" s="14">
        <f>IF(A330="","",IFERROR(INDEX(tbl_Finance[Client],MATCH(A330&amp;"",tbl_Finance[Job Number],0)),""))</f>
        <v/>
      </c>
      <c r="E330" s="44">
        <f>IF(A330="","",COUNTIFS(tbl_Finance[Job Number],A330&amp;"",tbl_Finance[Ex GST],"&lt;&gt;"))</f>
        <v/>
      </c>
      <c r="F330" s="16">
        <f>IF(A330="","",SUMIFS(tbl_Finance[Ex GST],tbl_Finance[Job Number],A330&amp;""))</f>
        <v/>
      </c>
      <c r="G330" s="14">
        <f>IF(A330="","",IFERROR(INDEX(tbl_Finance[Cost Centre],MATCH(A330&amp;"",tbl_Finance[Job Number],0)),"not invoiced yet"))</f>
        <v/>
      </c>
      <c r="H330" s="11" t="n"/>
      <c r="I330" s="13" t="n"/>
      <c r="J330" s="13" t="n"/>
      <c r="K330" s="13" t="n"/>
      <c r="L330" s="15" t="n"/>
      <c r="M330" s="16">
        <f>IF(A330="","",F330+N(L330))</f>
        <v/>
      </c>
      <c r="N330" s="46">
        <f>IFERROR(L330/M330,"")</f>
        <v/>
      </c>
      <c r="O330" s="15" t="n"/>
      <c r="P330" s="15" t="n"/>
      <c r="Q330" s="16">
        <f>IF(A330="","",N(O330)+N(P330))</f>
        <v/>
      </c>
      <c r="R330" s="16">
        <f>IF(A330="","",F330-Q330)</f>
        <v/>
      </c>
      <c r="S330" s="46">
        <f>IFERROR(R330/F330,"")</f>
        <v/>
      </c>
      <c r="T330" s="45" t="n"/>
      <c r="U330" s="45" t="n"/>
      <c r="V330" s="45" t="n"/>
      <c r="W330" s="45" t="n"/>
      <c r="X330" s="45" t="n"/>
      <c r="Y330" s="13" t="n"/>
    </row>
    <row r="331" ht="15" customHeight="1">
      <c r="A331" s="13" t="n"/>
      <c r="B331" s="14">
        <f>IF(A331="","",IF(COUNTIF(lst_Jobs,A331&amp;"")&gt;0,"OK","CHECK"))</f>
        <v/>
      </c>
      <c r="C331" s="14">
        <f>IF(A331="","",IFERROR(INDEX(lst_JobName,MATCH(A331&amp;"",lst_Jobs,0)),""))</f>
        <v/>
      </c>
      <c r="D331" s="14">
        <f>IF(A331="","",IFERROR(INDEX(tbl_Finance[Client],MATCH(A331&amp;"",tbl_Finance[Job Number],0)),""))</f>
        <v/>
      </c>
      <c r="E331" s="44">
        <f>IF(A331="","",COUNTIFS(tbl_Finance[Job Number],A331&amp;"",tbl_Finance[Ex GST],"&lt;&gt;"))</f>
        <v/>
      </c>
      <c r="F331" s="16">
        <f>IF(A331="","",SUMIFS(tbl_Finance[Ex GST],tbl_Finance[Job Number],A331&amp;""))</f>
        <v/>
      </c>
      <c r="G331" s="14">
        <f>IF(A331="","",IFERROR(INDEX(tbl_Finance[Cost Centre],MATCH(A331&amp;"",tbl_Finance[Job Number],0)),"not invoiced yet"))</f>
        <v/>
      </c>
      <c r="H331" s="11" t="n"/>
      <c r="I331" s="13" t="n"/>
      <c r="J331" s="13" t="n"/>
      <c r="K331" s="13" t="n"/>
      <c r="L331" s="15" t="n"/>
      <c r="M331" s="16">
        <f>IF(A331="","",F331+N(L331))</f>
        <v/>
      </c>
      <c r="N331" s="46">
        <f>IFERROR(L331/M331,"")</f>
        <v/>
      </c>
      <c r="O331" s="15" t="n"/>
      <c r="P331" s="15" t="n"/>
      <c r="Q331" s="16">
        <f>IF(A331="","",N(O331)+N(P331))</f>
        <v/>
      </c>
      <c r="R331" s="16">
        <f>IF(A331="","",F331-Q331)</f>
        <v/>
      </c>
      <c r="S331" s="46">
        <f>IFERROR(R331/F331,"")</f>
        <v/>
      </c>
      <c r="T331" s="45" t="n"/>
      <c r="U331" s="45" t="n"/>
      <c r="V331" s="45" t="n"/>
      <c r="W331" s="45" t="n"/>
      <c r="X331" s="45" t="n"/>
      <c r="Y331" s="13" t="n"/>
    </row>
    <row r="332" ht="15" customHeight="1">
      <c r="A332" s="13" t="n"/>
      <c r="B332" s="14">
        <f>IF(A332="","",IF(COUNTIF(lst_Jobs,A332&amp;"")&gt;0,"OK","CHECK"))</f>
        <v/>
      </c>
      <c r="C332" s="14">
        <f>IF(A332="","",IFERROR(INDEX(lst_JobName,MATCH(A332&amp;"",lst_Jobs,0)),""))</f>
        <v/>
      </c>
      <c r="D332" s="14">
        <f>IF(A332="","",IFERROR(INDEX(tbl_Finance[Client],MATCH(A332&amp;"",tbl_Finance[Job Number],0)),""))</f>
        <v/>
      </c>
      <c r="E332" s="44">
        <f>IF(A332="","",COUNTIFS(tbl_Finance[Job Number],A332&amp;"",tbl_Finance[Ex GST],"&lt;&gt;"))</f>
        <v/>
      </c>
      <c r="F332" s="16">
        <f>IF(A332="","",SUMIFS(tbl_Finance[Ex GST],tbl_Finance[Job Number],A332&amp;""))</f>
        <v/>
      </c>
      <c r="G332" s="14">
        <f>IF(A332="","",IFERROR(INDEX(tbl_Finance[Cost Centre],MATCH(A332&amp;"",tbl_Finance[Job Number],0)),"not invoiced yet"))</f>
        <v/>
      </c>
      <c r="H332" s="11" t="n"/>
      <c r="I332" s="13" t="n"/>
      <c r="J332" s="13" t="n"/>
      <c r="K332" s="13" t="n"/>
      <c r="L332" s="15" t="n"/>
      <c r="M332" s="16">
        <f>IF(A332="","",F332+N(L332))</f>
        <v/>
      </c>
      <c r="N332" s="46">
        <f>IFERROR(L332/M332,"")</f>
        <v/>
      </c>
      <c r="O332" s="15" t="n"/>
      <c r="P332" s="15" t="n"/>
      <c r="Q332" s="16">
        <f>IF(A332="","",N(O332)+N(P332))</f>
        <v/>
      </c>
      <c r="R332" s="16">
        <f>IF(A332="","",F332-Q332)</f>
        <v/>
      </c>
      <c r="S332" s="46">
        <f>IFERROR(R332/F332,"")</f>
        <v/>
      </c>
      <c r="T332" s="45" t="n"/>
      <c r="U332" s="45" t="n"/>
      <c r="V332" s="45" t="n"/>
      <c r="W332" s="45" t="n"/>
      <c r="X332" s="45" t="n"/>
      <c r="Y332" s="13" t="n"/>
    </row>
    <row r="333" ht="15" customHeight="1">
      <c r="A333" s="13" t="n"/>
      <c r="B333" s="14">
        <f>IF(A333="","",IF(COUNTIF(lst_Jobs,A333&amp;"")&gt;0,"OK","CHECK"))</f>
        <v/>
      </c>
      <c r="C333" s="14">
        <f>IF(A333="","",IFERROR(INDEX(lst_JobName,MATCH(A333&amp;"",lst_Jobs,0)),""))</f>
        <v/>
      </c>
      <c r="D333" s="14">
        <f>IF(A333="","",IFERROR(INDEX(tbl_Finance[Client],MATCH(A333&amp;"",tbl_Finance[Job Number],0)),""))</f>
        <v/>
      </c>
      <c r="E333" s="44">
        <f>IF(A333="","",COUNTIFS(tbl_Finance[Job Number],A333&amp;"",tbl_Finance[Ex GST],"&lt;&gt;"))</f>
        <v/>
      </c>
      <c r="F333" s="16">
        <f>IF(A333="","",SUMIFS(tbl_Finance[Ex GST],tbl_Finance[Job Number],A333&amp;""))</f>
        <v/>
      </c>
      <c r="G333" s="14">
        <f>IF(A333="","",IFERROR(INDEX(tbl_Finance[Cost Centre],MATCH(A333&amp;"",tbl_Finance[Job Number],0)),"not invoiced yet"))</f>
        <v/>
      </c>
      <c r="H333" s="11" t="n"/>
      <c r="I333" s="13" t="n"/>
      <c r="J333" s="13" t="n"/>
      <c r="K333" s="13" t="n"/>
      <c r="L333" s="15" t="n"/>
      <c r="M333" s="16">
        <f>IF(A333="","",F333+N(L333))</f>
        <v/>
      </c>
      <c r="N333" s="46">
        <f>IFERROR(L333/M333,"")</f>
        <v/>
      </c>
      <c r="O333" s="15" t="n"/>
      <c r="P333" s="15" t="n"/>
      <c r="Q333" s="16">
        <f>IF(A333="","",N(O333)+N(P333))</f>
        <v/>
      </c>
      <c r="R333" s="16">
        <f>IF(A333="","",F333-Q333)</f>
        <v/>
      </c>
      <c r="S333" s="46">
        <f>IFERROR(R333/F333,"")</f>
        <v/>
      </c>
      <c r="T333" s="45" t="n"/>
      <c r="U333" s="45" t="n"/>
      <c r="V333" s="45" t="n"/>
      <c r="W333" s="45" t="n"/>
      <c r="X333" s="45" t="n"/>
      <c r="Y333" s="13" t="n"/>
    </row>
    <row r="334" ht="15" customHeight="1">
      <c r="A334" s="13" t="n"/>
      <c r="B334" s="14">
        <f>IF(A334="","",IF(COUNTIF(lst_Jobs,A334&amp;"")&gt;0,"OK","CHECK"))</f>
        <v/>
      </c>
      <c r="C334" s="14">
        <f>IF(A334="","",IFERROR(INDEX(lst_JobName,MATCH(A334&amp;"",lst_Jobs,0)),""))</f>
        <v/>
      </c>
      <c r="D334" s="14">
        <f>IF(A334="","",IFERROR(INDEX(tbl_Finance[Client],MATCH(A334&amp;"",tbl_Finance[Job Number],0)),""))</f>
        <v/>
      </c>
      <c r="E334" s="44">
        <f>IF(A334="","",COUNTIFS(tbl_Finance[Job Number],A334&amp;"",tbl_Finance[Ex GST],"&lt;&gt;"))</f>
        <v/>
      </c>
      <c r="F334" s="16">
        <f>IF(A334="","",SUMIFS(tbl_Finance[Ex GST],tbl_Finance[Job Number],A334&amp;""))</f>
        <v/>
      </c>
      <c r="G334" s="14">
        <f>IF(A334="","",IFERROR(INDEX(tbl_Finance[Cost Centre],MATCH(A334&amp;"",tbl_Finance[Job Number],0)),"not invoiced yet"))</f>
        <v/>
      </c>
      <c r="H334" s="11" t="n"/>
      <c r="I334" s="13" t="n"/>
      <c r="J334" s="13" t="n"/>
      <c r="K334" s="13" t="n"/>
      <c r="L334" s="15" t="n"/>
      <c r="M334" s="16">
        <f>IF(A334="","",F334+N(L334))</f>
        <v/>
      </c>
      <c r="N334" s="46">
        <f>IFERROR(L334/M334,"")</f>
        <v/>
      </c>
      <c r="O334" s="15" t="n"/>
      <c r="P334" s="15" t="n"/>
      <c r="Q334" s="16">
        <f>IF(A334="","",N(O334)+N(P334))</f>
        <v/>
      </c>
      <c r="R334" s="16">
        <f>IF(A334="","",F334-Q334)</f>
        <v/>
      </c>
      <c r="S334" s="46">
        <f>IFERROR(R334/F334,"")</f>
        <v/>
      </c>
      <c r="T334" s="45" t="n"/>
      <c r="U334" s="45" t="n"/>
      <c r="V334" s="45" t="n"/>
      <c r="W334" s="45" t="n"/>
      <c r="X334" s="45" t="n"/>
      <c r="Y334" s="13" t="n"/>
    </row>
    <row r="335" ht="15" customHeight="1">
      <c r="A335" s="13" t="n"/>
      <c r="B335" s="14">
        <f>IF(A335="","",IF(COUNTIF(lst_Jobs,A335&amp;"")&gt;0,"OK","CHECK"))</f>
        <v/>
      </c>
      <c r="C335" s="14">
        <f>IF(A335="","",IFERROR(INDEX(lst_JobName,MATCH(A335&amp;"",lst_Jobs,0)),""))</f>
        <v/>
      </c>
      <c r="D335" s="14">
        <f>IF(A335="","",IFERROR(INDEX(tbl_Finance[Client],MATCH(A335&amp;"",tbl_Finance[Job Number],0)),""))</f>
        <v/>
      </c>
      <c r="E335" s="44">
        <f>IF(A335="","",COUNTIFS(tbl_Finance[Job Number],A335&amp;"",tbl_Finance[Ex GST],"&lt;&gt;"))</f>
        <v/>
      </c>
      <c r="F335" s="16">
        <f>IF(A335="","",SUMIFS(tbl_Finance[Ex GST],tbl_Finance[Job Number],A335&amp;""))</f>
        <v/>
      </c>
      <c r="G335" s="14">
        <f>IF(A335="","",IFERROR(INDEX(tbl_Finance[Cost Centre],MATCH(A335&amp;"",tbl_Finance[Job Number],0)),"not invoiced yet"))</f>
        <v/>
      </c>
      <c r="H335" s="11" t="n"/>
      <c r="I335" s="13" t="n"/>
      <c r="J335" s="13" t="n"/>
      <c r="K335" s="13" t="n"/>
      <c r="L335" s="15" t="n"/>
      <c r="M335" s="16">
        <f>IF(A335="","",F335+N(L335))</f>
        <v/>
      </c>
      <c r="N335" s="46">
        <f>IFERROR(L335/M335,"")</f>
        <v/>
      </c>
      <c r="O335" s="15" t="n"/>
      <c r="P335" s="15" t="n"/>
      <c r="Q335" s="16">
        <f>IF(A335="","",N(O335)+N(P335))</f>
        <v/>
      </c>
      <c r="R335" s="16">
        <f>IF(A335="","",F335-Q335)</f>
        <v/>
      </c>
      <c r="S335" s="46">
        <f>IFERROR(R335/F335,"")</f>
        <v/>
      </c>
      <c r="T335" s="45" t="n"/>
      <c r="U335" s="45" t="n"/>
      <c r="V335" s="45" t="n"/>
      <c r="W335" s="45" t="n"/>
      <c r="X335" s="45" t="n"/>
      <c r="Y335" s="13" t="n"/>
    </row>
    <row r="336" ht="15" customHeight="1">
      <c r="A336" s="13" t="n"/>
      <c r="B336" s="14">
        <f>IF(A336="","",IF(COUNTIF(lst_Jobs,A336&amp;"")&gt;0,"OK","CHECK"))</f>
        <v/>
      </c>
      <c r="C336" s="14">
        <f>IF(A336="","",IFERROR(INDEX(lst_JobName,MATCH(A336&amp;"",lst_Jobs,0)),""))</f>
        <v/>
      </c>
      <c r="D336" s="14">
        <f>IF(A336="","",IFERROR(INDEX(tbl_Finance[Client],MATCH(A336&amp;"",tbl_Finance[Job Number],0)),""))</f>
        <v/>
      </c>
      <c r="E336" s="44">
        <f>IF(A336="","",COUNTIFS(tbl_Finance[Job Number],A336&amp;"",tbl_Finance[Ex GST],"&lt;&gt;"))</f>
        <v/>
      </c>
      <c r="F336" s="16">
        <f>IF(A336="","",SUMIFS(tbl_Finance[Ex GST],tbl_Finance[Job Number],A336&amp;""))</f>
        <v/>
      </c>
      <c r="G336" s="14">
        <f>IF(A336="","",IFERROR(INDEX(tbl_Finance[Cost Centre],MATCH(A336&amp;"",tbl_Finance[Job Number],0)),"not invoiced yet"))</f>
        <v/>
      </c>
      <c r="H336" s="11" t="n"/>
      <c r="I336" s="13" t="n"/>
      <c r="J336" s="13" t="n"/>
      <c r="K336" s="13" t="n"/>
      <c r="L336" s="15" t="n"/>
      <c r="M336" s="16">
        <f>IF(A336="","",F336+N(L336))</f>
        <v/>
      </c>
      <c r="N336" s="46">
        <f>IFERROR(L336/M336,"")</f>
        <v/>
      </c>
      <c r="O336" s="15" t="n"/>
      <c r="P336" s="15" t="n"/>
      <c r="Q336" s="16">
        <f>IF(A336="","",N(O336)+N(P336))</f>
        <v/>
      </c>
      <c r="R336" s="16">
        <f>IF(A336="","",F336-Q336)</f>
        <v/>
      </c>
      <c r="S336" s="46">
        <f>IFERROR(R336/F336,"")</f>
        <v/>
      </c>
      <c r="T336" s="45" t="n"/>
      <c r="U336" s="45" t="n"/>
      <c r="V336" s="45" t="n"/>
      <c r="W336" s="45" t="n"/>
      <c r="X336" s="45" t="n"/>
      <c r="Y336" s="13" t="n"/>
    </row>
    <row r="337" ht="15" customHeight="1">
      <c r="A337" s="13" t="n"/>
      <c r="B337" s="14">
        <f>IF(A337="","",IF(COUNTIF(lst_Jobs,A337&amp;"")&gt;0,"OK","CHECK"))</f>
        <v/>
      </c>
      <c r="C337" s="14">
        <f>IF(A337="","",IFERROR(INDEX(lst_JobName,MATCH(A337&amp;"",lst_Jobs,0)),""))</f>
        <v/>
      </c>
      <c r="D337" s="14">
        <f>IF(A337="","",IFERROR(INDEX(tbl_Finance[Client],MATCH(A337&amp;"",tbl_Finance[Job Number],0)),""))</f>
        <v/>
      </c>
      <c r="E337" s="44">
        <f>IF(A337="","",COUNTIFS(tbl_Finance[Job Number],A337&amp;"",tbl_Finance[Ex GST],"&lt;&gt;"))</f>
        <v/>
      </c>
      <c r="F337" s="16">
        <f>IF(A337="","",SUMIFS(tbl_Finance[Ex GST],tbl_Finance[Job Number],A337&amp;""))</f>
        <v/>
      </c>
      <c r="G337" s="14">
        <f>IF(A337="","",IFERROR(INDEX(tbl_Finance[Cost Centre],MATCH(A337&amp;"",tbl_Finance[Job Number],0)),"not invoiced yet"))</f>
        <v/>
      </c>
      <c r="H337" s="11" t="n"/>
      <c r="I337" s="13" t="n"/>
      <c r="J337" s="13" t="n"/>
      <c r="K337" s="13" t="n"/>
      <c r="L337" s="15" t="n"/>
      <c r="M337" s="16">
        <f>IF(A337="","",F337+N(L337))</f>
        <v/>
      </c>
      <c r="N337" s="46">
        <f>IFERROR(L337/M337,"")</f>
        <v/>
      </c>
      <c r="O337" s="15" t="n"/>
      <c r="P337" s="15" t="n"/>
      <c r="Q337" s="16">
        <f>IF(A337="","",N(O337)+N(P337))</f>
        <v/>
      </c>
      <c r="R337" s="16">
        <f>IF(A337="","",F337-Q337)</f>
        <v/>
      </c>
      <c r="S337" s="46">
        <f>IFERROR(R337/F337,"")</f>
        <v/>
      </c>
      <c r="T337" s="45" t="n"/>
      <c r="U337" s="45" t="n"/>
      <c r="V337" s="45" t="n"/>
      <c r="W337" s="45" t="n"/>
      <c r="X337" s="45" t="n"/>
      <c r="Y337" s="13" t="n"/>
    </row>
    <row r="338" ht="15" customHeight="1">
      <c r="A338" s="13" t="n"/>
      <c r="B338" s="14">
        <f>IF(A338="","",IF(COUNTIF(lst_Jobs,A338&amp;"")&gt;0,"OK","CHECK"))</f>
        <v/>
      </c>
      <c r="C338" s="14">
        <f>IF(A338="","",IFERROR(INDEX(lst_JobName,MATCH(A338&amp;"",lst_Jobs,0)),""))</f>
        <v/>
      </c>
      <c r="D338" s="14">
        <f>IF(A338="","",IFERROR(INDEX(tbl_Finance[Client],MATCH(A338&amp;"",tbl_Finance[Job Number],0)),""))</f>
        <v/>
      </c>
      <c r="E338" s="44">
        <f>IF(A338="","",COUNTIFS(tbl_Finance[Job Number],A338&amp;"",tbl_Finance[Ex GST],"&lt;&gt;"))</f>
        <v/>
      </c>
      <c r="F338" s="16">
        <f>IF(A338="","",SUMIFS(tbl_Finance[Ex GST],tbl_Finance[Job Number],A338&amp;""))</f>
        <v/>
      </c>
      <c r="G338" s="14">
        <f>IF(A338="","",IFERROR(INDEX(tbl_Finance[Cost Centre],MATCH(A338&amp;"",tbl_Finance[Job Number],0)),"not invoiced yet"))</f>
        <v/>
      </c>
      <c r="H338" s="11" t="n"/>
      <c r="I338" s="13" t="n"/>
      <c r="J338" s="13" t="n"/>
      <c r="K338" s="13" t="n"/>
      <c r="L338" s="15" t="n"/>
      <c r="M338" s="16">
        <f>IF(A338="","",F338+N(L338))</f>
        <v/>
      </c>
      <c r="N338" s="46">
        <f>IFERROR(L338/M338,"")</f>
        <v/>
      </c>
      <c r="O338" s="15" t="n"/>
      <c r="P338" s="15" t="n"/>
      <c r="Q338" s="16">
        <f>IF(A338="","",N(O338)+N(P338))</f>
        <v/>
      </c>
      <c r="R338" s="16">
        <f>IF(A338="","",F338-Q338)</f>
        <v/>
      </c>
      <c r="S338" s="46">
        <f>IFERROR(R338/F338,"")</f>
        <v/>
      </c>
      <c r="T338" s="45" t="n"/>
      <c r="U338" s="45" t="n"/>
      <c r="V338" s="45" t="n"/>
      <c r="W338" s="45" t="n"/>
      <c r="X338" s="45" t="n"/>
      <c r="Y338" s="13" t="n"/>
    </row>
    <row r="339" ht="15" customHeight="1">
      <c r="A339" s="13" t="n"/>
      <c r="B339" s="14">
        <f>IF(A339="","",IF(COUNTIF(lst_Jobs,A339&amp;"")&gt;0,"OK","CHECK"))</f>
        <v/>
      </c>
      <c r="C339" s="14">
        <f>IF(A339="","",IFERROR(INDEX(lst_JobName,MATCH(A339&amp;"",lst_Jobs,0)),""))</f>
        <v/>
      </c>
      <c r="D339" s="14">
        <f>IF(A339="","",IFERROR(INDEX(tbl_Finance[Client],MATCH(A339&amp;"",tbl_Finance[Job Number],0)),""))</f>
        <v/>
      </c>
      <c r="E339" s="44">
        <f>IF(A339="","",COUNTIFS(tbl_Finance[Job Number],A339&amp;"",tbl_Finance[Ex GST],"&lt;&gt;"))</f>
        <v/>
      </c>
      <c r="F339" s="16">
        <f>IF(A339="","",SUMIFS(tbl_Finance[Ex GST],tbl_Finance[Job Number],A339&amp;""))</f>
        <v/>
      </c>
      <c r="G339" s="14">
        <f>IF(A339="","",IFERROR(INDEX(tbl_Finance[Cost Centre],MATCH(A339&amp;"",tbl_Finance[Job Number],0)),"not invoiced yet"))</f>
        <v/>
      </c>
      <c r="H339" s="11" t="n"/>
      <c r="I339" s="13" t="n"/>
      <c r="J339" s="13" t="n"/>
      <c r="K339" s="13" t="n"/>
      <c r="L339" s="15" t="n"/>
      <c r="M339" s="16">
        <f>IF(A339="","",F339+N(L339))</f>
        <v/>
      </c>
      <c r="N339" s="46">
        <f>IFERROR(L339/M339,"")</f>
        <v/>
      </c>
      <c r="O339" s="15" t="n"/>
      <c r="P339" s="15" t="n"/>
      <c r="Q339" s="16">
        <f>IF(A339="","",N(O339)+N(P339))</f>
        <v/>
      </c>
      <c r="R339" s="16">
        <f>IF(A339="","",F339-Q339)</f>
        <v/>
      </c>
      <c r="S339" s="46">
        <f>IFERROR(R339/F339,"")</f>
        <v/>
      </c>
      <c r="T339" s="45" t="n"/>
      <c r="U339" s="45" t="n"/>
      <c r="V339" s="45" t="n"/>
      <c r="W339" s="45" t="n"/>
      <c r="X339" s="45" t="n"/>
      <c r="Y339" s="13" t="n"/>
    </row>
    <row r="340" ht="15" customHeight="1">
      <c r="A340" s="13" t="n"/>
      <c r="B340" s="14">
        <f>IF(A340="","",IF(COUNTIF(lst_Jobs,A340&amp;"")&gt;0,"OK","CHECK"))</f>
        <v/>
      </c>
      <c r="C340" s="14">
        <f>IF(A340="","",IFERROR(INDEX(lst_JobName,MATCH(A340&amp;"",lst_Jobs,0)),""))</f>
        <v/>
      </c>
      <c r="D340" s="14">
        <f>IF(A340="","",IFERROR(INDEX(tbl_Finance[Client],MATCH(A340&amp;"",tbl_Finance[Job Number],0)),""))</f>
        <v/>
      </c>
      <c r="E340" s="44">
        <f>IF(A340="","",COUNTIFS(tbl_Finance[Job Number],A340&amp;"",tbl_Finance[Ex GST],"&lt;&gt;"))</f>
        <v/>
      </c>
      <c r="F340" s="16">
        <f>IF(A340="","",SUMIFS(tbl_Finance[Ex GST],tbl_Finance[Job Number],A340&amp;""))</f>
        <v/>
      </c>
      <c r="G340" s="14">
        <f>IF(A340="","",IFERROR(INDEX(tbl_Finance[Cost Centre],MATCH(A340&amp;"",tbl_Finance[Job Number],0)),"not invoiced yet"))</f>
        <v/>
      </c>
      <c r="H340" s="11" t="n"/>
      <c r="I340" s="13" t="n"/>
      <c r="J340" s="13" t="n"/>
      <c r="K340" s="13" t="n"/>
      <c r="L340" s="15" t="n"/>
      <c r="M340" s="16">
        <f>IF(A340="","",F340+N(L340))</f>
        <v/>
      </c>
      <c r="N340" s="46">
        <f>IFERROR(L340/M340,"")</f>
        <v/>
      </c>
      <c r="O340" s="15" t="n"/>
      <c r="P340" s="15" t="n"/>
      <c r="Q340" s="16">
        <f>IF(A340="","",N(O340)+N(P340))</f>
        <v/>
      </c>
      <c r="R340" s="16">
        <f>IF(A340="","",F340-Q340)</f>
        <v/>
      </c>
      <c r="S340" s="46">
        <f>IFERROR(R340/F340,"")</f>
        <v/>
      </c>
      <c r="T340" s="45" t="n"/>
      <c r="U340" s="45" t="n"/>
      <c r="V340" s="45" t="n"/>
      <c r="W340" s="45" t="n"/>
      <c r="X340" s="45" t="n"/>
      <c r="Y340" s="13" t="n"/>
    </row>
    <row r="341" ht="15" customHeight="1">
      <c r="A341" s="13" t="n"/>
      <c r="B341" s="14">
        <f>IF(A341="","",IF(COUNTIF(lst_Jobs,A341&amp;"")&gt;0,"OK","CHECK"))</f>
        <v/>
      </c>
      <c r="C341" s="14">
        <f>IF(A341="","",IFERROR(INDEX(lst_JobName,MATCH(A341&amp;"",lst_Jobs,0)),""))</f>
        <v/>
      </c>
      <c r="D341" s="14">
        <f>IF(A341="","",IFERROR(INDEX(tbl_Finance[Client],MATCH(A341&amp;"",tbl_Finance[Job Number],0)),""))</f>
        <v/>
      </c>
      <c r="E341" s="44">
        <f>IF(A341="","",COUNTIFS(tbl_Finance[Job Number],A341&amp;"",tbl_Finance[Ex GST],"&lt;&gt;"))</f>
        <v/>
      </c>
      <c r="F341" s="16">
        <f>IF(A341="","",SUMIFS(tbl_Finance[Ex GST],tbl_Finance[Job Number],A341&amp;""))</f>
        <v/>
      </c>
      <c r="G341" s="14">
        <f>IF(A341="","",IFERROR(INDEX(tbl_Finance[Cost Centre],MATCH(A341&amp;"",tbl_Finance[Job Number],0)),"not invoiced yet"))</f>
        <v/>
      </c>
      <c r="H341" s="11" t="n"/>
      <c r="I341" s="13" t="n"/>
      <c r="J341" s="13" t="n"/>
      <c r="K341" s="13" t="n"/>
      <c r="L341" s="15" t="n"/>
      <c r="M341" s="16">
        <f>IF(A341="","",F341+N(L341))</f>
        <v/>
      </c>
      <c r="N341" s="46">
        <f>IFERROR(L341/M341,"")</f>
        <v/>
      </c>
      <c r="O341" s="15" t="n"/>
      <c r="P341" s="15" t="n"/>
      <c r="Q341" s="16">
        <f>IF(A341="","",N(O341)+N(P341))</f>
        <v/>
      </c>
      <c r="R341" s="16">
        <f>IF(A341="","",F341-Q341)</f>
        <v/>
      </c>
      <c r="S341" s="46">
        <f>IFERROR(R341/F341,"")</f>
        <v/>
      </c>
      <c r="T341" s="45" t="n"/>
      <c r="U341" s="45" t="n"/>
      <c r="V341" s="45" t="n"/>
      <c r="W341" s="45" t="n"/>
      <c r="X341" s="45" t="n"/>
      <c r="Y341" s="13" t="n"/>
    </row>
    <row r="342" ht="15" customHeight="1">
      <c r="A342" s="13" t="n"/>
      <c r="B342" s="14">
        <f>IF(A342="","",IF(COUNTIF(lst_Jobs,A342&amp;"")&gt;0,"OK","CHECK"))</f>
        <v/>
      </c>
      <c r="C342" s="14">
        <f>IF(A342="","",IFERROR(INDEX(lst_JobName,MATCH(A342&amp;"",lst_Jobs,0)),""))</f>
        <v/>
      </c>
      <c r="D342" s="14">
        <f>IF(A342="","",IFERROR(INDEX(tbl_Finance[Client],MATCH(A342&amp;"",tbl_Finance[Job Number],0)),""))</f>
        <v/>
      </c>
      <c r="E342" s="44">
        <f>IF(A342="","",COUNTIFS(tbl_Finance[Job Number],A342&amp;"",tbl_Finance[Ex GST],"&lt;&gt;"))</f>
        <v/>
      </c>
      <c r="F342" s="16">
        <f>IF(A342="","",SUMIFS(tbl_Finance[Ex GST],tbl_Finance[Job Number],A342&amp;""))</f>
        <v/>
      </c>
      <c r="G342" s="14">
        <f>IF(A342="","",IFERROR(INDEX(tbl_Finance[Cost Centre],MATCH(A342&amp;"",tbl_Finance[Job Number],0)),"not invoiced yet"))</f>
        <v/>
      </c>
      <c r="H342" s="11" t="n"/>
      <c r="I342" s="13" t="n"/>
      <c r="J342" s="13" t="n"/>
      <c r="K342" s="13" t="n"/>
      <c r="L342" s="15" t="n"/>
      <c r="M342" s="16">
        <f>IF(A342="","",F342+N(L342))</f>
        <v/>
      </c>
      <c r="N342" s="46">
        <f>IFERROR(L342/M342,"")</f>
        <v/>
      </c>
      <c r="O342" s="15" t="n"/>
      <c r="P342" s="15" t="n"/>
      <c r="Q342" s="16">
        <f>IF(A342="","",N(O342)+N(P342))</f>
        <v/>
      </c>
      <c r="R342" s="16">
        <f>IF(A342="","",F342-Q342)</f>
        <v/>
      </c>
      <c r="S342" s="46">
        <f>IFERROR(R342/F342,"")</f>
        <v/>
      </c>
      <c r="T342" s="45" t="n"/>
      <c r="U342" s="45" t="n"/>
      <c r="V342" s="45" t="n"/>
      <c r="W342" s="45" t="n"/>
      <c r="X342" s="45" t="n"/>
      <c r="Y342" s="13" t="n"/>
    </row>
    <row r="343" ht="15" customHeight="1">
      <c r="A343" s="13" t="n"/>
      <c r="B343" s="14">
        <f>IF(A343="","",IF(COUNTIF(lst_Jobs,A343&amp;"")&gt;0,"OK","CHECK"))</f>
        <v/>
      </c>
      <c r="C343" s="14">
        <f>IF(A343="","",IFERROR(INDEX(lst_JobName,MATCH(A343&amp;"",lst_Jobs,0)),""))</f>
        <v/>
      </c>
      <c r="D343" s="14">
        <f>IF(A343="","",IFERROR(INDEX(tbl_Finance[Client],MATCH(A343&amp;"",tbl_Finance[Job Number],0)),""))</f>
        <v/>
      </c>
      <c r="E343" s="44">
        <f>IF(A343="","",COUNTIFS(tbl_Finance[Job Number],A343&amp;"",tbl_Finance[Ex GST],"&lt;&gt;"))</f>
        <v/>
      </c>
      <c r="F343" s="16">
        <f>IF(A343="","",SUMIFS(tbl_Finance[Ex GST],tbl_Finance[Job Number],A343&amp;""))</f>
        <v/>
      </c>
      <c r="G343" s="14">
        <f>IF(A343="","",IFERROR(INDEX(tbl_Finance[Cost Centre],MATCH(A343&amp;"",tbl_Finance[Job Number],0)),"not invoiced yet"))</f>
        <v/>
      </c>
      <c r="H343" s="11" t="n"/>
      <c r="I343" s="13" t="n"/>
      <c r="J343" s="13" t="n"/>
      <c r="K343" s="13" t="n"/>
      <c r="L343" s="15" t="n"/>
      <c r="M343" s="16">
        <f>IF(A343="","",F343+N(L343))</f>
        <v/>
      </c>
      <c r="N343" s="46">
        <f>IFERROR(L343/M343,"")</f>
        <v/>
      </c>
      <c r="O343" s="15" t="n"/>
      <c r="P343" s="15" t="n"/>
      <c r="Q343" s="16">
        <f>IF(A343="","",N(O343)+N(P343))</f>
        <v/>
      </c>
      <c r="R343" s="16">
        <f>IF(A343="","",F343-Q343)</f>
        <v/>
      </c>
      <c r="S343" s="46">
        <f>IFERROR(R343/F343,"")</f>
        <v/>
      </c>
      <c r="T343" s="45" t="n"/>
      <c r="U343" s="45" t="n"/>
      <c r="V343" s="45" t="n"/>
      <c r="W343" s="45" t="n"/>
      <c r="X343" s="45" t="n"/>
      <c r="Y343" s="13" t="n"/>
    </row>
    <row r="344" ht="15" customHeight="1">
      <c r="A344" s="13" t="n"/>
      <c r="B344" s="14">
        <f>IF(A344="","",IF(COUNTIF(lst_Jobs,A344&amp;"")&gt;0,"OK","CHECK"))</f>
        <v/>
      </c>
      <c r="C344" s="14">
        <f>IF(A344="","",IFERROR(INDEX(lst_JobName,MATCH(A344&amp;"",lst_Jobs,0)),""))</f>
        <v/>
      </c>
      <c r="D344" s="14">
        <f>IF(A344="","",IFERROR(INDEX(tbl_Finance[Client],MATCH(A344&amp;"",tbl_Finance[Job Number],0)),""))</f>
        <v/>
      </c>
      <c r="E344" s="44">
        <f>IF(A344="","",COUNTIFS(tbl_Finance[Job Number],A344&amp;"",tbl_Finance[Ex GST],"&lt;&gt;"))</f>
        <v/>
      </c>
      <c r="F344" s="16">
        <f>IF(A344="","",SUMIFS(tbl_Finance[Ex GST],tbl_Finance[Job Number],A344&amp;""))</f>
        <v/>
      </c>
      <c r="G344" s="14">
        <f>IF(A344="","",IFERROR(INDEX(tbl_Finance[Cost Centre],MATCH(A344&amp;"",tbl_Finance[Job Number],0)),"not invoiced yet"))</f>
        <v/>
      </c>
      <c r="H344" s="11" t="n"/>
      <c r="I344" s="13" t="n"/>
      <c r="J344" s="13" t="n"/>
      <c r="K344" s="13" t="n"/>
      <c r="L344" s="15" t="n"/>
      <c r="M344" s="16">
        <f>IF(A344="","",F344+N(L344))</f>
        <v/>
      </c>
      <c r="N344" s="46">
        <f>IFERROR(L344/M344,"")</f>
        <v/>
      </c>
      <c r="O344" s="15" t="n"/>
      <c r="P344" s="15" t="n"/>
      <c r="Q344" s="16">
        <f>IF(A344="","",N(O344)+N(P344))</f>
        <v/>
      </c>
      <c r="R344" s="16">
        <f>IF(A344="","",F344-Q344)</f>
        <v/>
      </c>
      <c r="S344" s="46">
        <f>IFERROR(R344/F344,"")</f>
        <v/>
      </c>
      <c r="T344" s="45" t="n"/>
      <c r="U344" s="45" t="n"/>
      <c r="V344" s="45" t="n"/>
      <c r="W344" s="45" t="n"/>
      <c r="X344" s="45" t="n"/>
      <c r="Y344" s="13" t="n"/>
    </row>
    <row r="345" ht="15" customHeight="1">
      <c r="A345" s="13" t="n"/>
      <c r="B345" s="14">
        <f>IF(A345="","",IF(COUNTIF(lst_Jobs,A345&amp;"")&gt;0,"OK","CHECK"))</f>
        <v/>
      </c>
      <c r="C345" s="14">
        <f>IF(A345="","",IFERROR(INDEX(lst_JobName,MATCH(A345&amp;"",lst_Jobs,0)),""))</f>
        <v/>
      </c>
      <c r="D345" s="14">
        <f>IF(A345="","",IFERROR(INDEX(tbl_Finance[Client],MATCH(A345&amp;"",tbl_Finance[Job Number],0)),""))</f>
        <v/>
      </c>
      <c r="E345" s="44">
        <f>IF(A345="","",COUNTIFS(tbl_Finance[Job Number],A345&amp;"",tbl_Finance[Ex GST],"&lt;&gt;"))</f>
        <v/>
      </c>
      <c r="F345" s="16">
        <f>IF(A345="","",SUMIFS(tbl_Finance[Ex GST],tbl_Finance[Job Number],A345&amp;""))</f>
        <v/>
      </c>
      <c r="G345" s="14">
        <f>IF(A345="","",IFERROR(INDEX(tbl_Finance[Cost Centre],MATCH(A345&amp;"",tbl_Finance[Job Number],0)),"not invoiced yet"))</f>
        <v/>
      </c>
      <c r="H345" s="11" t="n"/>
      <c r="I345" s="13" t="n"/>
      <c r="J345" s="13" t="n"/>
      <c r="K345" s="13" t="n"/>
      <c r="L345" s="15" t="n"/>
      <c r="M345" s="16">
        <f>IF(A345="","",F345+N(L345))</f>
        <v/>
      </c>
      <c r="N345" s="46">
        <f>IFERROR(L345/M345,"")</f>
        <v/>
      </c>
      <c r="O345" s="15" t="n"/>
      <c r="P345" s="15" t="n"/>
      <c r="Q345" s="16">
        <f>IF(A345="","",N(O345)+N(P345))</f>
        <v/>
      </c>
      <c r="R345" s="16">
        <f>IF(A345="","",F345-Q345)</f>
        <v/>
      </c>
      <c r="S345" s="46">
        <f>IFERROR(R345/F345,"")</f>
        <v/>
      </c>
      <c r="T345" s="45" t="n"/>
      <c r="U345" s="45" t="n"/>
      <c r="V345" s="45" t="n"/>
      <c r="W345" s="45" t="n"/>
      <c r="X345" s="45" t="n"/>
      <c r="Y345" s="13" t="n"/>
    </row>
    <row r="346" ht="15" customHeight="1">
      <c r="A346" s="13" t="n"/>
      <c r="B346" s="14">
        <f>IF(A346="","",IF(COUNTIF(lst_Jobs,A346&amp;"")&gt;0,"OK","CHECK"))</f>
        <v/>
      </c>
      <c r="C346" s="14">
        <f>IF(A346="","",IFERROR(INDEX(lst_JobName,MATCH(A346&amp;"",lst_Jobs,0)),""))</f>
        <v/>
      </c>
      <c r="D346" s="14">
        <f>IF(A346="","",IFERROR(INDEX(tbl_Finance[Client],MATCH(A346&amp;"",tbl_Finance[Job Number],0)),""))</f>
        <v/>
      </c>
      <c r="E346" s="44">
        <f>IF(A346="","",COUNTIFS(tbl_Finance[Job Number],A346&amp;"",tbl_Finance[Ex GST],"&lt;&gt;"))</f>
        <v/>
      </c>
      <c r="F346" s="16">
        <f>IF(A346="","",SUMIFS(tbl_Finance[Ex GST],tbl_Finance[Job Number],A346&amp;""))</f>
        <v/>
      </c>
      <c r="G346" s="14">
        <f>IF(A346="","",IFERROR(INDEX(tbl_Finance[Cost Centre],MATCH(A346&amp;"",tbl_Finance[Job Number],0)),"not invoiced yet"))</f>
        <v/>
      </c>
      <c r="H346" s="11" t="n"/>
      <c r="I346" s="13" t="n"/>
      <c r="J346" s="13" t="n"/>
      <c r="K346" s="13" t="n"/>
      <c r="L346" s="15" t="n"/>
      <c r="M346" s="16">
        <f>IF(A346="","",F346+N(L346))</f>
        <v/>
      </c>
      <c r="N346" s="46">
        <f>IFERROR(L346/M346,"")</f>
        <v/>
      </c>
      <c r="O346" s="15" t="n"/>
      <c r="P346" s="15" t="n"/>
      <c r="Q346" s="16">
        <f>IF(A346="","",N(O346)+N(P346))</f>
        <v/>
      </c>
      <c r="R346" s="16">
        <f>IF(A346="","",F346-Q346)</f>
        <v/>
      </c>
      <c r="S346" s="46">
        <f>IFERROR(R346/F346,"")</f>
        <v/>
      </c>
      <c r="T346" s="45" t="n"/>
      <c r="U346" s="45" t="n"/>
      <c r="V346" s="45" t="n"/>
      <c r="W346" s="45" t="n"/>
      <c r="X346" s="45" t="n"/>
      <c r="Y346" s="13" t="n"/>
    </row>
    <row r="347" ht="15" customHeight="1">
      <c r="A347" s="13" t="n"/>
      <c r="B347" s="14">
        <f>IF(A347="","",IF(COUNTIF(lst_Jobs,A347&amp;"")&gt;0,"OK","CHECK"))</f>
        <v/>
      </c>
      <c r="C347" s="14">
        <f>IF(A347="","",IFERROR(INDEX(lst_JobName,MATCH(A347&amp;"",lst_Jobs,0)),""))</f>
        <v/>
      </c>
      <c r="D347" s="14">
        <f>IF(A347="","",IFERROR(INDEX(tbl_Finance[Client],MATCH(A347&amp;"",tbl_Finance[Job Number],0)),""))</f>
        <v/>
      </c>
      <c r="E347" s="44">
        <f>IF(A347="","",COUNTIFS(tbl_Finance[Job Number],A347&amp;"",tbl_Finance[Ex GST],"&lt;&gt;"))</f>
        <v/>
      </c>
      <c r="F347" s="16">
        <f>IF(A347="","",SUMIFS(tbl_Finance[Ex GST],tbl_Finance[Job Number],A347&amp;""))</f>
        <v/>
      </c>
      <c r="G347" s="14">
        <f>IF(A347="","",IFERROR(INDEX(tbl_Finance[Cost Centre],MATCH(A347&amp;"",tbl_Finance[Job Number],0)),"not invoiced yet"))</f>
        <v/>
      </c>
      <c r="H347" s="11" t="n"/>
      <c r="I347" s="13" t="n"/>
      <c r="J347" s="13" t="n"/>
      <c r="K347" s="13" t="n"/>
      <c r="L347" s="15" t="n"/>
      <c r="M347" s="16">
        <f>IF(A347="","",F347+N(L347))</f>
        <v/>
      </c>
      <c r="N347" s="46">
        <f>IFERROR(L347/M347,"")</f>
        <v/>
      </c>
      <c r="O347" s="15" t="n"/>
      <c r="P347" s="15" t="n"/>
      <c r="Q347" s="16">
        <f>IF(A347="","",N(O347)+N(P347))</f>
        <v/>
      </c>
      <c r="R347" s="16">
        <f>IF(A347="","",F347-Q347)</f>
        <v/>
      </c>
      <c r="S347" s="46">
        <f>IFERROR(R347/F347,"")</f>
        <v/>
      </c>
      <c r="T347" s="45" t="n"/>
      <c r="U347" s="45" t="n"/>
      <c r="V347" s="45" t="n"/>
      <c r="W347" s="45" t="n"/>
      <c r="X347" s="45" t="n"/>
      <c r="Y347" s="13" t="n"/>
    </row>
    <row r="348" ht="15" customHeight="1">
      <c r="A348" s="13" t="n"/>
      <c r="B348" s="14">
        <f>IF(A348="","",IF(COUNTIF(lst_Jobs,A348&amp;"")&gt;0,"OK","CHECK"))</f>
        <v/>
      </c>
      <c r="C348" s="14">
        <f>IF(A348="","",IFERROR(INDEX(lst_JobName,MATCH(A348&amp;"",lst_Jobs,0)),""))</f>
        <v/>
      </c>
      <c r="D348" s="14">
        <f>IF(A348="","",IFERROR(INDEX(tbl_Finance[Client],MATCH(A348&amp;"",tbl_Finance[Job Number],0)),""))</f>
        <v/>
      </c>
      <c r="E348" s="44">
        <f>IF(A348="","",COUNTIFS(tbl_Finance[Job Number],A348&amp;"",tbl_Finance[Ex GST],"&lt;&gt;"))</f>
        <v/>
      </c>
      <c r="F348" s="16">
        <f>IF(A348="","",SUMIFS(tbl_Finance[Ex GST],tbl_Finance[Job Number],A348&amp;""))</f>
        <v/>
      </c>
      <c r="G348" s="14">
        <f>IF(A348="","",IFERROR(INDEX(tbl_Finance[Cost Centre],MATCH(A348&amp;"",tbl_Finance[Job Number],0)),"not invoiced yet"))</f>
        <v/>
      </c>
      <c r="H348" s="11" t="n"/>
      <c r="I348" s="13" t="n"/>
      <c r="J348" s="13" t="n"/>
      <c r="K348" s="13" t="n"/>
      <c r="L348" s="15" t="n"/>
      <c r="M348" s="16">
        <f>IF(A348="","",F348+N(L348))</f>
        <v/>
      </c>
      <c r="N348" s="46">
        <f>IFERROR(L348/M348,"")</f>
        <v/>
      </c>
      <c r="O348" s="15" t="n"/>
      <c r="P348" s="15" t="n"/>
      <c r="Q348" s="16">
        <f>IF(A348="","",N(O348)+N(P348))</f>
        <v/>
      </c>
      <c r="R348" s="16">
        <f>IF(A348="","",F348-Q348)</f>
        <v/>
      </c>
      <c r="S348" s="46">
        <f>IFERROR(R348/F348,"")</f>
        <v/>
      </c>
      <c r="T348" s="45" t="n"/>
      <c r="U348" s="45" t="n"/>
      <c r="V348" s="45" t="n"/>
      <c r="W348" s="45" t="n"/>
      <c r="X348" s="45" t="n"/>
      <c r="Y348" s="13" t="n"/>
    </row>
    <row r="349" ht="15" customHeight="1">
      <c r="A349" s="13" t="n"/>
      <c r="B349" s="14">
        <f>IF(A349="","",IF(COUNTIF(lst_Jobs,A349&amp;"")&gt;0,"OK","CHECK"))</f>
        <v/>
      </c>
      <c r="C349" s="14">
        <f>IF(A349="","",IFERROR(INDEX(lst_JobName,MATCH(A349&amp;"",lst_Jobs,0)),""))</f>
        <v/>
      </c>
      <c r="D349" s="14">
        <f>IF(A349="","",IFERROR(INDEX(tbl_Finance[Client],MATCH(A349&amp;"",tbl_Finance[Job Number],0)),""))</f>
        <v/>
      </c>
      <c r="E349" s="44">
        <f>IF(A349="","",COUNTIFS(tbl_Finance[Job Number],A349&amp;"",tbl_Finance[Ex GST],"&lt;&gt;"))</f>
        <v/>
      </c>
      <c r="F349" s="16">
        <f>IF(A349="","",SUMIFS(tbl_Finance[Ex GST],tbl_Finance[Job Number],A349&amp;""))</f>
        <v/>
      </c>
      <c r="G349" s="14">
        <f>IF(A349="","",IFERROR(INDEX(tbl_Finance[Cost Centre],MATCH(A349&amp;"",tbl_Finance[Job Number],0)),"not invoiced yet"))</f>
        <v/>
      </c>
      <c r="H349" s="11" t="n"/>
      <c r="I349" s="13" t="n"/>
      <c r="J349" s="13" t="n"/>
      <c r="K349" s="13" t="n"/>
      <c r="L349" s="15" t="n"/>
      <c r="M349" s="16">
        <f>IF(A349="","",F349+N(L349))</f>
        <v/>
      </c>
      <c r="N349" s="46">
        <f>IFERROR(L349/M349,"")</f>
        <v/>
      </c>
      <c r="O349" s="15" t="n"/>
      <c r="P349" s="15" t="n"/>
      <c r="Q349" s="16">
        <f>IF(A349="","",N(O349)+N(P349))</f>
        <v/>
      </c>
      <c r="R349" s="16">
        <f>IF(A349="","",F349-Q349)</f>
        <v/>
      </c>
      <c r="S349" s="46">
        <f>IFERROR(R349/F349,"")</f>
        <v/>
      </c>
      <c r="T349" s="45" t="n"/>
      <c r="U349" s="45" t="n"/>
      <c r="V349" s="45" t="n"/>
      <c r="W349" s="45" t="n"/>
      <c r="X349" s="45" t="n"/>
      <c r="Y349" s="13" t="n"/>
    </row>
    <row r="350" ht="15" customHeight="1">
      <c r="A350" s="13" t="n"/>
      <c r="B350" s="14">
        <f>IF(A350="","",IF(COUNTIF(lst_Jobs,A350&amp;"")&gt;0,"OK","CHECK"))</f>
        <v/>
      </c>
      <c r="C350" s="14">
        <f>IF(A350="","",IFERROR(INDEX(lst_JobName,MATCH(A350&amp;"",lst_Jobs,0)),""))</f>
        <v/>
      </c>
      <c r="D350" s="14">
        <f>IF(A350="","",IFERROR(INDEX(tbl_Finance[Client],MATCH(A350&amp;"",tbl_Finance[Job Number],0)),""))</f>
        <v/>
      </c>
      <c r="E350" s="44">
        <f>IF(A350="","",COUNTIFS(tbl_Finance[Job Number],A350&amp;"",tbl_Finance[Ex GST],"&lt;&gt;"))</f>
        <v/>
      </c>
      <c r="F350" s="16">
        <f>IF(A350="","",SUMIFS(tbl_Finance[Ex GST],tbl_Finance[Job Number],A350&amp;""))</f>
        <v/>
      </c>
      <c r="G350" s="14">
        <f>IF(A350="","",IFERROR(INDEX(tbl_Finance[Cost Centre],MATCH(A350&amp;"",tbl_Finance[Job Number],0)),"not invoiced yet"))</f>
        <v/>
      </c>
      <c r="H350" s="11" t="n"/>
      <c r="I350" s="13" t="n"/>
      <c r="J350" s="13" t="n"/>
      <c r="K350" s="13" t="n"/>
      <c r="L350" s="15" t="n"/>
      <c r="M350" s="16">
        <f>IF(A350="","",F350+N(L350))</f>
        <v/>
      </c>
      <c r="N350" s="46">
        <f>IFERROR(L350/M350,"")</f>
        <v/>
      </c>
      <c r="O350" s="15" t="n"/>
      <c r="P350" s="15" t="n"/>
      <c r="Q350" s="16">
        <f>IF(A350="","",N(O350)+N(P350))</f>
        <v/>
      </c>
      <c r="R350" s="16">
        <f>IF(A350="","",F350-Q350)</f>
        <v/>
      </c>
      <c r="S350" s="46">
        <f>IFERROR(R350/F350,"")</f>
        <v/>
      </c>
      <c r="T350" s="45" t="n"/>
      <c r="U350" s="45" t="n"/>
      <c r="V350" s="45" t="n"/>
      <c r="W350" s="45" t="n"/>
      <c r="X350" s="45" t="n"/>
      <c r="Y350" s="13" t="n"/>
    </row>
    <row r="351" ht="15" customHeight="1">
      <c r="A351" s="13" t="n"/>
      <c r="B351" s="14">
        <f>IF(A351="","",IF(COUNTIF(lst_Jobs,A351&amp;"")&gt;0,"OK","CHECK"))</f>
        <v/>
      </c>
      <c r="C351" s="14">
        <f>IF(A351="","",IFERROR(INDEX(lst_JobName,MATCH(A351&amp;"",lst_Jobs,0)),""))</f>
        <v/>
      </c>
      <c r="D351" s="14">
        <f>IF(A351="","",IFERROR(INDEX(tbl_Finance[Client],MATCH(A351&amp;"",tbl_Finance[Job Number],0)),""))</f>
        <v/>
      </c>
      <c r="E351" s="44">
        <f>IF(A351="","",COUNTIFS(tbl_Finance[Job Number],A351&amp;"",tbl_Finance[Ex GST],"&lt;&gt;"))</f>
        <v/>
      </c>
      <c r="F351" s="16">
        <f>IF(A351="","",SUMIFS(tbl_Finance[Ex GST],tbl_Finance[Job Number],A351&amp;""))</f>
        <v/>
      </c>
      <c r="G351" s="14">
        <f>IF(A351="","",IFERROR(INDEX(tbl_Finance[Cost Centre],MATCH(A351&amp;"",tbl_Finance[Job Number],0)),"not invoiced yet"))</f>
        <v/>
      </c>
      <c r="H351" s="11" t="n"/>
      <c r="I351" s="13" t="n"/>
      <c r="J351" s="13" t="n"/>
      <c r="K351" s="13" t="n"/>
      <c r="L351" s="15" t="n"/>
      <c r="M351" s="16">
        <f>IF(A351="","",F351+N(L351))</f>
        <v/>
      </c>
      <c r="N351" s="46">
        <f>IFERROR(L351/M351,"")</f>
        <v/>
      </c>
      <c r="O351" s="15" t="n"/>
      <c r="P351" s="15" t="n"/>
      <c r="Q351" s="16">
        <f>IF(A351="","",N(O351)+N(P351))</f>
        <v/>
      </c>
      <c r="R351" s="16">
        <f>IF(A351="","",F351-Q351)</f>
        <v/>
      </c>
      <c r="S351" s="46">
        <f>IFERROR(R351/F351,"")</f>
        <v/>
      </c>
      <c r="T351" s="45" t="n"/>
      <c r="U351" s="45" t="n"/>
      <c r="V351" s="45" t="n"/>
      <c r="W351" s="45" t="n"/>
      <c r="X351" s="45" t="n"/>
      <c r="Y351" s="13" t="n"/>
    </row>
    <row r="352" ht="15" customHeight="1">
      <c r="A352" s="13" t="n"/>
      <c r="B352" s="14">
        <f>IF(A352="","",IF(COUNTIF(lst_Jobs,A352&amp;"")&gt;0,"OK","CHECK"))</f>
        <v/>
      </c>
      <c r="C352" s="14">
        <f>IF(A352="","",IFERROR(INDEX(lst_JobName,MATCH(A352&amp;"",lst_Jobs,0)),""))</f>
        <v/>
      </c>
      <c r="D352" s="14">
        <f>IF(A352="","",IFERROR(INDEX(tbl_Finance[Client],MATCH(A352&amp;"",tbl_Finance[Job Number],0)),""))</f>
        <v/>
      </c>
      <c r="E352" s="44">
        <f>IF(A352="","",COUNTIFS(tbl_Finance[Job Number],A352&amp;"",tbl_Finance[Ex GST],"&lt;&gt;"))</f>
        <v/>
      </c>
      <c r="F352" s="16">
        <f>IF(A352="","",SUMIFS(tbl_Finance[Ex GST],tbl_Finance[Job Number],A352&amp;""))</f>
        <v/>
      </c>
      <c r="G352" s="14">
        <f>IF(A352="","",IFERROR(INDEX(tbl_Finance[Cost Centre],MATCH(A352&amp;"",tbl_Finance[Job Number],0)),"not invoiced yet"))</f>
        <v/>
      </c>
      <c r="H352" s="11" t="n"/>
      <c r="I352" s="13" t="n"/>
      <c r="J352" s="13" t="n"/>
      <c r="K352" s="13" t="n"/>
      <c r="L352" s="15" t="n"/>
      <c r="M352" s="16">
        <f>IF(A352="","",F352+N(L352))</f>
        <v/>
      </c>
      <c r="N352" s="46">
        <f>IFERROR(L352/M352,"")</f>
        <v/>
      </c>
      <c r="O352" s="15" t="n"/>
      <c r="P352" s="15" t="n"/>
      <c r="Q352" s="16">
        <f>IF(A352="","",N(O352)+N(P352))</f>
        <v/>
      </c>
      <c r="R352" s="16">
        <f>IF(A352="","",F352-Q352)</f>
        <v/>
      </c>
      <c r="S352" s="46">
        <f>IFERROR(R352/F352,"")</f>
        <v/>
      </c>
      <c r="T352" s="45" t="n"/>
      <c r="U352" s="45" t="n"/>
      <c r="V352" s="45" t="n"/>
      <c r="W352" s="45" t="n"/>
      <c r="X352" s="45" t="n"/>
      <c r="Y352" s="13" t="n"/>
    </row>
    <row r="353" ht="15" customHeight="1">
      <c r="A353" s="13" t="n"/>
      <c r="B353" s="14">
        <f>IF(A353="","",IF(COUNTIF(lst_Jobs,A353&amp;"")&gt;0,"OK","CHECK"))</f>
        <v/>
      </c>
      <c r="C353" s="14">
        <f>IF(A353="","",IFERROR(INDEX(lst_JobName,MATCH(A353&amp;"",lst_Jobs,0)),""))</f>
        <v/>
      </c>
      <c r="D353" s="14">
        <f>IF(A353="","",IFERROR(INDEX(tbl_Finance[Client],MATCH(A353&amp;"",tbl_Finance[Job Number],0)),""))</f>
        <v/>
      </c>
      <c r="E353" s="44">
        <f>IF(A353="","",COUNTIFS(tbl_Finance[Job Number],A353&amp;"",tbl_Finance[Ex GST],"&lt;&gt;"))</f>
        <v/>
      </c>
      <c r="F353" s="16">
        <f>IF(A353="","",SUMIFS(tbl_Finance[Ex GST],tbl_Finance[Job Number],A353&amp;""))</f>
        <v/>
      </c>
      <c r="G353" s="14">
        <f>IF(A353="","",IFERROR(INDEX(tbl_Finance[Cost Centre],MATCH(A353&amp;"",tbl_Finance[Job Number],0)),"not invoiced yet"))</f>
        <v/>
      </c>
      <c r="H353" s="11" t="n"/>
      <c r="I353" s="13" t="n"/>
      <c r="J353" s="13" t="n"/>
      <c r="K353" s="13" t="n"/>
      <c r="L353" s="15" t="n"/>
      <c r="M353" s="16">
        <f>IF(A353="","",F353+N(L353))</f>
        <v/>
      </c>
      <c r="N353" s="46">
        <f>IFERROR(L353/M353,"")</f>
        <v/>
      </c>
      <c r="O353" s="15" t="n"/>
      <c r="P353" s="15" t="n"/>
      <c r="Q353" s="16">
        <f>IF(A353="","",N(O353)+N(P353))</f>
        <v/>
      </c>
      <c r="R353" s="16">
        <f>IF(A353="","",F353-Q353)</f>
        <v/>
      </c>
      <c r="S353" s="46">
        <f>IFERROR(R353/F353,"")</f>
        <v/>
      </c>
      <c r="T353" s="45" t="n"/>
      <c r="U353" s="45" t="n"/>
      <c r="V353" s="45" t="n"/>
      <c r="W353" s="45" t="n"/>
      <c r="X353" s="45" t="n"/>
      <c r="Y353" s="13" t="n"/>
    </row>
    <row r="354" ht="15" customHeight="1">
      <c r="A354" s="13" t="n"/>
      <c r="B354" s="14">
        <f>IF(A354="","",IF(COUNTIF(lst_Jobs,A354&amp;"")&gt;0,"OK","CHECK"))</f>
        <v/>
      </c>
      <c r="C354" s="14">
        <f>IF(A354="","",IFERROR(INDEX(lst_JobName,MATCH(A354&amp;"",lst_Jobs,0)),""))</f>
        <v/>
      </c>
      <c r="D354" s="14">
        <f>IF(A354="","",IFERROR(INDEX(tbl_Finance[Client],MATCH(A354&amp;"",tbl_Finance[Job Number],0)),""))</f>
        <v/>
      </c>
      <c r="E354" s="44">
        <f>IF(A354="","",COUNTIFS(tbl_Finance[Job Number],A354&amp;"",tbl_Finance[Ex GST],"&lt;&gt;"))</f>
        <v/>
      </c>
      <c r="F354" s="16">
        <f>IF(A354="","",SUMIFS(tbl_Finance[Ex GST],tbl_Finance[Job Number],A354&amp;""))</f>
        <v/>
      </c>
      <c r="G354" s="14">
        <f>IF(A354="","",IFERROR(INDEX(tbl_Finance[Cost Centre],MATCH(A354&amp;"",tbl_Finance[Job Number],0)),"not invoiced yet"))</f>
        <v/>
      </c>
      <c r="H354" s="11" t="n"/>
      <c r="I354" s="13" t="n"/>
      <c r="J354" s="13" t="n"/>
      <c r="K354" s="13" t="n"/>
      <c r="L354" s="15" t="n"/>
      <c r="M354" s="16">
        <f>IF(A354="","",F354+N(L354))</f>
        <v/>
      </c>
      <c r="N354" s="46">
        <f>IFERROR(L354/M354,"")</f>
        <v/>
      </c>
      <c r="O354" s="15" t="n"/>
      <c r="P354" s="15" t="n"/>
      <c r="Q354" s="16">
        <f>IF(A354="","",N(O354)+N(P354))</f>
        <v/>
      </c>
      <c r="R354" s="16">
        <f>IF(A354="","",F354-Q354)</f>
        <v/>
      </c>
      <c r="S354" s="46">
        <f>IFERROR(R354/F354,"")</f>
        <v/>
      </c>
      <c r="T354" s="45" t="n"/>
      <c r="U354" s="45" t="n"/>
      <c r="V354" s="45" t="n"/>
      <c r="W354" s="45" t="n"/>
      <c r="X354" s="45" t="n"/>
      <c r="Y354" s="13" t="n"/>
    </row>
    <row r="355" ht="15" customHeight="1">
      <c r="A355" s="13" t="n"/>
      <c r="B355" s="14">
        <f>IF(A355="","",IF(COUNTIF(lst_Jobs,A355&amp;"")&gt;0,"OK","CHECK"))</f>
        <v/>
      </c>
      <c r="C355" s="14">
        <f>IF(A355="","",IFERROR(INDEX(lst_JobName,MATCH(A355&amp;"",lst_Jobs,0)),""))</f>
        <v/>
      </c>
      <c r="D355" s="14">
        <f>IF(A355="","",IFERROR(INDEX(tbl_Finance[Client],MATCH(A355&amp;"",tbl_Finance[Job Number],0)),""))</f>
        <v/>
      </c>
      <c r="E355" s="44">
        <f>IF(A355="","",COUNTIFS(tbl_Finance[Job Number],A355&amp;"",tbl_Finance[Ex GST],"&lt;&gt;"))</f>
        <v/>
      </c>
      <c r="F355" s="16">
        <f>IF(A355="","",SUMIFS(tbl_Finance[Ex GST],tbl_Finance[Job Number],A355&amp;""))</f>
        <v/>
      </c>
      <c r="G355" s="14">
        <f>IF(A355="","",IFERROR(INDEX(tbl_Finance[Cost Centre],MATCH(A355&amp;"",tbl_Finance[Job Number],0)),"not invoiced yet"))</f>
        <v/>
      </c>
      <c r="H355" s="11" t="n"/>
      <c r="I355" s="13" t="n"/>
      <c r="J355" s="13" t="n"/>
      <c r="K355" s="13" t="n"/>
      <c r="L355" s="15" t="n"/>
      <c r="M355" s="16">
        <f>IF(A355="","",F355+N(L355))</f>
        <v/>
      </c>
      <c r="N355" s="46">
        <f>IFERROR(L355/M355,"")</f>
        <v/>
      </c>
      <c r="O355" s="15" t="n"/>
      <c r="P355" s="15" t="n"/>
      <c r="Q355" s="16">
        <f>IF(A355="","",N(O355)+N(P355))</f>
        <v/>
      </c>
      <c r="R355" s="16">
        <f>IF(A355="","",F355-Q355)</f>
        <v/>
      </c>
      <c r="S355" s="46">
        <f>IFERROR(R355/F355,"")</f>
        <v/>
      </c>
      <c r="T355" s="45" t="n"/>
      <c r="U355" s="45" t="n"/>
      <c r="V355" s="45" t="n"/>
      <c r="W355" s="45" t="n"/>
      <c r="X355" s="45" t="n"/>
      <c r="Y355" s="13" t="n"/>
    </row>
    <row r="356" ht="15" customHeight="1">
      <c r="A356" s="13" t="n"/>
      <c r="B356" s="14">
        <f>IF(A356="","",IF(COUNTIF(lst_Jobs,A356&amp;"")&gt;0,"OK","CHECK"))</f>
        <v/>
      </c>
      <c r="C356" s="14">
        <f>IF(A356="","",IFERROR(INDEX(lst_JobName,MATCH(A356&amp;"",lst_Jobs,0)),""))</f>
        <v/>
      </c>
      <c r="D356" s="14">
        <f>IF(A356="","",IFERROR(INDEX(tbl_Finance[Client],MATCH(A356&amp;"",tbl_Finance[Job Number],0)),""))</f>
        <v/>
      </c>
      <c r="E356" s="44">
        <f>IF(A356="","",COUNTIFS(tbl_Finance[Job Number],A356&amp;"",tbl_Finance[Ex GST],"&lt;&gt;"))</f>
        <v/>
      </c>
      <c r="F356" s="16">
        <f>IF(A356="","",SUMIFS(tbl_Finance[Ex GST],tbl_Finance[Job Number],A356&amp;""))</f>
        <v/>
      </c>
      <c r="G356" s="14">
        <f>IF(A356="","",IFERROR(INDEX(tbl_Finance[Cost Centre],MATCH(A356&amp;"",tbl_Finance[Job Number],0)),"not invoiced yet"))</f>
        <v/>
      </c>
      <c r="H356" s="11" t="n"/>
      <c r="I356" s="13" t="n"/>
      <c r="J356" s="13" t="n"/>
      <c r="K356" s="13" t="n"/>
      <c r="L356" s="15" t="n"/>
      <c r="M356" s="16">
        <f>IF(A356="","",F356+N(L356))</f>
        <v/>
      </c>
      <c r="N356" s="46">
        <f>IFERROR(L356/M356,"")</f>
        <v/>
      </c>
      <c r="O356" s="15" t="n"/>
      <c r="P356" s="15" t="n"/>
      <c r="Q356" s="16">
        <f>IF(A356="","",N(O356)+N(P356))</f>
        <v/>
      </c>
      <c r="R356" s="16">
        <f>IF(A356="","",F356-Q356)</f>
        <v/>
      </c>
      <c r="S356" s="46">
        <f>IFERROR(R356/F356,"")</f>
        <v/>
      </c>
      <c r="T356" s="45" t="n"/>
      <c r="U356" s="45" t="n"/>
      <c r="V356" s="45" t="n"/>
      <c r="W356" s="45" t="n"/>
      <c r="X356" s="45" t="n"/>
      <c r="Y356" s="13" t="n"/>
    </row>
    <row r="357" ht="15" customHeight="1">
      <c r="A357" s="13" t="n"/>
      <c r="B357" s="14">
        <f>IF(A357="","",IF(COUNTIF(lst_Jobs,A357&amp;"")&gt;0,"OK","CHECK"))</f>
        <v/>
      </c>
      <c r="C357" s="14">
        <f>IF(A357="","",IFERROR(INDEX(lst_JobName,MATCH(A357&amp;"",lst_Jobs,0)),""))</f>
        <v/>
      </c>
      <c r="D357" s="14">
        <f>IF(A357="","",IFERROR(INDEX(tbl_Finance[Client],MATCH(A357&amp;"",tbl_Finance[Job Number],0)),""))</f>
        <v/>
      </c>
      <c r="E357" s="44">
        <f>IF(A357="","",COUNTIFS(tbl_Finance[Job Number],A357&amp;"",tbl_Finance[Ex GST],"&lt;&gt;"))</f>
        <v/>
      </c>
      <c r="F357" s="16">
        <f>IF(A357="","",SUMIFS(tbl_Finance[Ex GST],tbl_Finance[Job Number],A357&amp;""))</f>
        <v/>
      </c>
      <c r="G357" s="14">
        <f>IF(A357="","",IFERROR(INDEX(tbl_Finance[Cost Centre],MATCH(A357&amp;"",tbl_Finance[Job Number],0)),"not invoiced yet"))</f>
        <v/>
      </c>
      <c r="H357" s="11" t="n"/>
      <c r="I357" s="13" t="n"/>
      <c r="J357" s="13" t="n"/>
      <c r="K357" s="13" t="n"/>
      <c r="L357" s="15" t="n"/>
      <c r="M357" s="16">
        <f>IF(A357="","",F357+N(L357))</f>
        <v/>
      </c>
      <c r="N357" s="46">
        <f>IFERROR(L357/M357,"")</f>
        <v/>
      </c>
      <c r="O357" s="15" t="n"/>
      <c r="P357" s="15" t="n"/>
      <c r="Q357" s="16">
        <f>IF(A357="","",N(O357)+N(P357))</f>
        <v/>
      </c>
      <c r="R357" s="16">
        <f>IF(A357="","",F357-Q357)</f>
        <v/>
      </c>
      <c r="S357" s="46">
        <f>IFERROR(R357/F357,"")</f>
        <v/>
      </c>
      <c r="T357" s="45" t="n"/>
      <c r="U357" s="45" t="n"/>
      <c r="V357" s="45" t="n"/>
      <c r="W357" s="45" t="n"/>
      <c r="X357" s="45" t="n"/>
      <c r="Y357" s="13" t="n"/>
    </row>
    <row r="358" ht="15" customHeight="1">
      <c r="A358" s="13" t="n"/>
      <c r="B358" s="14">
        <f>IF(A358="","",IF(COUNTIF(lst_Jobs,A358&amp;"")&gt;0,"OK","CHECK"))</f>
        <v/>
      </c>
      <c r="C358" s="14">
        <f>IF(A358="","",IFERROR(INDEX(lst_JobName,MATCH(A358&amp;"",lst_Jobs,0)),""))</f>
        <v/>
      </c>
      <c r="D358" s="14">
        <f>IF(A358="","",IFERROR(INDEX(tbl_Finance[Client],MATCH(A358&amp;"",tbl_Finance[Job Number],0)),""))</f>
        <v/>
      </c>
      <c r="E358" s="44">
        <f>IF(A358="","",COUNTIFS(tbl_Finance[Job Number],A358&amp;"",tbl_Finance[Ex GST],"&lt;&gt;"))</f>
        <v/>
      </c>
      <c r="F358" s="16">
        <f>IF(A358="","",SUMIFS(tbl_Finance[Ex GST],tbl_Finance[Job Number],A358&amp;""))</f>
        <v/>
      </c>
      <c r="G358" s="14">
        <f>IF(A358="","",IFERROR(INDEX(tbl_Finance[Cost Centre],MATCH(A358&amp;"",tbl_Finance[Job Number],0)),"not invoiced yet"))</f>
        <v/>
      </c>
      <c r="H358" s="11" t="n"/>
      <c r="I358" s="13" t="n"/>
      <c r="J358" s="13" t="n"/>
      <c r="K358" s="13" t="n"/>
      <c r="L358" s="15" t="n"/>
      <c r="M358" s="16">
        <f>IF(A358="","",F358+N(L358))</f>
        <v/>
      </c>
      <c r="N358" s="46">
        <f>IFERROR(L358/M358,"")</f>
        <v/>
      </c>
      <c r="O358" s="15" t="n"/>
      <c r="P358" s="15" t="n"/>
      <c r="Q358" s="16">
        <f>IF(A358="","",N(O358)+N(P358))</f>
        <v/>
      </c>
      <c r="R358" s="16">
        <f>IF(A358="","",F358-Q358)</f>
        <v/>
      </c>
      <c r="S358" s="46">
        <f>IFERROR(R358/F358,"")</f>
        <v/>
      </c>
      <c r="T358" s="45" t="n"/>
      <c r="U358" s="45" t="n"/>
      <c r="V358" s="45" t="n"/>
      <c r="W358" s="45" t="n"/>
      <c r="X358" s="45" t="n"/>
      <c r="Y358" s="13" t="n"/>
    </row>
    <row r="359" ht="15" customHeight="1">
      <c r="A359" s="13" t="n"/>
      <c r="B359" s="14">
        <f>IF(A359="","",IF(COUNTIF(lst_Jobs,A359&amp;"")&gt;0,"OK","CHECK"))</f>
        <v/>
      </c>
      <c r="C359" s="14">
        <f>IF(A359="","",IFERROR(INDEX(lst_JobName,MATCH(A359&amp;"",lst_Jobs,0)),""))</f>
        <v/>
      </c>
      <c r="D359" s="14">
        <f>IF(A359="","",IFERROR(INDEX(tbl_Finance[Client],MATCH(A359&amp;"",tbl_Finance[Job Number],0)),""))</f>
        <v/>
      </c>
      <c r="E359" s="44">
        <f>IF(A359="","",COUNTIFS(tbl_Finance[Job Number],A359&amp;"",tbl_Finance[Ex GST],"&lt;&gt;"))</f>
        <v/>
      </c>
      <c r="F359" s="16">
        <f>IF(A359="","",SUMIFS(tbl_Finance[Ex GST],tbl_Finance[Job Number],A359&amp;""))</f>
        <v/>
      </c>
      <c r="G359" s="14">
        <f>IF(A359="","",IFERROR(INDEX(tbl_Finance[Cost Centre],MATCH(A359&amp;"",tbl_Finance[Job Number],0)),"not invoiced yet"))</f>
        <v/>
      </c>
      <c r="H359" s="11" t="n"/>
      <c r="I359" s="13" t="n"/>
      <c r="J359" s="13" t="n"/>
      <c r="K359" s="13" t="n"/>
      <c r="L359" s="15" t="n"/>
      <c r="M359" s="16">
        <f>IF(A359="","",F359+N(L359))</f>
        <v/>
      </c>
      <c r="N359" s="46">
        <f>IFERROR(L359/M359,"")</f>
        <v/>
      </c>
      <c r="O359" s="15" t="n"/>
      <c r="P359" s="15" t="n"/>
      <c r="Q359" s="16">
        <f>IF(A359="","",N(O359)+N(P359))</f>
        <v/>
      </c>
      <c r="R359" s="16">
        <f>IF(A359="","",F359-Q359)</f>
        <v/>
      </c>
      <c r="S359" s="46">
        <f>IFERROR(R359/F359,"")</f>
        <v/>
      </c>
      <c r="T359" s="45" t="n"/>
      <c r="U359" s="45" t="n"/>
      <c r="V359" s="45" t="n"/>
      <c r="W359" s="45" t="n"/>
      <c r="X359" s="45" t="n"/>
      <c r="Y359" s="13" t="n"/>
    </row>
    <row r="360" ht="15" customHeight="1">
      <c r="A360" s="13" t="n"/>
      <c r="B360" s="14">
        <f>IF(A360="","",IF(COUNTIF(lst_Jobs,A360&amp;"")&gt;0,"OK","CHECK"))</f>
        <v/>
      </c>
      <c r="C360" s="14">
        <f>IF(A360="","",IFERROR(INDEX(lst_JobName,MATCH(A360&amp;"",lst_Jobs,0)),""))</f>
        <v/>
      </c>
      <c r="D360" s="14">
        <f>IF(A360="","",IFERROR(INDEX(tbl_Finance[Client],MATCH(A360&amp;"",tbl_Finance[Job Number],0)),""))</f>
        <v/>
      </c>
      <c r="E360" s="44">
        <f>IF(A360="","",COUNTIFS(tbl_Finance[Job Number],A360&amp;"",tbl_Finance[Ex GST],"&lt;&gt;"))</f>
        <v/>
      </c>
      <c r="F360" s="16">
        <f>IF(A360="","",SUMIFS(tbl_Finance[Ex GST],tbl_Finance[Job Number],A360&amp;""))</f>
        <v/>
      </c>
      <c r="G360" s="14">
        <f>IF(A360="","",IFERROR(INDEX(tbl_Finance[Cost Centre],MATCH(A360&amp;"",tbl_Finance[Job Number],0)),"not invoiced yet"))</f>
        <v/>
      </c>
      <c r="H360" s="11" t="n"/>
      <c r="I360" s="13" t="n"/>
      <c r="J360" s="13" t="n"/>
      <c r="K360" s="13" t="n"/>
      <c r="L360" s="15" t="n"/>
      <c r="M360" s="16">
        <f>IF(A360="","",F360+N(L360))</f>
        <v/>
      </c>
      <c r="N360" s="46">
        <f>IFERROR(L360/M360,"")</f>
        <v/>
      </c>
      <c r="O360" s="15" t="n"/>
      <c r="P360" s="15" t="n"/>
      <c r="Q360" s="16">
        <f>IF(A360="","",N(O360)+N(P360))</f>
        <v/>
      </c>
      <c r="R360" s="16">
        <f>IF(A360="","",F360-Q360)</f>
        <v/>
      </c>
      <c r="S360" s="46">
        <f>IFERROR(R360/F360,"")</f>
        <v/>
      </c>
      <c r="T360" s="45" t="n"/>
      <c r="U360" s="45" t="n"/>
      <c r="V360" s="45" t="n"/>
      <c r="W360" s="45" t="n"/>
      <c r="X360" s="45" t="n"/>
      <c r="Y360" s="13" t="n"/>
    </row>
    <row r="361" ht="15" customHeight="1">
      <c r="A361" s="13" t="n"/>
      <c r="B361" s="14">
        <f>IF(A361="","",IF(COUNTIF(lst_Jobs,A361&amp;"")&gt;0,"OK","CHECK"))</f>
        <v/>
      </c>
      <c r="C361" s="14">
        <f>IF(A361="","",IFERROR(INDEX(lst_JobName,MATCH(A361&amp;"",lst_Jobs,0)),""))</f>
        <v/>
      </c>
      <c r="D361" s="14">
        <f>IF(A361="","",IFERROR(INDEX(tbl_Finance[Client],MATCH(A361&amp;"",tbl_Finance[Job Number],0)),""))</f>
        <v/>
      </c>
      <c r="E361" s="44">
        <f>IF(A361="","",COUNTIFS(tbl_Finance[Job Number],A361&amp;"",tbl_Finance[Ex GST],"&lt;&gt;"))</f>
        <v/>
      </c>
      <c r="F361" s="16">
        <f>IF(A361="","",SUMIFS(tbl_Finance[Ex GST],tbl_Finance[Job Number],A361&amp;""))</f>
        <v/>
      </c>
      <c r="G361" s="14">
        <f>IF(A361="","",IFERROR(INDEX(tbl_Finance[Cost Centre],MATCH(A361&amp;"",tbl_Finance[Job Number],0)),"not invoiced yet"))</f>
        <v/>
      </c>
      <c r="H361" s="11" t="n"/>
      <c r="I361" s="13" t="n"/>
      <c r="J361" s="13" t="n"/>
      <c r="K361" s="13" t="n"/>
      <c r="L361" s="15" t="n"/>
      <c r="M361" s="16">
        <f>IF(A361="","",F361+N(L361))</f>
        <v/>
      </c>
      <c r="N361" s="46">
        <f>IFERROR(L361/M361,"")</f>
        <v/>
      </c>
      <c r="O361" s="15" t="n"/>
      <c r="P361" s="15" t="n"/>
      <c r="Q361" s="16">
        <f>IF(A361="","",N(O361)+N(P361))</f>
        <v/>
      </c>
      <c r="R361" s="16">
        <f>IF(A361="","",F361-Q361)</f>
        <v/>
      </c>
      <c r="S361" s="46">
        <f>IFERROR(R361/F361,"")</f>
        <v/>
      </c>
      <c r="T361" s="45" t="n"/>
      <c r="U361" s="45" t="n"/>
      <c r="V361" s="45" t="n"/>
      <c r="W361" s="45" t="n"/>
      <c r="X361" s="45" t="n"/>
      <c r="Y361" s="13" t="n"/>
    </row>
    <row r="362" ht="15" customHeight="1">
      <c r="A362" s="13" t="n"/>
      <c r="B362" s="14">
        <f>IF(A362="","",IF(COUNTIF(lst_Jobs,A362&amp;"")&gt;0,"OK","CHECK"))</f>
        <v/>
      </c>
      <c r="C362" s="14">
        <f>IF(A362="","",IFERROR(INDEX(lst_JobName,MATCH(A362&amp;"",lst_Jobs,0)),""))</f>
        <v/>
      </c>
      <c r="D362" s="14">
        <f>IF(A362="","",IFERROR(INDEX(tbl_Finance[Client],MATCH(A362&amp;"",tbl_Finance[Job Number],0)),""))</f>
        <v/>
      </c>
      <c r="E362" s="44">
        <f>IF(A362="","",COUNTIFS(tbl_Finance[Job Number],A362&amp;"",tbl_Finance[Ex GST],"&lt;&gt;"))</f>
        <v/>
      </c>
      <c r="F362" s="16">
        <f>IF(A362="","",SUMIFS(tbl_Finance[Ex GST],tbl_Finance[Job Number],A362&amp;""))</f>
        <v/>
      </c>
      <c r="G362" s="14">
        <f>IF(A362="","",IFERROR(INDEX(tbl_Finance[Cost Centre],MATCH(A362&amp;"",tbl_Finance[Job Number],0)),"not invoiced yet"))</f>
        <v/>
      </c>
      <c r="H362" s="11" t="n"/>
      <c r="I362" s="13" t="n"/>
      <c r="J362" s="13" t="n"/>
      <c r="K362" s="13" t="n"/>
      <c r="L362" s="15" t="n"/>
      <c r="M362" s="16">
        <f>IF(A362="","",F362+N(L362))</f>
        <v/>
      </c>
      <c r="N362" s="46">
        <f>IFERROR(L362/M362,"")</f>
        <v/>
      </c>
      <c r="O362" s="15" t="n"/>
      <c r="P362" s="15" t="n"/>
      <c r="Q362" s="16">
        <f>IF(A362="","",N(O362)+N(P362))</f>
        <v/>
      </c>
      <c r="R362" s="16">
        <f>IF(A362="","",F362-Q362)</f>
        <v/>
      </c>
      <c r="S362" s="46">
        <f>IFERROR(R362/F362,"")</f>
        <v/>
      </c>
      <c r="T362" s="45" t="n"/>
      <c r="U362" s="45" t="n"/>
      <c r="V362" s="45" t="n"/>
      <c r="W362" s="45" t="n"/>
      <c r="X362" s="45" t="n"/>
      <c r="Y362" s="13" t="n"/>
    </row>
    <row r="363" ht="15" customHeight="1">
      <c r="A363" s="13" t="n"/>
      <c r="B363" s="14">
        <f>IF(A363="","",IF(COUNTIF(lst_Jobs,A363&amp;"")&gt;0,"OK","CHECK"))</f>
        <v/>
      </c>
      <c r="C363" s="14">
        <f>IF(A363="","",IFERROR(INDEX(lst_JobName,MATCH(A363&amp;"",lst_Jobs,0)),""))</f>
        <v/>
      </c>
      <c r="D363" s="14">
        <f>IF(A363="","",IFERROR(INDEX(tbl_Finance[Client],MATCH(A363&amp;"",tbl_Finance[Job Number],0)),""))</f>
        <v/>
      </c>
      <c r="E363" s="44">
        <f>IF(A363="","",COUNTIFS(tbl_Finance[Job Number],A363&amp;"",tbl_Finance[Ex GST],"&lt;&gt;"))</f>
        <v/>
      </c>
      <c r="F363" s="16">
        <f>IF(A363="","",SUMIFS(tbl_Finance[Ex GST],tbl_Finance[Job Number],A363&amp;""))</f>
        <v/>
      </c>
      <c r="G363" s="14">
        <f>IF(A363="","",IFERROR(INDEX(tbl_Finance[Cost Centre],MATCH(A363&amp;"",tbl_Finance[Job Number],0)),"not invoiced yet"))</f>
        <v/>
      </c>
      <c r="H363" s="11" t="n"/>
      <c r="I363" s="13" t="n"/>
      <c r="J363" s="13" t="n"/>
      <c r="K363" s="13" t="n"/>
      <c r="L363" s="15" t="n"/>
      <c r="M363" s="16">
        <f>IF(A363="","",F363+N(L363))</f>
        <v/>
      </c>
      <c r="N363" s="46">
        <f>IFERROR(L363/M363,"")</f>
        <v/>
      </c>
      <c r="O363" s="15" t="n"/>
      <c r="P363" s="15" t="n"/>
      <c r="Q363" s="16">
        <f>IF(A363="","",N(O363)+N(P363))</f>
        <v/>
      </c>
      <c r="R363" s="16">
        <f>IF(A363="","",F363-Q363)</f>
        <v/>
      </c>
      <c r="S363" s="46">
        <f>IFERROR(R363/F363,"")</f>
        <v/>
      </c>
      <c r="T363" s="45" t="n"/>
      <c r="U363" s="45" t="n"/>
      <c r="V363" s="45" t="n"/>
      <c r="W363" s="45" t="n"/>
      <c r="X363" s="45" t="n"/>
      <c r="Y363" s="13" t="n"/>
    </row>
    <row r="364" ht="15" customHeight="1">
      <c r="A364" s="13" t="n"/>
      <c r="B364" s="14">
        <f>IF(A364="","",IF(COUNTIF(lst_Jobs,A364&amp;"")&gt;0,"OK","CHECK"))</f>
        <v/>
      </c>
      <c r="C364" s="14">
        <f>IF(A364="","",IFERROR(INDEX(lst_JobName,MATCH(A364&amp;"",lst_Jobs,0)),""))</f>
        <v/>
      </c>
      <c r="D364" s="14">
        <f>IF(A364="","",IFERROR(INDEX(tbl_Finance[Client],MATCH(A364&amp;"",tbl_Finance[Job Number],0)),""))</f>
        <v/>
      </c>
      <c r="E364" s="44">
        <f>IF(A364="","",COUNTIFS(tbl_Finance[Job Number],A364&amp;"",tbl_Finance[Ex GST],"&lt;&gt;"))</f>
        <v/>
      </c>
      <c r="F364" s="16">
        <f>IF(A364="","",SUMIFS(tbl_Finance[Ex GST],tbl_Finance[Job Number],A364&amp;""))</f>
        <v/>
      </c>
      <c r="G364" s="14">
        <f>IF(A364="","",IFERROR(INDEX(tbl_Finance[Cost Centre],MATCH(A364&amp;"",tbl_Finance[Job Number],0)),"not invoiced yet"))</f>
        <v/>
      </c>
      <c r="H364" s="11" t="n"/>
      <c r="I364" s="13" t="n"/>
      <c r="J364" s="13" t="n"/>
      <c r="K364" s="13" t="n"/>
      <c r="L364" s="15" t="n"/>
      <c r="M364" s="16">
        <f>IF(A364="","",F364+N(L364))</f>
        <v/>
      </c>
      <c r="N364" s="46">
        <f>IFERROR(L364/M364,"")</f>
        <v/>
      </c>
      <c r="O364" s="15" t="n"/>
      <c r="P364" s="15" t="n"/>
      <c r="Q364" s="16">
        <f>IF(A364="","",N(O364)+N(P364))</f>
        <v/>
      </c>
      <c r="R364" s="16">
        <f>IF(A364="","",F364-Q364)</f>
        <v/>
      </c>
      <c r="S364" s="46">
        <f>IFERROR(R364/F364,"")</f>
        <v/>
      </c>
      <c r="T364" s="45" t="n"/>
      <c r="U364" s="45" t="n"/>
      <c r="V364" s="45" t="n"/>
      <c r="W364" s="45" t="n"/>
      <c r="X364" s="45" t="n"/>
      <c r="Y364" s="13" t="n"/>
    </row>
    <row r="365" ht="15" customHeight="1">
      <c r="A365" s="13" t="n"/>
      <c r="B365" s="14">
        <f>IF(A365="","",IF(COUNTIF(lst_Jobs,A365&amp;"")&gt;0,"OK","CHECK"))</f>
        <v/>
      </c>
      <c r="C365" s="14">
        <f>IF(A365="","",IFERROR(INDEX(lst_JobName,MATCH(A365&amp;"",lst_Jobs,0)),""))</f>
        <v/>
      </c>
      <c r="D365" s="14">
        <f>IF(A365="","",IFERROR(INDEX(tbl_Finance[Client],MATCH(A365&amp;"",tbl_Finance[Job Number],0)),""))</f>
        <v/>
      </c>
      <c r="E365" s="44">
        <f>IF(A365="","",COUNTIFS(tbl_Finance[Job Number],A365&amp;"",tbl_Finance[Ex GST],"&lt;&gt;"))</f>
        <v/>
      </c>
      <c r="F365" s="16">
        <f>IF(A365="","",SUMIFS(tbl_Finance[Ex GST],tbl_Finance[Job Number],A365&amp;""))</f>
        <v/>
      </c>
      <c r="G365" s="14">
        <f>IF(A365="","",IFERROR(INDEX(tbl_Finance[Cost Centre],MATCH(A365&amp;"",tbl_Finance[Job Number],0)),"not invoiced yet"))</f>
        <v/>
      </c>
      <c r="H365" s="11" t="n"/>
      <c r="I365" s="13" t="n"/>
      <c r="J365" s="13" t="n"/>
      <c r="K365" s="13" t="n"/>
      <c r="L365" s="15" t="n"/>
      <c r="M365" s="16">
        <f>IF(A365="","",F365+N(L365))</f>
        <v/>
      </c>
      <c r="N365" s="46">
        <f>IFERROR(L365/M365,"")</f>
        <v/>
      </c>
      <c r="O365" s="15" t="n"/>
      <c r="P365" s="15" t="n"/>
      <c r="Q365" s="16">
        <f>IF(A365="","",N(O365)+N(P365))</f>
        <v/>
      </c>
      <c r="R365" s="16">
        <f>IF(A365="","",F365-Q365)</f>
        <v/>
      </c>
      <c r="S365" s="46">
        <f>IFERROR(R365/F365,"")</f>
        <v/>
      </c>
      <c r="T365" s="45" t="n"/>
      <c r="U365" s="45" t="n"/>
      <c r="V365" s="45" t="n"/>
      <c r="W365" s="45" t="n"/>
      <c r="X365" s="45" t="n"/>
      <c r="Y365" s="13" t="n"/>
    </row>
    <row r="366" ht="15" customHeight="1">
      <c r="A366" s="13" t="n"/>
      <c r="B366" s="14">
        <f>IF(A366="","",IF(COUNTIF(lst_Jobs,A366&amp;"")&gt;0,"OK","CHECK"))</f>
        <v/>
      </c>
      <c r="C366" s="14">
        <f>IF(A366="","",IFERROR(INDEX(lst_JobName,MATCH(A366&amp;"",lst_Jobs,0)),""))</f>
        <v/>
      </c>
      <c r="D366" s="14">
        <f>IF(A366="","",IFERROR(INDEX(tbl_Finance[Client],MATCH(A366&amp;"",tbl_Finance[Job Number],0)),""))</f>
        <v/>
      </c>
      <c r="E366" s="44">
        <f>IF(A366="","",COUNTIFS(tbl_Finance[Job Number],A366&amp;"",tbl_Finance[Ex GST],"&lt;&gt;"))</f>
        <v/>
      </c>
      <c r="F366" s="16">
        <f>IF(A366="","",SUMIFS(tbl_Finance[Ex GST],tbl_Finance[Job Number],A366&amp;""))</f>
        <v/>
      </c>
      <c r="G366" s="14">
        <f>IF(A366="","",IFERROR(INDEX(tbl_Finance[Cost Centre],MATCH(A366&amp;"",tbl_Finance[Job Number],0)),"not invoiced yet"))</f>
        <v/>
      </c>
      <c r="H366" s="11" t="n"/>
      <c r="I366" s="13" t="n"/>
      <c r="J366" s="13" t="n"/>
      <c r="K366" s="13" t="n"/>
      <c r="L366" s="15" t="n"/>
      <c r="M366" s="16">
        <f>IF(A366="","",F366+N(L366))</f>
        <v/>
      </c>
      <c r="N366" s="46">
        <f>IFERROR(L366/M366,"")</f>
        <v/>
      </c>
      <c r="O366" s="15" t="n"/>
      <c r="P366" s="15" t="n"/>
      <c r="Q366" s="16">
        <f>IF(A366="","",N(O366)+N(P366))</f>
        <v/>
      </c>
      <c r="R366" s="16">
        <f>IF(A366="","",F366-Q366)</f>
        <v/>
      </c>
      <c r="S366" s="46">
        <f>IFERROR(R366/F366,"")</f>
        <v/>
      </c>
      <c r="T366" s="45" t="n"/>
      <c r="U366" s="45" t="n"/>
      <c r="V366" s="45" t="n"/>
      <c r="W366" s="45" t="n"/>
      <c r="X366" s="45" t="n"/>
      <c r="Y366" s="13" t="n"/>
    </row>
    <row r="367" ht="15" customHeight="1">
      <c r="A367" s="13" t="n"/>
      <c r="B367" s="14">
        <f>IF(A367="","",IF(COUNTIF(lst_Jobs,A367&amp;"")&gt;0,"OK","CHECK"))</f>
        <v/>
      </c>
      <c r="C367" s="14">
        <f>IF(A367="","",IFERROR(INDEX(lst_JobName,MATCH(A367&amp;"",lst_Jobs,0)),""))</f>
        <v/>
      </c>
      <c r="D367" s="14">
        <f>IF(A367="","",IFERROR(INDEX(tbl_Finance[Client],MATCH(A367&amp;"",tbl_Finance[Job Number],0)),""))</f>
        <v/>
      </c>
      <c r="E367" s="44">
        <f>IF(A367="","",COUNTIFS(tbl_Finance[Job Number],A367&amp;"",tbl_Finance[Ex GST],"&lt;&gt;"))</f>
        <v/>
      </c>
      <c r="F367" s="16">
        <f>IF(A367="","",SUMIFS(tbl_Finance[Ex GST],tbl_Finance[Job Number],A367&amp;""))</f>
        <v/>
      </c>
      <c r="G367" s="14">
        <f>IF(A367="","",IFERROR(INDEX(tbl_Finance[Cost Centre],MATCH(A367&amp;"",tbl_Finance[Job Number],0)),"not invoiced yet"))</f>
        <v/>
      </c>
      <c r="H367" s="11" t="n"/>
      <c r="I367" s="13" t="n"/>
      <c r="J367" s="13" t="n"/>
      <c r="K367" s="13" t="n"/>
      <c r="L367" s="15" t="n"/>
      <c r="M367" s="16">
        <f>IF(A367="","",F367+N(L367))</f>
        <v/>
      </c>
      <c r="N367" s="46">
        <f>IFERROR(L367/M367,"")</f>
        <v/>
      </c>
      <c r="O367" s="15" t="n"/>
      <c r="P367" s="15" t="n"/>
      <c r="Q367" s="16">
        <f>IF(A367="","",N(O367)+N(P367))</f>
        <v/>
      </c>
      <c r="R367" s="16">
        <f>IF(A367="","",F367-Q367)</f>
        <v/>
      </c>
      <c r="S367" s="46">
        <f>IFERROR(R367/F367,"")</f>
        <v/>
      </c>
      <c r="T367" s="45" t="n"/>
      <c r="U367" s="45" t="n"/>
      <c r="V367" s="45" t="n"/>
      <c r="W367" s="45" t="n"/>
      <c r="X367" s="45" t="n"/>
      <c r="Y367" s="13" t="n"/>
    </row>
    <row r="368" ht="15" customHeight="1">
      <c r="A368" s="13" t="n"/>
      <c r="B368" s="14">
        <f>IF(A368="","",IF(COUNTIF(lst_Jobs,A368&amp;"")&gt;0,"OK","CHECK"))</f>
        <v/>
      </c>
      <c r="C368" s="14">
        <f>IF(A368="","",IFERROR(INDEX(lst_JobName,MATCH(A368&amp;"",lst_Jobs,0)),""))</f>
        <v/>
      </c>
      <c r="D368" s="14">
        <f>IF(A368="","",IFERROR(INDEX(tbl_Finance[Client],MATCH(A368&amp;"",tbl_Finance[Job Number],0)),""))</f>
        <v/>
      </c>
      <c r="E368" s="44">
        <f>IF(A368="","",COUNTIFS(tbl_Finance[Job Number],A368&amp;"",tbl_Finance[Ex GST],"&lt;&gt;"))</f>
        <v/>
      </c>
      <c r="F368" s="16">
        <f>IF(A368="","",SUMIFS(tbl_Finance[Ex GST],tbl_Finance[Job Number],A368&amp;""))</f>
        <v/>
      </c>
      <c r="G368" s="14">
        <f>IF(A368="","",IFERROR(INDEX(tbl_Finance[Cost Centre],MATCH(A368&amp;"",tbl_Finance[Job Number],0)),"not invoiced yet"))</f>
        <v/>
      </c>
      <c r="H368" s="11" t="n"/>
      <c r="I368" s="13" t="n"/>
      <c r="J368" s="13" t="n"/>
      <c r="K368" s="13" t="n"/>
      <c r="L368" s="15" t="n"/>
      <c r="M368" s="16">
        <f>IF(A368="","",F368+N(L368))</f>
        <v/>
      </c>
      <c r="N368" s="46">
        <f>IFERROR(L368/M368,"")</f>
        <v/>
      </c>
      <c r="O368" s="15" t="n"/>
      <c r="P368" s="15" t="n"/>
      <c r="Q368" s="16">
        <f>IF(A368="","",N(O368)+N(P368))</f>
        <v/>
      </c>
      <c r="R368" s="16">
        <f>IF(A368="","",F368-Q368)</f>
        <v/>
      </c>
      <c r="S368" s="46">
        <f>IFERROR(R368/F368,"")</f>
        <v/>
      </c>
      <c r="T368" s="45" t="n"/>
      <c r="U368" s="45" t="n"/>
      <c r="V368" s="45" t="n"/>
      <c r="W368" s="45" t="n"/>
      <c r="X368" s="45" t="n"/>
      <c r="Y368" s="13" t="n"/>
    </row>
    <row r="369" ht="15" customHeight="1">
      <c r="A369" s="13" t="n"/>
      <c r="B369" s="14">
        <f>IF(A369="","",IF(COUNTIF(lst_Jobs,A369&amp;"")&gt;0,"OK","CHECK"))</f>
        <v/>
      </c>
      <c r="C369" s="14">
        <f>IF(A369="","",IFERROR(INDEX(lst_JobName,MATCH(A369&amp;"",lst_Jobs,0)),""))</f>
        <v/>
      </c>
      <c r="D369" s="14">
        <f>IF(A369="","",IFERROR(INDEX(tbl_Finance[Client],MATCH(A369&amp;"",tbl_Finance[Job Number],0)),""))</f>
        <v/>
      </c>
      <c r="E369" s="44">
        <f>IF(A369="","",COUNTIFS(tbl_Finance[Job Number],A369&amp;"",tbl_Finance[Ex GST],"&lt;&gt;"))</f>
        <v/>
      </c>
      <c r="F369" s="16">
        <f>IF(A369="","",SUMIFS(tbl_Finance[Ex GST],tbl_Finance[Job Number],A369&amp;""))</f>
        <v/>
      </c>
      <c r="G369" s="14">
        <f>IF(A369="","",IFERROR(INDEX(tbl_Finance[Cost Centre],MATCH(A369&amp;"",tbl_Finance[Job Number],0)),"not invoiced yet"))</f>
        <v/>
      </c>
      <c r="H369" s="11" t="n"/>
      <c r="I369" s="13" t="n"/>
      <c r="J369" s="13" t="n"/>
      <c r="K369" s="13" t="n"/>
      <c r="L369" s="15" t="n"/>
      <c r="M369" s="16">
        <f>IF(A369="","",F369+N(L369))</f>
        <v/>
      </c>
      <c r="N369" s="46">
        <f>IFERROR(L369/M369,"")</f>
        <v/>
      </c>
      <c r="O369" s="15" t="n"/>
      <c r="P369" s="15" t="n"/>
      <c r="Q369" s="16">
        <f>IF(A369="","",N(O369)+N(P369))</f>
        <v/>
      </c>
      <c r="R369" s="16">
        <f>IF(A369="","",F369-Q369)</f>
        <v/>
      </c>
      <c r="S369" s="46">
        <f>IFERROR(R369/F369,"")</f>
        <v/>
      </c>
      <c r="T369" s="45" t="n"/>
      <c r="U369" s="45" t="n"/>
      <c r="V369" s="45" t="n"/>
      <c r="W369" s="45" t="n"/>
      <c r="X369" s="45" t="n"/>
      <c r="Y369" s="13" t="n"/>
    </row>
    <row r="370" ht="15" customHeight="1">
      <c r="A370" s="13" t="n"/>
      <c r="B370" s="14">
        <f>IF(A370="","",IF(COUNTIF(lst_Jobs,A370&amp;"")&gt;0,"OK","CHECK"))</f>
        <v/>
      </c>
      <c r="C370" s="14">
        <f>IF(A370="","",IFERROR(INDEX(lst_JobName,MATCH(A370&amp;"",lst_Jobs,0)),""))</f>
        <v/>
      </c>
      <c r="D370" s="14">
        <f>IF(A370="","",IFERROR(INDEX(tbl_Finance[Client],MATCH(A370&amp;"",tbl_Finance[Job Number],0)),""))</f>
        <v/>
      </c>
      <c r="E370" s="44">
        <f>IF(A370="","",COUNTIFS(tbl_Finance[Job Number],A370&amp;"",tbl_Finance[Ex GST],"&lt;&gt;"))</f>
        <v/>
      </c>
      <c r="F370" s="16">
        <f>IF(A370="","",SUMIFS(tbl_Finance[Ex GST],tbl_Finance[Job Number],A370&amp;""))</f>
        <v/>
      </c>
      <c r="G370" s="14">
        <f>IF(A370="","",IFERROR(INDEX(tbl_Finance[Cost Centre],MATCH(A370&amp;"",tbl_Finance[Job Number],0)),"not invoiced yet"))</f>
        <v/>
      </c>
      <c r="H370" s="11" t="n"/>
      <c r="I370" s="13" t="n"/>
      <c r="J370" s="13" t="n"/>
      <c r="K370" s="13" t="n"/>
      <c r="L370" s="15" t="n"/>
      <c r="M370" s="16">
        <f>IF(A370="","",F370+N(L370))</f>
        <v/>
      </c>
      <c r="N370" s="46">
        <f>IFERROR(L370/M370,"")</f>
        <v/>
      </c>
      <c r="O370" s="15" t="n"/>
      <c r="P370" s="15" t="n"/>
      <c r="Q370" s="16">
        <f>IF(A370="","",N(O370)+N(P370))</f>
        <v/>
      </c>
      <c r="R370" s="16">
        <f>IF(A370="","",F370-Q370)</f>
        <v/>
      </c>
      <c r="S370" s="46">
        <f>IFERROR(R370/F370,"")</f>
        <v/>
      </c>
      <c r="T370" s="45" t="n"/>
      <c r="U370" s="45" t="n"/>
      <c r="V370" s="45" t="n"/>
      <c r="W370" s="45" t="n"/>
      <c r="X370" s="45" t="n"/>
      <c r="Y370" s="13" t="n"/>
    </row>
    <row r="371" ht="15" customHeight="1">
      <c r="A371" s="13" t="n"/>
      <c r="B371" s="14">
        <f>IF(A371="","",IF(COUNTIF(lst_Jobs,A371&amp;"")&gt;0,"OK","CHECK"))</f>
        <v/>
      </c>
      <c r="C371" s="14">
        <f>IF(A371="","",IFERROR(INDEX(lst_JobName,MATCH(A371&amp;"",lst_Jobs,0)),""))</f>
        <v/>
      </c>
      <c r="D371" s="14">
        <f>IF(A371="","",IFERROR(INDEX(tbl_Finance[Client],MATCH(A371&amp;"",tbl_Finance[Job Number],0)),""))</f>
        <v/>
      </c>
      <c r="E371" s="44">
        <f>IF(A371="","",COUNTIFS(tbl_Finance[Job Number],A371&amp;"",tbl_Finance[Ex GST],"&lt;&gt;"))</f>
        <v/>
      </c>
      <c r="F371" s="16">
        <f>IF(A371="","",SUMIFS(tbl_Finance[Ex GST],tbl_Finance[Job Number],A371&amp;""))</f>
        <v/>
      </c>
      <c r="G371" s="14">
        <f>IF(A371="","",IFERROR(INDEX(tbl_Finance[Cost Centre],MATCH(A371&amp;"",tbl_Finance[Job Number],0)),"not invoiced yet"))</f>
        <v/>
      </c>
      <c r="H371" s="11" t="n"/>
      <c r="I371" s="13" t="n"/>
      <c r="J371" s="13" t="n"/>
      <c r="K371" s="13" t="n"/>
      <c r="L371" s="15" t="n"/>
      <c r="M371" s="16">
        <f>IF(A371="","",F371+N(L371))</f>
        <v/>
      </c>
      <c r="N371" s="46">
        <f>IFERROR(L371/M371,"")</f>
        <v/>
      </c>
      <c r="O371" s="15" t="n"/>
      <c r="P371" s="15" t="n"/>
      <c r="Q371" s="16">
        <f>IF(A371="","",N(O371)+N(P371))</f>
        <v/>
      </c>
      <c r="R371" s="16">
        <f>IF(A371="","",F371-Q371)</f>
        <v/>
      </c>
      <c r="S371" s="46">
        <f>IFERROR(R371/F371,"")</f>
        <v/>
      </c>
      <c r="T371" s="45" t="n"/>
      <c r="U371" s="45" t="n"/>
      <c r="V371" s="45" t="n"/>
      <c r="W371" s="45" t="n"/>
      <c r="X371" s="45" t="n"/>
      <c r="Y371" s="13" t="n"/>
    </row>
    <row r="372" ht="15" customHeight="1">
      <c r="A372" s="13" t="n"/>
      <c r="B372" s="14">
        <f>IF(A372="","",IF(COUNTIF(lst_Jobs,A372&amp;"")&gt;0,"OK","CHECK"))</f>
        <v/>
      </c>
      <c r="C372" s="14">
        <f>IF(A372="","",IFERROR(INDEX(lst_JobName,MATCH(A372&amp;"",lst_Jobs,0)),""))</f>
        <v/>
      </c>
      <c r="D372" s="14">
        <f>IF(A372="","",IFERROR(INDEX(tbl_Finance[Client],MATCH(A372&amp;"",tbl_Finance[Job Number],0)),""))</f>
        <v/>
      </c>
      <c r="E372" s="44">
        <f>IF(A372="","",COUNTIFS(tbl_Finance[Job Number],A372&amp;"",tbl_Finance[Ex GST],"&lt;&gt;"))</f>
        <v/>
      </c>
      <c r="F372" s="16">
        <f>IF(A372="","",SUMIFS(tbl_Finance[Ex GST],tbl_Finance[Job Number],A372&amp;""))</f>
        <v/>
      </c>
      <c r="G372" s="14">
        <f>IF(A372="","",IFERROR(INDEX(tbl_Finance[Cost Centre],MATCH(A372&amp;"",tbl_Finance[Job Number],0)),"not invoiced yet"))</f>
        <v/>
      </c>
      <c r="H372" s="11" t="n"/>
      <c r="I372" s="13" t="n"/>
      <c r="J372" s="13" t="n"/>
      <c r="K372" s="13" t="n"/>
      <c r="L372" s="15" t="n"/>
      <c r="M372" s="16">
        <f>IF(A372="","",F372+N(L372))</f>
        <v/>
      </c>
      <c r="N372" s="46">
        <f>IFERROR(L372/M372,"")</f>
        <v/>
      </c>
      <c r="O372" s="15" t="n"/>
      <c r="P372" s="15" t="n"/>
      <c r="Q372" s="16">
        <f>IF(A372="","",N(O372)+N(P372))</f>
        <v/>
      </c>
      <c r="R372" s="16">
        <f>IF(A372="","",F372-Q372)</f>
        <v/>
      </c>
      <c r="S372" s="46">
        <f>IFERROR(R372/F372,"")</f>
        <v/>
      </c>
      <c r="T372" s="45" t="n"/>
      <c r="U372" s="45" t="n"/>
      <c r="V372" s="45" t="n"/>
      <c r="W372" s="45" t="n"/>
      <c r="X372" s="45" t="n"/>
      <c r="Y372" s="13" t="n"/>
    </row>
    <row r="373" ht="15" customHeight="1">
      <c r="A373" s="13" t="n"/>
      <c r="B373" s="14">
        <f>IF(A373="","",IF(COUNTIF(lst_Jobs,A373&amp;"")&gt;0,"OK","CHECK"))</f>
        <v/>
      </c>
      <c r="C373" s="14">
        <f>IF(A373="","",IFERROR(INDEX(lst_JobName,MATCH(A373&amp;"",lst_Jobs,0)),""))</f>
        <v/>
      </c>
      <c r="D373" s="14">
        <f>IF(A373="","",IFERROR(INDEX(tbl_Finance[Client],MATCH(A373&amp;"",tbl_Finance[Job Number],0)),""))</f>
        <v/>
      </c>
      <c r="E373" s="44">
        <f>IF(A373="","",COUNTIFS(tbl_Finance[Job Number],A373&amp;"",tbl_Finance[Ex GST],"&lt;&gt;"))</f>
        <v/>
      </c>
      <c r="F373" s="16">
        <f>IF(A373="","",SUMIFS(tbl_Finance[Ex GST],tbl_Finance[Job Number],A373&amp;""))</f>
        <v/>
      </c>
      <c r="G373" s="14">
        <f>IF(A373="","",IFERROR(INDEX(tbl_Finance[Cost Centre],MATCH(A373&amp;"",tbl_Finance[Job Number],0)),"not invoiced yet"))</f>
        <v/>
      </c>
      <c r="H373" s="11" t="n"/>
      <c r="I373" s="13" t="n"/>
      <c r="J373" s="13" t="n"/>
      <c r="K373" s="13" t="n"/>
      <c r="L373" s="15" t="n"/>
      <c r="M373" s="16">
        <f>IF(A373="","",F373+N(L373))</f>
        <v/>
      </c>
      <c r="N373" s="46">
        <f>IFERROR(L373/M373,"")</f>
        <v/>
      </c>
      <c r="O373" s="15" t="n"/>
      <c r="P373" s="15" t="n"/>
      <c r="Q373" s="16">
        <f>IF(A373="","",N(O373)+N(P373))</f>
        <v/>
      </c>
      <c r="R373" s="16">
        <f>IF(A373="","",F373-Q373)</f>
        <v/>
      </c>
      <c r="S373" s="46">
        <f>IFERROR(R373/F373,"")</f>
        <v/>
      </c>
      <c r="T373" s="45" t="n"/>
      <c r="U373" s="45" t="n"/>
      <c r="V373" s="45" t="n"/>
      <c r="W373" s="45" t="n"/>
      <c r="X373" s="45" t="n"/>
      <c r="Y373" s="13" t="n"/>
    </row>
    <row r="374" ht="15" customHeight="1">
      <c r="A374" s="13" t="n"/>
      <c r="B374" s="14">
        <f>IF(A374="","",IF(COUNTIF(lst_Jobs,A374&amp;"")&gt;0,"OK","CHECK"))</f>
        <v/>
      </c>
      <c r="C374" s="14">
        <f>IF(A374="","",IFERROR(INDEX(lst_JobName,MATCH(A374&amp;"",lst_Jobs,0)),""))</f>
        <v/>
      </c>
      <c r="D374" s="14">
        <f>IF(A374="","",IFERROR(INDEX(tbl_Finance[Client],MATCH(A374&amp;"",tbl_Finance[Job Number],0)),""))</f>
        <v/>
      </c>
      <c r="E374" s="44">
        <f>IF(A374="","",COUNTIFS(tbl_Finance[Job Number],A374&amp;"",tbl_Finance[Ex GST],"&lt;&gt;"))</f>
        <v/>
      </c>
      <c r="F374" s="16">
        <f>IF(A374="","",SUMIFS(tbl_Finance[Ex GST],tbl_Finance[Job Number],A374&amp;""))</f>
        <v/>
      </c>
      <c r="G374" s="14">
        <f>IF(A374="","",IFERROR(INDEX(tbl_Finance[Cost Centre],MATCH(A374&amp;"",tbl_Finance[Job Number],0)),"not invoiced yet"))</f>
        <v/>
      </c>
      <c r="H374" s="11" t="n"/>
      <c r="I374" s="13" t="n"/>
      <c r="J374" s="13" t="n"/>
      <c r="K374" s="13" t="n"/>
      <c r="L374" s="15" t="n"/>
      <c r="M374" s="16">
        <f>IF(A374="","",F374+N(L374))</f>
        <v/>
      </c>
      <c r="N374" s="46">
        <f>IFERROR(L374/M374,"")</f>
        <v/>
      </c>
      <c r="O374" s="15" t="n"/>
      <c r="P374" s="15" t="n"/>
      <c r="Q374" s="16">
        <f>IF(A374="","",N(O374)+N(P374))</f>
        <v/>
      </c>
      <c r="R374" s="16">
        <f>IF(A374="","",F374-Q374)</f>
        <v/>
      </c>
      <c r="S374" s="46">
        <f>IFERROR(R374/F374,"")</f>
        <v/>
      </c>
      <c r="T374" s="45" t="n"/>
      <c r="U374" s="45" t="n"/>
      <c r="V374" s="45" t="n"/>
      <c r="W374" s="45" t="n"/>
      <c r="X374" s="45" t="n"/>
      <c r="Y374" s="13" t="n"/>
    </row>
    <row r="375" ht="15" customHeight="1">
      <c r="A375" s="13" t="n"/>
      <c r="B375" s="14">
        <f>IF(A375="","",IF(COUNTIF(lst_Jobs,A375&amp;"")&gt;0,"OK","CHECK"))</f>
        <v/>
      </c>
      <c r="C375" s="14">
        <f>IF(A375="","",IFERROR(INDEX(lst_JobName,MATCH(A375&amp;"",lst_Jobs,0)),""))</f>
        <v/>
      </c>
      <c r="D375" s="14">
        <f>IF(A375="","",IFERROR(INDEX(tbl_Finance[Client],MATCH(A375&amp;"",tbl_Finance[Job Number],0)),""))</f>
        <v/>
      </c>
      <c r="E375" s="44">
        <f>IF(A375="","",COUNTIFS(tbl_Finance[Job Number],A375&amp;"",tbl_Finance[Ex GST],"&lt;&gt;"))</f>
        <v/>
      </c>
      <c r="F375" s="16">
        <f>IF(A375="","",SUMIFS(tbl_Finance[Ex GST],tbl_Finance[Job Number],A375&amp;""))</f>
        <v/>
      </c>
      <c r="G375" s="14">
        <f>IF(A375="","",IFERROR(INDEX(tbl_Finance[Cost Centre],MATCH(A375&amp;"",tbl_Finance[Job Number],0)),"not invoiced yet"))</f>
        <v/>
      </c>
      <c r="H375" s="11" t="n"/>
      <c r="I375" s="13" t="n"/>
      <c r="J375" s="13" t="n"/>
      <c r="K375" s="13" t="n"/>
      <c r="L375" s="15" t="n"/>
      <c r="M375" s="16">
        <f>IF(A375="","",F375+N(L375))</f>
        <v/>
      </c>
      <c r="N375" s="46">
        <f>IFERROR(L375/M375,"")</f>
        <v/>
      </c>
      <c r="O375" s="15" t="n"/>
      <c r="P375" s="15" t="n"/>
      <c r="Q375" s="16">
        <f>IF(A375="","",N(O375)+N(P375))</f>
        <v/>
      </c>
      <c r="R375" s="16">
        <f>IF(A375="","",F375-Q375)</f>
        <v/>
      </c>
      <c r="S375" s="46">
        <f>IFERROR(R375/F375,"")</f>
        <v/>
      </c>
      <c r="T375" s="45" t="n"/>
      <c r="U375" s="45" t="n"/>
      <c r="V375" s="45" t="n"/>
      <c r="W375" s="45" t="n"/>
      <c r="X375" s="45" t="n"/>
      <c r="Y375" s="13" t="n"/>
    </row>
    <row r="376" ht="15" customHeight="1">
      <c r="A376" s="13" t="n"/>
      <c r="B376" s="14">
        <f>IF(A376="","",IF(COUNTIF(lst_Jobs,A376&amp;"")&gt;0,"OK","CHECK"))</f>
        <v/>
      </c>
      <c r="C376" s="14">
        <f>IF(A376="","",IFERROR(INDEX(lst_JobName,MATCH(A376&amp;"",lst_Jobs,0)),""))</f>
        <v/>
      </c>
      <c r="D376" s="14">
        <f>IF(A376="","",IFERROR(INDEX(tbl_Finance[Client],MATCH(A376&amp;"",tbl_Finance[Job Number],0)),""))</f>
        <v/>
      </c>
      <c r="E376" s="44">
        <f>IF(A376="","",COUNTIFS(tbl_Finance[Job Number],A376&amp;"",tbl_Finance[Ex GST],"&lt;&gt;"))</f>
        <v/>
      </c>
      <c r="F376" s="16">
        <f>IF(A376="","",SUMIFS(tbl_Finance[Ex GST],tbl_Finance[Job Number],A376&amp;""))</f>
        <v/>
      </c>
      <c r="G376" s="14">
        <f>IF(A376="","",IFERROR(INDEX(tbl_Finance[Cost Centre],MATCH(A376&amp;"",tbl_Finance[Job Number],0)),"not invoiced yet"))</f>
        <v/>
      </c>
      <c r="H376" s="11" t="n"/>
      <c r="I376" s="13" t="n"/>
      <c r="J376" s="13" t="n"/>
      <c r="K376" s="13" t="n"/>
      <c r="L376" s="15" t="n"/>
      <c r="M376" s="16">
        <f>IF(A376="","",F376+N(L376))</f>
        <v/>
      </c>
      <c r="N376" s="46">
        <f>IFERROR(L376/M376,"")</f>
        <v/>
      </c>
      <c r="O376" s="15" t="n"/>
      <c r="P376" s="15" t="n"/>
      <c r="Q376" s="16">
        <f>IF(A376="","",N(O376)+N(P376))</f>
        <v/>
      </c>
      <c r="R376" s="16">
        <f>IF(A376="","",F376-Q376)</f>
        <v/>
      </c>
      <c r="S376" s="46">
        <f>IFERROR(R376/F376,"")</f>
        <v/>
      </c>
      <c r="T376" s="45" t="n"/>
      <c r="U376" s="45" t="n"/>
      <c r="V376" s="45" t="n"/>
      <c r="W376" s="45" t="n"/>
      <c r="X376" s="45" t="n"/>
      <c r="Y376" s="13" t="n"/>
    </row>
    <row r="377" ht="15" customHeight="1">
      <c r="A377" s="13" t="n"/>
      <c r="B377" s="14">
        <f>IF(A377="","",IF(COUNTIF(lst_Jobs,A377&amp;"")&gt;0,"OK","CHECK"))</f>
        <v/>
      </c>
      <c r="C377" s="14">
        <f>IF(A377="","",IFERROR(INDEX(lst_JobName,MATCH(A377&amp;"",lst_Jobs,0)),""))</f>
        <v/>
      </c>
      <c r="D377" s="14">
        <f>IF(A377="","",IFERROR(INDEX(tbl_Finance[Client],MATCH(A377&amp;"",tbl_Finance[Job Number],0)),""))</f>
        <v/>
      </c>
      <c r="E377" s="44">
        <f>IF(A377="","",COUNTIFS(tbl_Finance[Job Number],A377&amp;"",tbl_Finance[Ex GST],"&lt;&gt;"))</f>
        <v/>
      </c>
      <c r="F377" s="16">
        <f>IF(A377="","",SUMIFS(tbl_Finance[Ex GST],tbl_Finance[Job Number],A377&amp;""))</f>
        <v/>
      </c>
      <c r="G377" s="14">
        <f>IF(A377="","",IFERROR(INDEX(tbl_Finance[Cost Centre],MATCH(A377&amp;"",tbl_Finance[Job Number],0)),"not invoiced yet"))</f>
        <v/>
      </c>
      <c r="H377" s="11" t="n"/>
      <c r="I377" s="13" t="n"/>
      <c r="J377" s="13" t="n"/>
      <c r="K377" s="13" t="n"/>
      <c r="L377" s="15" t="n"/>
      <c r="M377" s="16">
        <f>IF(A377="","",F377+N(L377))</f>
        <v/>
      </c>
      <c r="N377" s="46">
        <f>IFERROR(L377/M377,"")</f>
        <v/>
      </c>
      <c r="O377" s="15" t="n"/>
      <c r="P377" s="15" t="n"/>
      <c r="Q377" s="16">
        <f>IF(A377="","",N(O377)+N(P377))</f>
        <v/>
      </c>
      <c r="R377" s="16">
        <f>IF(A377="","",F377-Q377)</f>
        <v/>
      </c>
      <c r="S377" s="46">
        <f>IFERROR(R377/F377,"")</f>
        <v/>
      </c>
      <c r="T377" s="45" t="n"/>
      <c r="U377" s="45" t="n"/>
      <c r="V377" s="45" t="n"/>
      <c r="W377" s="45" t="n"/>
      <c r="X377" s="45" t="n"/>
      <c r="Y377" s="13" t="n"/>
    </row>
    <row r="378" ht="15" customHeight="1">
      <c r="A378" s="13" t="n"/>
      <c r="B378" s="14">
        <f>IF(A378="","",IF(COUNTIF(lst_Jobs,A378&amp;"")&gt;0,"OK","CHECK"))</f>
        <v/>
      </c>
      <c r="C378" s="14">
        <f>IF(A378="","",IFERROR(INDEX(lst_JobName,MATCH(A378&amp;"",lst_Jobs,0)),""))</f>
        <v/>
      </c>
      <c r="D378" s="14">
        <f>IF(A378="","",IFERROR(INDEX(tbl_Finance[Client],MATCH(A378&amp;"",tbl_Finance[Job Number],0)),""))</f>
        <v/>
      </c>
      <c r="E378" s="44">
        <f>IF(A378="","",COUNTIFS(tbl_Finance[Job Number],A378&amp;"",tbl_Finance[Ex GST],"&lt;&gt;"))</f>
        <v/>
      </c>
      <c r="F378" s="16">
        <f>IF(A378="","",SUMIFS(tbl_Finance[Ex GST],tbl_Finance[Job Number],A378&amp;""))</f>
        <v/>
      </c>
      <c r="G378" s="14">
        <f>IF(A378="","",IFERROR(INDEX(tbl_Finance[Cost Centre],MATCH(A378&amp;"",tbl_Finance[Job Number],0)),"not invoiced yet"))</f>
        <v/>
      </c>
      <c r="H378" s="11" t="n"/>
      <c r="I378" s="13" t="n"/>
      <c r="J378" s="13" t="n"/>
      <c r="K378" s="13" t="n"/>
      <c r="L378" s="15" t="n"/>
      <c r="M378" s="16">
        <f>IF(A378="","",F378+N(L378))</f>
        <v/>
      </c>
      <c r="N378" s="46">
        <f>IFERROR(L378/M378,"")</f>
        <v/>
      </c>
      <c r="O378" s="15" t="n"/>
      <c r="P378" s="15" t="n"/>
      <c r="Q378" s="16">
        <f>IF(A378="","",N(O378)+N(P378))</f>
        <v/>
      </c>
      <c r="R378" s="16">
        <f>IF(A378="","",F378-Q378)</f>
        <v/>
      </c>
      <c r="S378" s="46">
        <f>IFERROR(R378/F378,"")</f>
        <v/>
      </c>
      <c r="T378" s="45" t="n"/>
      <c r="U378" s="45" t="n"/>
      <c r="V378" s="45" t="n"/>
      <c r="W378" s="45" t="n"/>
      <c r="X378" s="45" t="n"/>
      <c r="Y378" s="13" t="n"/>
    </row>
    <row r="379" ht="15" customHeight="1">
      <c r="A379" s="13" t="n"/>
      <c r="B379" s="14">
        <f>IF(A379="","",IF(COUNTIF(lst_Jobs,A379&amp;"")&gt;0,"OK","CHECK"))</f>
        <v/>
      </c>
      <c r="C379" s="14">
        <f>IF(A379="","",IFERROR(INDEX(lst_JobName,MATCH(A379&amp;"",lst_Jobs,0)),""))</f>
        <v/>
      </c>
      <c r="D379" s="14">
        <f>IF(A379="","",IFERROR(INDEX(tbl_Finance[Client],MATCH(A379&amp;"",tbl_Finance[Job Number],0)),""))</f>
        <v/>
      </c>
      <c r="E379" s="44">
        <f>IF(A379="","",COUNTIFS(tbl_Finance[Job Number],A379&amp;"",tbl_Finance[Ex GST],"&lt;&gt;"))</f>
        <v/>
      </c>
      <c r="F379" s="16">
        <f>IF(A379="","",SUMIFS(tbl_Finance[Ex GST],tbl_Finance[Job Number],A379&amp;""))</f>
        <v/>
      </c>
      <c r="G379" s="14">
        <f>IF(A379="","",IFERROR(INDEX(tbl_Finance[Cost Centre],MATCH(A379&amp;"",tbl_Finance[Job Number],0)),"not invoiced yet"))</f>
        <v/>
      </c>
      <c r="H379" s="11" t="n"/>
      <c r="I379" s="13" t="n"/>
      <c r="J379" s="13" t="n"/>
      <c r="K379" s="13" t="n"/>
      <c r="L379" s="15" t="n"/>
      <c r="M379" s="16">
        <f>IF(A379="","",F379+N(L379))</f>
        <v/>
      </c>
      <c r="N379" s="46">
        <f>IFERROR(L379/M379,"")</f>
        <v/>
      </c>
      <c r="O379" s="15" t="n"/>
      <c r="P379" s="15" t="n"/>
      <c r="Q379" s="16">
        <f>IF(A379="","",N(O379)+N(P379))</f>
        <v/>
      </c>
      <c r="R379" s="16">
        <f>IF(A379="","",F379-Q379)</f>
        <v/>
      </c>
      <c r="S379" s="46">
        <f>IFERROR(R379/F379,"")</f>
        <v/>
      </c>
      <c r="T379" s="45" t="n"/>
      <c r="U379" s="45" t="n"/>
      <c r="V379" s="45" t="n"/>
      <c r="W379" s="45" t="n"/>
      <c r="X379" s="45" t="n"/>
      <c r="Y379" s="13" t="n"/>
    </row>
    <row r="380" ht="15" customHeight="1">
      <c r="A380" s="13" t="n"/>
      <c r="B380" s="14">
        <f>IF(A380="","",IF(COUNTIF(lst_Jobs,A380&amp;"")&gt;0,"OK","CHECK"))</f>
        <v/>
      </c>
      <c r="C380" s="14">
        <f>IF(A380="","",IFERROR(INDEX(lst_JobName,MATCH(A380&amp;"",lst_Jobs,0)),""))</f>
        <v/>
      </c>
      <c r="D380" s="14">
        <f>IF(A380="","",IFERROR(INDEX(tbl_Finance[Client],MATCH(A380&amp;"",tbl_Finance[Job Number],0)),""))</f>
        <v/>
      </c>
      <c r="E380" s="44">
        <f>IF(A380="","",COUNTIFS(tbl_Finance[Job Number],A380&amp;"",tbl_Finance[Ex GST],"&lt;&gt;"))</f>
        <v/>
      </c>
      <c r="F380" s="16">
        <f>IF(A380="","",SUMIFS(tbl_Finance[Ex GST],tbl_Finance[Job Number],A380&amp;""))</f>
        <v/>
      </c>
      <c r="G380" s="14">
        <f>IF(A380="","",IFERROR(INDEX(tbl_Finance[Cost Centre],MATCH(A380&amp;"",tbl_Finance[Job Number],0)),"not invoiced yet"))</f>
        <v/>
      </c>
      <c r="H380" s="11" t="n"/>
      <c r="I380" s="13" t="n"/>
      <c r="J380" s="13" t="n"/>
      <c r="K380" s="13" t="n"/>
      <c r="L380" s="15" t="n"/>
      <c r="M380" s="16">
        <f>IF(A380="","",F380+N(L380))</f>
        <v/>
      </c>
      <c r="N380" s="46">
        <f>IFERROR(L380/M380,"")</f>
        <v/>
      </c>
      <c r="O380" s="15" t="n"/>
      <c r="P380" s="15" t="n"/>
      <c r="Q380" s="16">
        <f>IF(A380="","",N(O380)+N(P380))</f>
        <v/>
      </c>
      <c r="R380" s="16">
        <f>IF(A380="","",F380-Q380)</f>
        <v/>
      </c>
      <c r="S380" s="46">
        <f>IFERROR(R380/F380,"")</f>
        <v/>
      </c>
      <c r="T380" s="45" t="n"/>
      <c r="U380" s="45" t="n"/>
      <c r="V380" s="45" t="n"/>
      <c r="W380" s="45" t="n"/>
      <c r="X380" s="45" t="n"/>
      <c r="Y380" s="13" t="n"/>
    </row>
    <row r="381" ht="15" customHeight="1">
      <c r="A381" s="13" t="n"/>
      <c r="B381" s="14">
        <f>IF(A381="","",IF(COUNTIF(lst_Jobs,A381&amp;"")&gt;0,"OK","CHECK"))</f>
        <v/>
      </c>
      <c r="C381" s="14">
        <f>IF(A381="","",IFERROR(INDEX(lst_JobName,MATCH(A381&amp;"",lst_Jobs,0)),""))</f>
        <v/>
      </c>
      <c r="D381" s="14">
        <f>IF(A381="","",IFERROR(INDEX(tbl_Finance[Client],MATCH(A381&amp;"",tbl_Finance[Job Number],0)),""))</f>
        <v/>
      </c>
      <c r="E381" s="44">
        <f>IF(A381="","",COUNTIFS(tbl_Finance[Job Number],A381&amp;"",tbl_Finance[Ex GST],"&lt;&gt;"))</f>
        <v/>
      </c>
      <c r="F381" s="16">
        <f>IF(A381="","",SUMIFS(tbl_Finance[Ex GST],tbl_Finance[Job Number],A381&amp;""))</f>
        <v/>
      </c>
      <c r="G381" s="14">
        <f>IF(A381="","",IFERROR(INDEX(tbl_Finance[Cost Centre],MATCH(A381&amp;"",tbl_Finance[Job Number],0)),"not invoiced yet"))</f>
        <v/>
      </c>
      <c r="H381" s="11" t="n"/>
      <c r="I381" s="13" t="n"/>
      <c r="J381" s="13" t="n"/>
      <c r="K381" s="13" t="n"/>
      <c r="L381" s="15" t="n"/>
      <c r="M381" s="16">
        <f>IF(A381="","",F381+N(L381))</f>
        <v/>
      </c>
      <c r="N381" s="46">
        <f>IFERROR(L381/M381,"")</f>
        <v/>
      </c>
      <c r="O381" s="15" t="n"/>
      <c r="P381" s="15" t="n"/>
      <c r="Q381" s="16">
        <f>IF(A381="","",N(O381)+N(P381))</f>
        <v/>
      </c>
      <c r="R381" s="16">
        <f>IF(A381="","",F381-Q381)</f>
        <v/>
      </c>
      <c r="S381" s="46">
        <f>IFERROR(R381/F381,"")</f>
        <v/>
      </c>
      <c r="T381" s="45" t="n"/>
      <c r="U381" s="45" t="n"/>
      <c r="V381" s="45" t="n"/>
      <c r="W381" s="45" t="n"/>
      <c r="X381" s="45" t="n"/>
      <c r="Y381" s="13" t="n"/>
    </row>
    <row r="382" ht="15" customHeight="1">
      <c r="A382" s="13" t="n"/>
      <c r="B382" s="14">
        <f>IF(A382="","",IF(COUNTIF(lst_Jobs,A382&amp;"")&gt;0,"OK","CHECK"))</f>
        <v/>
      </c>
      <c r="C382" s="14">
        <f>IF(A382="","",IFERROR(INDEX(lst_JobName,MATCH(A382&amp;"",lst_Jobs,0)),""))</f>
        <v/>
      </c>
      <c r="D382" s="14">
        <f>IF(A382="","",IFERROR(INDEX(tbl_Finance[Client],MATCH(A382&amp;"",tbl_Finance[Job Number],0)),""))</f>
        <v/>
      </c>
      <c r="E382" s="44">
        <f>IF(A382="","",COUNTIFS(tbl_Finance[Job Number],A382&amp;"",tbl_Finance[Ex GST],"&lt;&gt;"))</f>
        <v/>
      </c>
      <c r="F382" s="16">
        <f>IF(A382="","",SUMIFS(tbl_Finance[Ex GST],tbl_Finance[Job Number],A382&amp;""))</f>
        <v/>
      </c>
      <c r="G382" s="14">
        <f>IF(A382="","",IFERROR(INDEX(tbl_Finance[Cost Centre],MATCH(A382&amp;"",tbl_Finance[Job Number],0)),"not invoiced yet"))</f>
        <v/>
      </c>
      <c r="H382" s="11" t="n"/>
      <c r="I382" s="13" t="n"/>
      <c r="J382" s="13" t="n"/>
      <c r="K382" s="13" t="n"/>
      <c r="L382" s="15" t="n"/>
      <c r="M382" s="16">
        <f>IF(A382="","",F382+N(L382))</f>
        <v/>
      </c>
      <c r="N382" s="46">
        <f>IFERROR(L382/M382,"")</f>
        <v/>
      </c>
      <c r="O382" s="15" t="n"/>
      <c r="P382" s="15" t="n"/>
      <c r="Q382" s="16">
        <f>IF(A382="","",N(O382)+N(P382))</f>
        <v/>
      </c>
      <c r="R382" s="16">
        <f>IF(A382="","",F382-Q382)</f>
        <v/>
      </c>
      <c r="S382" s="46">
        <f>IFERROR(R382/F382,"")</f>
        <v/>
      </c>
      <c r="T382" s="45" t="n"/>
      <c r="U382" s="45" t="n"/>
      <c r="V382" s="45" t="n"/>
      <c r="W382" s="45" t="n"/>
      <c r="X382" s="45" t="n"/>
      <c r="Y382" s="13" t="n"/>
    </row>
    <row r="383" ht="15" customHeight="1">
      <c r="A383" s="13" t="n"/>
      <c r="B383" s="14">
        <f>IF(A383="","",IF(COUNTIF(lst_Jobs,A383&amp;"")&gt;0,"OK","CHECK"))</f>
        <v/>
      </c>
      <c r="C383" s="14">
        <f>IF(A383="","",IFERROR(INDEX(lst_JobName,MATCH(A383&amp;"",lst_Jobs,0)),""))</f>
        <v/>
      </c>
      <c r="D383" s="14">
        <f>IF(A383="","",IFERROR(INDEX(tbl_Finance[Client],MATCH(A383&amp;"",tbl_Finance[Job Number],0)),""))</f>
        <v/>
      </c>
      <c r="E383" s="44">
        <f>IF(A383="","",COUNTIFS(tbl_Finance[Job Number],A383&amp;"",tbl_Finance[Ex GST],"&lt;&gt;"))</f>
        <v/>
      </c>
      <c r="F383" s="16">
        <f>IF(A383="","",SUMIFS(tbl_Finance[Ex GST],tbl_Finance[Job Number],A383&amp;""))</f>
        <v/>
      </c>
      <c r="G383" s="14">
        <f>IF(A383="","",IFERROR(INDEX(tbl_Finance[Cost Centre],MATCH(A383&amp;"",tbl_Finance[Job Number],0)),"not invoiced yet"))</f>
        <v/>
      </c>
      <c r="H383" s="11" t="n"/>
      <c r="I383" s="13" t="n"/>
      <c r="J383" s="13" t="n"/>
      <c r="K383" s="13" t="n"/>
      <c r="L383" s="15" t="n"/>
      <c r="M383" s="16">
        <f>IF(A383="","",F383+N(L383))</f>
        <v/>
      </c>
      <c r="N383" s="46">
        <f>IFERROR(L383/M383,"")</f>
        <v/>
      </c>
      <c r="O383" s="15" t="n"/>
      <c r="P383" s="15" t="n"/>
      <c r="Q383" s="16">
        <f>IF(A383="","",N(O383)+N(P383))</f>
        <v/>
      </c>
      <c r="R383" s="16">
        <f>IF(A383="","",F383-Q383)</f>
        <v/>
      </c>
      <c r="S383" s="46">
        <f>IFERROR(R383/F383,"")</f>
        <v/>
      </c>
      <c r="T383" s="45" t="n"/>
      <c r="U383" s="45" t="n"/>
      <c r="V383" s="45" t="n"/>
      <c r="W383" s="45" t="n"/>
      <c r="X383" s="45" t="n"/>
      <c r="Y383" s="13" t="n"/>
    </row>
    <row r="384" ht="15" customHeight="1">
      <c r="A384" s="13" t="n"/>
      <c r="B384" s="14">
        <f>IF(A384="","",IF(COUNTIF(lst_Jobs,A384&amp;"")&gt;0,"OK","CHECK"))</f>
        <v/>
      </c>
      <c r="C384" s="14">
        <f>IF(A384="","",IFERROR(INDEX(lst_JobName,MATCH(A384&amp;"",lst_Jobs,0)),""))</f>
        <v/>
      </c>
      <c r="D384" s="14">
        <f>IF(A384="","",IFERROR(INDEX(tbl_Finance[Client],MATCH(A384&amp;"",tbl_Finance[Job Number],0)),""))</f>
        <v/>
      </c>
      <c r="E384" s="44">
        <f>IF(A384="","",COUNTIFS(tbl_Finance[Job Number],A384&amp;"",tbl_Finance[Ex GST],"&lt;&gt;"))</f>
        <v/>
      </c>
      <c r="F384" s="16">
        <f>IF(A384="","",SUMIFS(tbl_Finance[Ex GST],tbl_Finance[Job Number],A384&amp;""))</f>
        <v/>
      </c>
      <c r="G384" s="14">
        <f>IF(A384="","",IFERROR(INDEX(tbl_Finance[Cost Centre],MATCH(A384&amp;"",tbl_Finance[Job Number],0)),"not invoiced yet"))</f>
        <v/>
      </c>
      <c r="H384" s="11" t="n"/>
      <c r="I384" s="13" t="n"/>
      <c r="J384" s="13" t="n"/>
      <c r="K384" s="13" t="n"/>
      <c r="L384" s="15" t="n"/>
      <c r="M384" s="16">
        <f>IF(A384="","",F384+N(L384))</f>
        <v/>
      </c>
      <c r="N384" s="46">
        <f>IFERROR(L384/M384,"")</f>
        <v/>
      </c>
      <c r="O384" s="15" t="n"/>
      <c r="P384" s="15" t="n"/>
      <c r="Q384" s="16">
        <f>IF(A384="","",N(O384)+N(P384))</f>
        <v/>
      </c>
      <c r="R384" s="16">
        <f>IF(A384="","",F384-Q384)</f>
        <v/>
      </c>
      <c r="S384" s="46">
        <f>IFERROR(R384/F384,"")</f>
        <v/>
      </c>
      <c r="T384" s="45" t="n"/>
      <c r="U384" s="45" t="n"/>
      <c r="V384" s="45" t="n"/>
      <c r="W384" s="45" t="n"/>
      <c r="X384" s="45" t="n"/>
      <c r="Y384" s="13" t="n"/>
    </row>
    <row r="385" ht="15" customHeight="1">
      <c r="A385" s="13" t="n"/>
      <c r="B385" s="14">
        <f>IF(A385="","",IF(COUNTIF(lst_Jobs,A385&amp;"")&gt;0,"OK","CHECK"))</f>
        <v/>
      </c>
      <c r="C385" s="14">
        <f>IF(A385="","",IFERROR(INDEX(lst_JobName,MATCH(A385&amp;"",lst_Jobs,0)),""))</f>
        <v/>
      </c>
      <c r="D385" s="14">
        <f>IF(A385="","",IFERROR(INDEX(tbl_Finance[Client],MATCH(A385&amp;"",tbl_Finance[Job Number],0)),""))</f>
        <v/>
      </c>
      <c r="E385" s="44">
        <f>IF(A385="","",COUNTIFS(tbl_Finance[Job Number],A385&amp;"",tbl_Finance[Ex GST],"&lt;&gt;"))</f>
        <v/>
      </c>
      <c r="F385" s="16">
        <f>IF(A385="","",SUMIFS(tbl_Finance[Ex GST],tbl_Finance[Job Number],A385&amp;""))</f>
        <v/>
      </c>
      <c r="G385" s="14">
        <f>IF(A385="","",IFERROR(INDEX(tbl_Finance[Cost Centre],MATCH(A385&amp;"",tbl_Finance[Job Number],0)),"not invoiced yet"))</f>
        <v/>
      </c>
      <c r="H385" s="11" t="n"/>
      <c r="I385" s="13" t="n"/>
      <c r="J385" s="13" t="n"/>
      <c r="K385" s="13" t="n"/>
      <c r="L385" s="15" t="n"/>
      <c r="M385" s="16">
        <f>IF(A385="","",F385+N(L385))</f>
        <v/>
      </c>
      <c r="N385" s="46">
        <f>IFERROR(L385/M385,"")</f>
        <v/>
      </c>
      <c r="O385" s="15" t="n"/>
      <c r="P385" s="15" t="n"/>
      <c r="Q385" s="16">
        <f>IF(A385="","",N(O385)+N(P385))</f>
        <v/>
      </c>
      <c r="R385" s="16">
        <f>IF(A385="","",F385-Q385)</f>
        <v/>
      </c>
      <c r="S385" s="46">
        <f>IFERROR(R385/F385,"")</f>
        <v/>
      </c>
      <c r="T385" s="45" t="n"/>
      <c r="U385" s="45" t="n"/>
      <c r="V385" s="45" t="n"/>
      <c r="W385" s="45" t="n"/>
      <c r="X385" s="45" t="n"/>
      <c r="Y385" s="13" t="n"/>
    </row>
    <row r="386" ht="15" customHeight="1">
      <c r="A386" s="13" t="n"/>
      <c r="B386" s="14">
        <f>IF(A386="","",IF(COUNTIF(lst_Jobs,A386&amp;"")&gt;0,"OK","CHECK"))</f>
        <v/>
      </c>
      <c r="C386" s="14">
        <f>IF(A386="","",IFERROR(INDEX(lst_JobName,MATCH(A386&amp;"",lst_Jobs,0)),""))</f>
        <v/>
      </c>
      <c r="D386" s="14">
        <f>IF(A386="","",IFERROR(INDEX(tbl_Finance[Client],MATCH(A386&amp;"",tbl_Finance[Job Number],0)),""))</f>
        <v/>
      </c>
      <c r="E386" s="44">
        <f>IF(A386="","",COUNTIFS(tbl_Finance[Job Number],A386&amp;"",tbl_Finance[Ex GST],"&lt;&gt;"))</f>
        <v/>
      </c>
      <c r="F386" s="16">
        <f>IF(A386="","",SUMIFS(tbl_Finance[Ex GST],tbl_Finance[Job Number],A386&amp;""))</f>
        <v/>
      </c>
      <c r="G386" s="14">
        <f>IF(A386="","",IFERROR(INDEX(tbl_Finance[Cost Centre],MATCH(A386&amp;"",tbl_Finance[Job Number],0)),"not invoiced yet"))</f>
        <v/>
      </c>
      <c r="H386" s="11" t="n"/>
      <c r="I386" s="13" t="n"/>
      <c r="J386" s="13" t="n"/>
      <c r="K386" s="13" t="n"/>
      <c r="L386" s="15" t="n"/>
      <c r="M386" s="16">
        <f>IF(A386="","",F386+N(L386))</f>
        <v/>
      </c>
      <c r="N386" s="46">
        <f>IFERROR(L386/M386,"")</f>
        <v/>
      </c>
      <c r="O386" s="15" t="n"/>
      <c r="P386" s="15" t="n"/>
      <c r="Q386" s="16">
        <f>IF(A386="","",N(O386)+N(P386))</f>
        <v/>
      </c>
      <c r="R386" s="16">
        <f>IF(A386="","",F386-Q386)</f>
        <v/>
      </c>
      <c r="S386" s="46">
        <f>IFERROR(R386/F386,"")</f>
        <v/>
      </c>
      <c r="T386" s="45" t="n"/>
      <c r="U386" s="45" t="n"/>
      <c r="V386" s="45" t="n"/>
      <c r="W386" s="45" t="n"/>
      <c r="X386" s="45" t="n"/>
      <c r="Y386" s="13" t="n"/>
    </row>
    <row r="387" ht="15" customHeight="1">
      <c r="A387" s="13" t="n"/>
      <c r="B387" s="14">
        <f>IF(A387="","",IF(COUNTIF(lst_Jobs,A387&amp;"")&gt;0,"OK","CHECK"))</f>
        <v/>
      </c>
      <c r="C387" s="14">
        <f>IF(A387="","",IFERROR(INDEX(lst_JobName,MATCH(A387&amp;"",lst_Jobs,0)),""))</f>
        <v/>
      </c>
      <c r="D387" s="14">
        <f>IF(A387="","",IFERROR(INDEX(tbl_Finance[Client],MATCH(A387&amp;"",tbl_Finance[Job Number],0)),""))</f>
        <v/>
      </c>
      <c r="E387" s="44">
        <f>IF(A387="","",COUNTIFS(tbl_Finance[Job Number],A387&amp;"",tbl_Finance[Ex GST],"&lt;&gt;"))</f>
        <v/>
      </c>
      <c r="F387" s="16">
        <f>IF(A387="","",SUMIFS(tbl_Finance[Ex GST],tbl_Finance[Job Number],A387&amp;""))</f>
        <v/>
      </c>
      <c r="G387" s="14">
        <f>IF(A387="","",IFERROR(INDEX(tbl_Finance[Cost Centre],MATCH(A387&amp;"",tbl_Finance[Job Number],0)),"not invoiced yet"))</f>
        <v/>
      </c>
      <c r="H387" s="11" t="n"/>
      <c r="I387" s="13" t="n"/>
      <c r="J387" s="13" t="n"/>
      <c r="K387" s="13" t="n"/>
      <c r="L387" s="15" t="n"/>
      <c r="M387" s="16">
        <f>IF(A387="","",F387+N(L387))</f>
        <v/>
      </c>
      <c r="N387" s="46">
        <f>IFERROR(L387/M387,"")</f>
        <v/>
      </c>
      <c r="O387" s="15" t="n"/>
      <c r="P387" s="15" t="n"/>
      <c r="Q387" s="16">
        <f>IF(A387="","",N(O387)+N(P387))</f>
        <v/>
      </c>
      <c r="R387" s="16">
        <f>IF(A387="","",F387-Q387)</f>
        <v/>
      </c>
      <c r="S387" s="46">
        <f>IFERROR(R387/F387,"")</f>
        <v/>
      </c>
      <c r="T387" s="45" t="n"/>
      <c r="U387" s="45" t="n"/>
      <c r="V387" s="45" t="n"/>
      <c r="W387" s="45" t="n"/>
      <c r="X387" s="45" t="n"/>
      <c r="Y387" s="13" t="n"/>
    </row>
    <row r="388" ht="15" customHeight="1">
      <c r="A388" s="13" t="n"/>
      <c r="B388" s="14">
        <f>IF(A388="","",IF(COUNTIF(lst_Jobs,A388&amp;"")&gt;0,"OK","CHECK"))</f>
        <v/>
      </c>
      <c r="C388" s="14">
        <f>IF(A388="","",IFERROR(INDEX(lst_JobName,MATCH(A388&amp;"",lst_Jobs,0)),""))</f>
        <v/>
      </c>
      <c r="D388" s="14">
        <f>IF(A388="","",IFERROR(INDEX(tbl_Finance[Client],MATCH(A388&amp;"",tbl_Finance[Job Number],0)),""))</f>
        <v/>
      </c>
      <c r="E388" s="44">
        <f>IF(A388="","",COUNTIFS(tbl_Finance[Job Number],A388&amp;"",tbl_Finance[Ex GST],"&lt;&gt;"))</f>
        <v/>
      </c>
      <c r="F388" s="16">
        <f>IF(A388="","",SUMIFS(tbl_Finance[Ex GST],tbl_Finance[Job Number],A388&amp;""))</f>
        <v/>
      </c>
      <c r="G388" s="14">
        <f>IF(A388="","",IFERROR(INDEX(tbl_Finance[Cost Centre],MATCH(A388&amp;"",tbl_Finance[Job Number],0)),"not invoiced yet"))</f>
        <v/>
      </c>
      <c r="H388" s="11" t="n"/>
      <c r="I388" s="13" t="n"/>
      <c r="J388" s="13" t="n"/>
      <c r="K388" s="13" t="n"/>
      <c r="L388" s="15" t="n"/>
      <c r="M388" s="16">
        <f>IF(A388="","",F388+N(L388))</f>
        <v/>
      </c>
      <c r="N388" s="46">
        <f>IFERROR(L388/M388,"")</f>
        <v/>
      </c>
      <c r="O388" s="15" t="n"/>
      <c r="P388" s="15" t="n"/>
      <c r="Q388" s="16">
        <f>IF(A388="","",N(O388)+N(P388))</f>
        <v/>
      </c>
      <c r="R388" s="16">
        <f>IF(A388="","",F388-Q388)</f>
        <v/>
      </c>
      <c r="S388" s="46">
        <f>IFERROR(R388/F388,"")</f>
        <v/>
      </c>
      <c r="T388" s="45" t="n"/>
      <c r="U388" s="45" t="n"/>
      <c r="V388" s="45" t="n"/>
      <c r="W388" s="45" t="n"/>
      <c r="X388" s="45" t="n"/>
      <c r="Y388" s="13" t="n"/>
    </row>
    <row r="389" ht="15" customHeight="1">
      <c r="A389" s="13" t="n"/>
      <c r="B389" s="14">
        <f>IF(A389="","",IF(COUNTIF(lst_Jobs,A389&amp;"")&gt;0,"OK","CHECK"))</f>
        <v/>
      </c>
      <c r="C389" s="14">
        <f>IF(A389="","",IFERROR(INDEX(lst_JobName,MATCH(A389&amp;"",lst_Jobs,0)),""))</f>
        <v/>
      </c>
      <c r="D389" s="14">
        <f>IF(A389="","",IFERROR(INDEX(tbl_Finance[Client],MATCH(A389&amp;"",tbl_Finance[Job Number],0)),""))</f>
        <v/>
      </c>
      <c r="E389" s="44">
        <f>IF(A389="","",COUNTIFS(tbl_Finance[Job Number],A389&amp;"",tbl_Finance[Ex GST],"&lt;&gt;"))</f>
        <v/>
      </c>
      <c r="F389" s="16">
        <f>IF(A389="","",SUMIFS(tbl_Finance[Ex GST],tbl_Finance[Job Number],A389&amp;""))</f>
        <v/>
      </c>
      <c r="G389" s="14">
        <f>IF(A389="","",IFERROR(INDEX(tbl_Finance[Cost Centre],MATCH(A389&amp;"",tbl_Finance[Job Number],0)),"not invoiced yet"))</f>
        <v/>
      </c>
      <c r="H389" s="11" t="n"/>
      <c r="I389" s="13" t="n"/>
      <c r="J389" s="13" t="n"/>
      <c r="K389" s="13" t="n"/>
      <c r="L389" s="15" t="n"/>
      <c r="M389" s="16">
        <f>IF(A389="","",F389+N(L389))</f>
        <v/>
      </c>
      <c r="N389" s="46">
        <f>IFERROR(L389/M389,"")</f>
        <v/>
      </c>
      <c r="O389" s="15" t="n"/>
      <c r="P389" s="15" t="n"/>
      <c r="Q389" s="16">
        <f>IF(A389="","",N(O389)+N(P389))</f>
        <v/>
      </c>
      <c r="R389" s="16">
        <f>IF(A389="","",F389-Q389)</f>
        <v/>
      </c>
      <c r="S389" s="46">
        <f>IFERROR(R389/F389,"")</f>
        <v/>
      </c>
      <c r="T389" s="45" t="n"/>
      <c r="U389" s="45" t="n"/>
      <c r="V389" s="45" t="n"/>
      <c r="W389" s="45" t="n"/>
      <c r="X389" s="45" t="n"/>
      <c r="Y389" s="13" t="n"/>
    </row>
    <row r="390" ht="15" customHeight="1">
      <c r="A390" s="13" t="n"/>
      <c r="B390" s="14">
        <f>IF(A390="","",IF(COUNTIF(lst_Jobs,A390&amp;"")&gt;0,"OK","CHECK"))</f>
        <v/>
      </c>
      <c r="C390" s="14">
        <f>IF(A390="","",IFERROR(INDEX(lst_JobName,MATCH(A390&amp;"",lst_Jobs,0)),""))</f>
        <v/>
      </c>
      <c r="D390" s="14">
        <f>IF(A390="","",IFERROR(INDEX(tbl_Finance[Client],MATCH(A390&amp;"",tbl_Finance[Job Number],0)),""))</f>
        <v/>
      </c>
      <c r="E390" s="44">
        <f>IF(A390="","",COUNTIFS(tbl_Finance[Job Number],A390&amp;"",tbl_Finance[Ex GST],"&lt;&gt;"))</f>
        <v/>
      </c>
      <c r="F390" s="16">
        <f>IF(A390="","",SUMIFS(tbl_Finance[Ex GST],tbl_Finance[Job Number],A390&amp;""))</f>
        <v/>
      </c>
      <c r="G390" s="14">
        <f>IF(A390="","",IFERROR(INDEX(tbl_Finance[Cost Centre],MATCH(A390&amp;"",tbl_Finance[Job Number],0)),"not invoiced yet"))</f>
        <v/>
      </c>
      <c r="H390" s="11" t="n"/>
      <c r="I390" s="13" t="n"/>
      <c r="J390" s="13" t="n"/>
      <c r="K390" s="13" t="n"/>
      <c r="L390" s="15" t="n"/>
      <c r="M390" s="16">
        <f>IF(A390="","",F390+N(L390))</f>
        <v/>
      </c>
      <c r="N390" s="46">
        <f>IFERROR(L390/M390,"")</f>
        <v/>
      </c>
      <c r="O390" s="15" t="n"/>
      <c r="P390" s="15" t="n"/>
      <c r="Q390" s="16">
        <f>IF(A390="","",N(O390)+N(P390))</f>
        <v/>
      </c>
      <c r="R390" s="16">
        <f>IF(A390="","",F390-Q390)</f>
        <v/>
      </c>
      <c r="S390" s="46">
        <f>IFERROR(R390/F390,"")</f>
        <v/>
      </c>
      <c r="T390" s="45" t="n"/>
      <c r="U390" s="45" t="n"/>
      <c r="V390" s="45" t="n"/>
      <c r="W390" s="45" t="n"/>
      <c r="X390" s="45" t="n"/>
      <c r="Y390" s="13" t="n"/>
    </row>
    <row r="391" ht="15" customHeight="1">
      <c r="A391" s="13" t="n"/>
      <c r="B391" s="14">
        <f>IF(A391="","",IF(COUNTIF(lst_Jobs,A391&amp;"")&gt;0,"OK","CHECK"))</f>
        <v/>
      </c>
      <c r="C391" s="14">
        <f>IF(A391="","",IFERROR(INDEX(lst_JobName,MATCH(A391&amp;"",lst_Jobs,0)),""))</f>
        <v/>
      </c>
      <c r="D391" s="14">
        <f>IF(A391="","",IFERROR(INDEX(tbl_Finance[Client],MATCH(A391&amp;"",tbl_Finance[Job Number],0)),""))</f>
        <v/>
      </c>
      <c r="E391" s="44">
        <f>IF(A391="","",COUNTIFS(tbl_Finance[Job Number],A391&amp;"",tbl_Finance[Ex GST],"&lt;&gt;"))</f>
        <v/>
      </c>
      <c r="F391" s="16">
        <f>IF(A391="","",SUMIFS(tbl_Finance[Ex GST],tbl_Finance[Job Number],A391&amp;""))</f>
        <v/>
      </c>
      <c r="G391" s="14">
        <f>IF(A391="","",IFERROR(INDEX(tbl_Finance[Cost Centre],MATCH(A391&amp;"",tbl_Finance[Job Number],0)),"not invoiced yet"))</f>
        <v/>
      </c>
      <c r="H391" s="11" t="n"/>
      <c r="I391" s="13" t="n"/>
      <c r="J391" s="13" t="n"/>
      <c r="K391" s="13" t="n"/>
      <c r="L391" s="15" t="n"/>
      <c r="M391" s="16">
        <f>IF(A391="","",F391+N(L391))</f>
        <v/>
      </c>
      <c r="N391" s="46">
        <f>IFERROR(L391/M391,"")</f>
        <v/>
      </c>
      <c r="O391" s="15" t="n"/>
      <c r="P391" s="15" t="n"/>
      <c r="Q391" s="16">
        <f>IF(A391="","",N(O391)+N(P391))</f>
        <v/>
      </c>
      <c r="R391" s="16">
        <f>IF(A391="","",F391-Q391)</f>
        <v/>
      </c>
      <c r="S391" s="46">
        <f>IFERROR(R391/F391,"")</f>
        <v/>
      </c>
      <c r="T391" s="45" t="n"/>
      <c r="U391" s="45" t="n"/>
      <c r="V391" s="45" t="n"/>
      <c r="W391" s="45" t="n"/>
      <c r="X391" s="45" t="n"/>
      <c r="Y391" s="13" t="n"/>
    </row>
    <row r="392" ht="15" customHeight="1">
      <c r="A392" s="13" t="n"/>
      <c r="B392" s="14">
        <f>IF(A392="","",IF(COUNTIF(lst_Jobs,A392&amp;"")&gt;0,"OK","CHECK"))</f>
        <v/>
      </c>
      <c r="C392" s="14">
        <f>IF(A392="","",IFERROR(INDEX(lst_JobName,MATCH(A392&amp;"",lst_Jobs,0)),""))</f>
        <v/>
      </c>
      <c r="D392" s="14">
        <f>IF(A392="","",IFERROR(INDEX(tbl_Finance[Client],MATCH(A392&amp;"",tbl_Finance[Job Number],0)),""))</f>
        <v/>
      </c>
      <c r="E392" s="44">
        <f>IF(A392="","",COUNTIFS(tbl_Finance[Job Number],A392&amp;"",tbl_Finance[Ex GST],"&lt;&gt;"))</f>
        <v/>
      </c>
      <c r="F392" s="16">
        <f>IF(A392="","",SUMIFS(tbl_Finance[Ex GST],tbl_Finance[Job Number],A392&amp;""))</f>
        <v/>
      </c>
      <c r="G392" s="14">
        <f>IF(A392="","",IFERROR(INDEX(tbl_Finance[Cost Centre],MATCH(A392&amp;"",tbl_Finance[Job Number],0)),"not invoiced yet"))</f>
        <v/>
      </c>
      <c r="H392" s="11" t="n"/>
      <c r="I392" s="13" t="n"/>
      <c r="J392" s="13" t="n"/>
      <c r="K392" s="13" t="n"/>
      <c r="L392" s="15" t="n"/>
      <c r="M392" s="16">
        <f>IF(A392="","",F392+N(L392))</f>
        <v/>
      </c>
      <c r="N392" s="46">
        <f>IFERROR(L392/M392,"")</f>
        <v/>
      </c>
      <c r="O392" s="15" t="n"/>
      <c r="P392" s="15" t="n"/>
      <c r="Q392" s="16">
        <f>IF(A392="","",N(O392)+N(P392))</f>
        <v/>
      </c>
      <c r="R392" s="16">
        <f>IF(A392="","",F392-Q392)</f>
        <v/>
      </c>
      <c r="S392" s="46">
        <f>IFERROR(R392/F392,"")</f>
        <v/>
      </c>
      <c r="T392" s="45" t="n"/>
      <c r="U392" s="45" t="n"/>
      <c r="V392" s="45" t="n"/>
      <c r="W392" s="45" t="n"/>
      <c r="X392" s="45" t="n"/>
      <c r="Y392" s="13" t="n"/>
    </row>
    <row r="393" ht="15" customHeight="1">
      <c r="A393" s="13" t="n"/>
      <c r="B393" s="14">
        <f>IF(A393="","",IF(COUNTIF(lst_Jobs,A393&amp;"")&gt;0,"OK","CHECK"))</f>
        <v/>
      </c>
      <c r="C393" s="14">
        <f>IF(A393="","",IFERROR(INDEX(lst_JobName,MATCH(A393&amp;"",lst_Jobs,0)),""))</f>
        <v/>
      </c>
      <c r="D393" s="14">
        <f>IF(A393="","",IFERROR(INDEX(tbl_Finance[Client],MATCH(A393&amp;"",tbl_Finance[Job Number],0)),""))</f>
        <v/>
      </c>
      <c r="E393" s="44">
        <f>IF(A393="","",COUNTIFS(tbl_Finance[Job Number],A393&amp;"",tbl_Finance[Ex GST],"&lt;&gt;"))</f>
        <v/>
      </c>
      <c r="F393" s="16">
        <f>IF(A393="","",SUMIFS(tbl_Finance[Ex GST],tbl_Finance[Job Number],A393&amp;""))</f>
        <v/>
      </c>
      <c r="G393" s="14">
        <f>IF(A393="","",IFERROR(INDEX(tbl_Finance[Cost Centre],MATCH(A393&amp;"",tbl_Finance[Job Number],0)),"not invoiced yet"))</f>
        <v/>
      </c>
      <c r="H393" s="11" t="n"/>
      <c r="I393" s="13" t="n"/>
      <c r="J393" s="13" t="n"/>
      <c r="K393" s="13" t="n"/>
      <c r="L393" s="15" t="n"/>
      <c r="M393" s="16">
        <f>IF(A393="","",F393+N(L393))</f>
        <v/>
      </c>
      <c r="N393" s="46">
        <f>IFERROR(L393/M393,"")</f>
        <v/>
      </c>
      <c r="O393" s="15" t="n"/>
      <c r="P393" s="15" t="n"/>
      <c r="Q393" s="16">
        <f>IF(A393="","",N(O393)+N(P393))</f>
        <v/>
      </c>
      <c r="R393" s="16">
        <f>IF(A393="","",F393-Q393)</f>
        <v/>
      </c>
      <c r="S393" s="46">
        <f>IFERROR(R393/F393,"")</f>
        <v/>
      </c>
      <c r="T393" s="45" t="n"/>
      <c r="U393" s="45" t="n"/>
      <c r="V393" s="45" t="n"/>
      <c r="W393" s="45" t="n"/>
      <c r="X393" s="45" t="n"/>
      <c r="Y393" s="13" t="n"/>
    </row>
    <row r="394" ht="15" customHeight="1">
      <c r="A394" s="13" t="n"/>
      <c r="B394" s="14">
        <f>IF(A394="","",IF(COUNTIF(lst_Jobs,A394&amp;"")&gt;0,"OK","CHECK"))</f>
        <v/>
      </c>
      <c r="C394" s="14">
        <f>IF(A394="","",IFERROR(INDEX(lst_JobName,MATCH(A394&amp;"",lst_Jobs,0)),""))</f>
        <v/>
      </c>
      <c r="D394" s="14">
        <f>IF(A394="","",IFERROR(INDEX(tbl_Finance[Client],MATCH(A394&amp;"",tbl_Finance[Job Number],0)),""))</f>
        <v/>
      </c>
      <c r="E394" s="44">
        <f>IF(A394="","",COUNTIFS(tbl_Finance[Job Number],A394&amp;"",tbl_Finance[Ex GST],"&lt;&gt;"))</f>
        <v/>
      </c>
      <c r="F394" s="16">
        <f>IF(A394="","",SUMIFS(tbl_Finance[Ex GST],tbl_Finance[Job Number],A394&amp;""))</f>
        <v/>
      </c>
      <c r="G394" s="14">
        <f>IF(A394="","",IFERROR(INDEX(tbl_Finance[Cost Centre],MATCH(A394&amp;"",tbl_Finance[Job Number],0)),"not invoiced yet"))</f>
        <v/>
      </c>
      <c r="H394" s="11" t="n"/>
      <c r="I394" s="13" t="n"/>
      <c r="J394" s="13" t="n"/>
      <c r="K394" s="13" t="n"/>
      <c r="L394" s="15" t="n"/>
      <c r="M394" s="16">
        <f>IF(A394="","",F394+N(L394))</f>
        <v/>
      </c>
      <c r="N394" s="46">
        <f>IFERROR(L394/M394,"")</f>
        <v/>
      </c>
      <c r="O394" s="15" t="n"/>
      <c r="P394" s="15" t="n"/>
      <c r="Q394" s="16">
        <f>IF(A394="","",N(O394)+N(P394))</f>
        <v/>
      </c>
      <c r="R394" s="16">
        <f>IF(A394="","",F394-Q394)</f>
        <v/>
      </c>
      <c r="S394" s="46">
        <f>IFERROR(R394/F394,"")</f>
        <v/>
      </c>
      <c r="T394" s="45" t="n"/>
      <c r="U394" s="45" t="n"/>
      <c r="V394" s="45" t="n"/>
      <c r="W394" s="45" t="n"/>
      <c r="X394" s="45" t="n"/>
      <c r="Y394" s="13" t="n"/>
    </row>
    <row r="395" ht="15" customHeight="1">
      <c r="A395" s="13" t="n"/>
      <c r="B395" s="14">
        <f>IF(A395="","",IF(COUNTIF(lst_Jobs,A395&amp;"")&gt;0,"OK","CHECK"))</f>
        <v/>
      </c>
      <c r="C395" s="14">
        <f>IF(A395="","",IFERROR(INDEX(lst_JobName,MATCH(A395&amp;"",lst_Jobs,0)),""))</f>
        <v/>
      </c>
      <c r="D395" s="14">
        <f>IF(A395="","",IFERROR(INDEX(tbl_Finance[Client],MATCH(A395&amp;"",tbl_Finance[Job Number],0)),""))</f>
        <v/>
      </c>
      <c r="E395" s="44">
        <f>IF(A395="","",COUNTIFS(tbl_Finance[Job Number],A395&amp;"",tbl_Finance[Ex GST],"&lt;&gt;"))</f>
        <v/>
      </c>
      <c r="F395" s="16">
        <f>IF(A395="","",SUMIFS(tbl_Finance[Ex GST],tbl_Finance[Job Number],A395&amp;""))</f>
        <v/>
      </c>
      <c r="G395" s="14">
        <f>IF(A395="","",IFERROR(INDEX(tbl_Finance[Cost Centre],MATCH(A395&amp;"",tbl_Finance[Job Number],0)),"not invoiced yet"))</f>
        <v/>
      </c>
      <c r="H395" s="11" t="n"/>
      <c r="I395" s="13" t="n"/>
      <c r="J395" s="13" t="n"/>
      <c r="K395" s="13" t="n"/>
      <c r="L395" s="15" t="n"/>
      <c r="M395" s="16">
        <f>IF(A395="","",F395+N(L395))</f>
        <v/>
      </c>
      <c r="N395" s="46">
        <f>IFERROR(L395/M395,"")</f>
        <v/>
      </c>
      <c r="O395" s="15" t="n"/>
      <c r="P395" s="15" t="n"/>
      <c r="Q395" s="16">
        <f>IF(A395="","",N(O395)+N(P395))</f>
        <v/>
      </c>
      <c r="R395" s="16">
        <f>IF(A395="","",F395-Q395)</f>
        <v/>
      </c>
      <c r="S395" s="46">
        <f>IFERROR(R395/F395,"")</f>
        <v/>
      </c>
      <c r="T395" s="45" t="n"/>
      <c r="U395" s="45" t="n"/>
      <c r="V395" s="45" t="n"/>
      <c r="W395" s="45" t="n"/>
      <c r="X395" s="45" t="n"/>
      <c r="Y395" s="13" t="n"/>
    </row>
    <row r="396" ht="15" customHeight="1">
      <c r="A396" s="13" t="n"/>
      <c r="B396" s="14">
        <f>IF(A396="","",IF(COUNTIF(lst_Jobs,A396&amp;"")&gt;0,"OK","CHECK"))</f>
        <v/>
      </c>
      <c r="C396" s="14">
        <f>IF(A396="","",IFERROR(INDEX(lst_JobName,MATCH(A396&amp;"",lst_Jobs,0)),""))</f>
        <v/>
      </c>
      <c r="D396" s="14">
        <f>IF(A396="","",IFERROR(INDEX(tbl_Finance[Client],MATCH(A396&amp;"",tbl_Finance[Job Number],0)),""))</f>
        <v/>
      </c>
      <c r="E396" s="44">
        <f>IF(A396="","",COUNTIFS(tbl_Finance[Job Number],A396&amp;"",tbl_Finance[Ex GST],"&lt;&gt;"))</f>
        <v/>
      </c>
      <c r="F396" s="16">
        <f>IF(A396="","",SUMIFS(tbl_Finance[Ex GST],tbl_Finance[Job Number],A396&amp;""))</f>
        <v/>
      </c>
      <c r="G396" s="14">
        <f>IF(A396="","",IFERROR(INDEX(tbl_Finance[Cost Centre],MATCH(A396&amp;"",tbl_Finance[Job Number],0)),"not invoiced yet"))</f>
        <v/>
      </c>
      <c r="H396" s="11" t="n"/>
      <c r="I396" s="13" t="n"/>
      <c r="J396" s="13" t="n"/>
      <c r="K396" s="13" t="n"/>
      <c r="L396" s="15" t="n"/>
      <c r="M396" s="16">
        <f>IF(A396="","",F396+N(L396))</f>
        <v/>
      </c>
      <c r="N396" s="46">
        <f>IFERROR(L396/M396,"")</f>
        <v/>
      </c>
      <c r="O396" s="15" t="n"/>
      <c r="P396" s="15" t="n"/>
      <c r="Q396" s="16">
        <f>IF(A396="","",N(O396)+N(P396))</f>
        <v/>
      </c>
      <c r="R396" s="16">
        <f>IF(A396="","",F396-Q396)</f>
        <v/>
      </c>
      <c r="S396" s="46">
        <f>IFERROR(R396/F396,"")</f>
        <v/>
      </c>
      <c r="T396" s="45" t="n"/>
      <c r="U396" s="45" t="n"/>
      <c r="V396" s="45" t="n"/>
      <c r="W396" s="45" t="n"/>
      <c r="X396" s="45" t="n"/>
      <c r="Y396" s="13" t="n"/>
    </row>
    <row r="397" ht="15" customHeight="1">
      <c r="A397" s="13" t="n"/>
      <c r="B397" s="14">
        <f>IF(A397="","",IF(COUNTIF(lst_Jobs,A397&amp;"")&gt;0,"OK","CHECK"))</f>
        <v/>
      </c>
      <c r="C397" s="14">
        <f>IF(A397="","",IFERROR(INDEX(lst_JobName,MATCH(A397&amp;"",lst_Jobs,0)),""))</f>
        <v/>
      </c>
      <c r="D397" s="14">
        <f>IF(A397="","",IFERROR(INDEX(tbl_Finance[Client],MATCH(A397&amp;"",tbl_Finance[Job Number],0)),""))</f>
        <v/>
      </c>
      <c r="E397" s="44">
        <f>IF(A397="","",COUNTIFS(tbl_Finance[Job Number],A397&amp;"",tbl_Finance[Ex GST],"&lt;&gt;"))</f>
        <v/>
      </c>
      <c r="F397" s="16">
        <f>IF(A397="","",SUMIFS(tbl_Finance[Ex GST],tbl_Finance[Job Number],A397&amp;""))</f>
        <v/>
      </c>
      <c r="G397" s="14">
        <f>IF(A397="","",IFERROR(INDEX(tbl_Finance[Cost Centre],MATCH(A397&amp;"",tbl_Finance[Job Number],0)),"not invoiced yet"))</f>
        <v/>
      </c>
      <c r="H397" s="11" t="n"/>
      <c r="I397" s="13" t="n"/>
      <c r="J397" s="13" t="n"/>
      <c r="K397" s="13" t="n"/>
      <c r="L397" s="15" t="n"/>
      <c r="M397" s="16">
        <f>IF(A397="","",F397+N(L397))</f>
        <v/>
      </c>
      <c r="N397" s="46">
        <f>IFERROR(L397/M397,"")</f>
        <v/>
      </c>
      <c r="O397" s="15" t="n"/>
      <c r="P397" s="15" t="n"/>
      <c r="Q397" s="16">
        <f>IF(A397="","",N(O397)+N(P397))</f>
        <v/>
      </c>
      <c r="R397" s="16">
        <f>IF(A397="","",F397-Q397)</f>
        <v/>
      </c>
      <c r="S397" s="46">
        <f>IFERROR(R397/F397,"")</f>
        <v/>
      </c>
      <c r="T397" s="45" t="n"/>
      <c r="U397" s="45" t="n"/>
      <c r="V397" s="45" t="n"/>
      <c r="W397" s="45" t="n"/>
      <c r="X397" s="45" t="n"/>
      <c r="Y397" s="13" t="n"/>
    </row>
    <row r="398" ht="15" customHeight="1">
      <c r="A398" s="13" t="n"/>
      <c r="B398" s="14">
        <f>IF(A398="","",IF(COUNTIF(lst_Jobs,A398&amp;"")&gt;0,"OK","CHECK"))</f>
        <v/>
      </c>
      <c r="C398" s="14">
        <f>IF(A398="","",IFERROR(INDEX(lst_JobName,MATCH(A398&amp;"",lst_Jobs,0)),""))</f>
        <v/>
      </c>
      <c r="D398" s="14">
        <f>IF(A398="","",IFERROR(INDEX(tbl_Finance[Client],MATCH(A398&amp;"",tbl_Finance[Job Number],0)),""))</f>
        <v/>
      </c>
      <c r="E398" s="44">
        <f>IF(A398="","",COUNTIFS(tbl_Finance[Job Number],A398&amp;"",tbl_Finance[Ex GST],"&lt;&gt;"))</f>
        <v/>
      </c>
      <c r="F398" s="16">
        <f>IF(A398="","",SUMIFS(tbl_Finance[Ex GST],tbl_Finance[Job Number],A398&amp;""))</f>
        <v/>
      </c>
      <c r="G398" s="14">
        <f>IF(A398="","",IFERROR(INDEX(tbl_Finance[Cost Centre],MATCH(A398&amp;"",tbl_Finance[Job Number],0)),"not invoiced yet"))</f>
        <v/>
      </c>
      <c r="H398" s="11" t="n"/>
      <c r="I398" s="13" t="n"/>
      <c r="J398" s="13" t="n"/>
      <c r="K398" s="13" t="n"/>
      <c r="L398" s="15" t="n"/>
      <c r="M398" s="16">
        <f>IF(A398="","",F398+N(L398))</f>
        <v/>
      </c>
      <c r="N398" s="46">
        <f>IFERROR(L398/M398,"")</f>
        <v/>
      </c>
      <c r="O398" s="15" t="n"/>
      <c r="P398" s="15" t="n"/>
      <c r="Q398" s="16">
        <f>IF(A398="","",N(O398)+N(P398))</f>
        <v/>
      </c>
      <c r="R398" s="16">
        <f>IF(A398="","",F398-Q398)</f>
        <v/>
      </c>
      <c r="S398" s="46">
        <f>IFERROR(R398/F398,"")</f>
        <v/>
      </c>
      <c r="T398" s="45" t="n"/>
      <c r="U398" s="45" t="n"/>
      <c r="V398" s="45" t="n"/>
      <c r="W398" s="45" t="n"/>
      <c r="X398" s="45" t="n"/>
      <c r="Y398" s="13" t="n"/>
    </row>
    <row r="399" ht="15" customHeight="1">
      <c r="A399" s="13" t="n"/>
      <c r="B399" s="14">
        <f>IF(A399="","",IF(COUNTIF(lst_Jobs,A399&amp;"")&gt;0,"OK","CHECK"))</f>
        <v/>
      </c>
      <c r="C399" s="14">
        <f>IF(A399="","",IFERROR(INDEX(lst_JobName,MATCH(A399&amp;"",lst_Jobs,0)),""))</f>
        <v/>
      </c>
      <c r="D399" s="14">
        <f>IF(A399="","",IFERROR(INDEX(tbl_Finance[Client],MATCH(A399&amp;"",tbl_Finance[Job Number],0)),""))</f>
        <v/>
      </c>
      <c r="E399" s="44">
        <f>IF(A399="","",COUNTIFS(tbl_Finance[Job Number],A399&amp;"",tbl_Finance[Ex GST],"&lt;&gt;"))</f>
        <v/>
      </c>
      <c r="F399" s="16">
        <f>IF(A399="","",SUMIFS(tbl_Finance[Ex GST],tbl_Finance[Job Number],A399&amp;""))</f>
        <v/>
      </c>
      <c r="G399" s="14">
        <f>IF(A399="","",IFERROR(INDEX(tbl_Finance[Cost Centre],MATCH(A399&amp;"",tbl_Finance[Job Number],0)),"not invoiced yet"))</f>
        <v/>
      </c>
      <c r="H399" s="11" t="n"/>
      <c r="I399" s="13" t="n"/>
      <c r="J399" s="13" t="n"/>
      <c r="K399" s="13" t="n"/>
      <c r="L399" s="15" t="n"/>
      <c r="M399" s="16">
        <f>IF(A399="","",F399+N(L399))</f>
        <v/>
      </c>
      <c r="N399" s="46">
        <f>IFERROR(L399/M399,"")</f>
        <v/>
      </c>
      <c r="O399" s="15" t="n"/>
      <c r="P399" s="15" t="n"/>
      <c r="Q399" s="16">
        <f>IF(A399="","",N(O399)+N(P399))</f>
        <v/>
      </c>
      <c r="R399" s="16">
        <f>IF(A399="","",F399-Q399)</f>
        <v/>
      </c>
      <c r="S399" s="46">
        <f>IFERROR(R399/F399,"")</f>
        <v/>
      </c>
      <c r="T399" s="45" t="n"/>
      <c r="U399" s="45" t="n"/>
      <c r="V399" s="45" t="n"/>
      <c r="W399" s="45" t="n"/>
      <c r="X399" s="45" t="n"/>
      <c r="Y399" s="13" t="n"/>
    </row>
    <row r="400" ht="15" customHeight="1">
      <c r="A400" s="13" t="n"/>
      <c r="B400" s="14">
        <f>IF(A400="","",IF(COUNTIF(lst_Jobs,A400&amp;"")&gt;0,"OK","CHECK"))</f>
        <v/>
      </c>
      <c r="C400" s="14">
        <f>IF(A400="","",IFERROR(INDEX(lst_JobName,MATCH(A400&amp;"",lst_Jobs,0)),""))</f>
        <v/>
      </c>
      <c r="D400" s="14">
        <f>IF(A400="","",IFERROR(INDEX(tbl_Finance[Client],MATCH(A400&amp;"",tbl_Finance[Job Number],0)),""))</f>
        <v/>
      </c>
      <c r="E400" s="44">
        <f>IF(A400="","",COUNTIFS(tbl_Finance[Job Number],A400&amp;"",tbl_Finance[Ex GST],"&lt;&gt;"))</f>
        <v/>
      </c>
      <c r="F400" s="16">
        <f>IF(A400="","",SUMIFS(tbl_Finance[Ex GST],tbl_Finance[Job Number],A400&amp;""))</f>
        <v/>
      </c>
      <c r="G400" s="14">
        <f>IF(A400="","",IFERROR(INDEX(tbl_Finance[Cost Centre],MATCH(A400&amp;"",tbl_Finance[Job Number],0)),"not invoiced yet"))</f>
        <v/>
      </c>
      <c r="H400" s="11" t="n"/>
      <c r="I400" s="13" t="n"/>
      <c r="J400" s="13" t="n"/>
      <c r="K400" s="13" t="n"/>
      <c r="L400" s="15" t="n"/>
      <c r="M400" s="16">
        <f>IF(A400="","",F400+N(L400))</f>
        <v/>
      </c>
      <c r="N400" s="46">
        <f>IFERROR(L400/M400,"")</f>
        <v/>
      </c>
      <c r="O400" s="15" t="n"/>
      <c r="P400" s="15" t="n"/>
      <c r="Q400" s="16">
        <f>IF(A400="","",N(O400)+N(P400))</f>
        <v/>
      </c>
      <c r="R400" s="16">
        <f>IF(A400="","",F400-Q400)</f>
        <v/>
      </c>
      <c r="S400" s="46">
        <f>IFERROR(R400/F400,"")</f>
        <v/>
      </c>
      <c r="T400" s="45" t="n"/>
      <c r="U400" s="45" t="n"/>
      <c r="V400" s="45" t="n"/>
      <c r="W400" s="45" t="n"/>
      <c r="X400" s="45" t="n"/>
      <c r="Y400" s="13" t="n"/>
    </row>
    <row r="401" ht="15" customHeight="1">
      <c r="A401" s="13" t="n"/>
      <c r="B401" s="14">
        <f>IF(A401="","",IF(COUNTIF(lst_Jobs,A401&amp;"")&gt;0,"OK","CHECK"))</f>
        <v/>
      </c>
      <c r="C401" s="14">
        <f>IF(A401="","",IFERROR(INDEX(lst_JobName,MATCH(A401&amp;"",lst_Jobs,0)),""))</f>
        <v/>
      </c>
      <c r="D401" s="14">
        <f>IF(A401="","",IFERROR(INDEX(tbl_Finance[Client],MATCH(A401&amp;"",tbl_Finance[Job Number],0)),""))</f>
        <v/>
      </c>
      <c r="E401" s="44">
        <f>IF(A401="","",COUNTIFS(tbl_Finance[Job Number],A401&amp;"",tbl_Finance[Ex GST],"&lt;&gt;"))</f>
        <v/>
      </c>
      <c r="F401" s="16">
        <f>IF(A401="","",SUMIFS(tbl_Finance[Ex GST],tbl_Finance[Job Number],A401&amp;""))</f>
        <v/>
      </c>
      <c r="G401" s="14">
        <f>IF(A401="","",IFERROR(INDEX(tbl_Finance[Cost Centre],MATCH(A401&amp;"",tbl_Finance[Job Number],0)),"not invoiced yet"))</f>
        <v/>
      </c>
      <c r="H401" s="11" t="n"/>
      <c r="I401" s="13" t="n"/>
      <c r="J401" s="13" t="n"/>
      <c r="K401" s="13" t="n"/>
      <c r="L401" s="15" t="n"/>
      <c r="M401" s="16">
        <f>IF(A401="","",F401+N(L401))</f>
        <v/>
      </c>
      <c r="N401" s="46">
        <f>IFERROR(L401/M401,"")</f>
        <v/>
      </c>
      <c r="O401" s="15" t="n"/>
      <c r="P401" s="15" t="n"/>
      <c r="Q401" s="16">
        <f>IF(A401="","",N(O401)+N(P401))</f>
        <v/>
      </c>
      <c r="R401" s="16">
        <f>IF(A401="","",F401-Q401)</f>
        <v/>
      </c>
      <c r="S401" s="46">
        <f>IFERROR(R401/F401,"")</f>
        <v/>
      </c>
      <c r="T401" s="45" t="n"/>
      <c r="U401" s="45" t="n"/>
      <c r="V401" s="45" t="n"/>
      <c r="W401" s="45" t="n"/>
      <c r="X401" s="45" t="n"/>
      <c r="Y401" s="13" t="n"/>
    </row>
    <row r="402" ht="15" customHeight="1">
      <c r="A402" s="13" t="n"/>
      <c r="B402" s="14">
        <f>IF(A402="","",IF(COUNTIF(lst_Jobs,A402&amp;"")&gt;0,"OK","CHECK"))</f>
        <v/>
      </c>
      <c r="C402" s="14">
        <f>IF(A402="","",IFERROR(INDEX(lst_JobName,MATCH(A402&amp;"",lst_Jobs,0)),""))</f>
        <v/>
      </c>
      <c r="D402" s="14">
        <f>IF(A402="","",IFERROR(INDEX(tbl_Finance[Client],MATCH(A402&amp;"",tbl_Finance[Job Number],0)),""))</f>
        <v/>
      </c>
      <c r="E402" s="44">
        <f>IF(A402="","",COUNTIFS(tbl_Finance[Job Number],A402&amp;"",tbl_Finance[Ex GST],"&lt;&gt;"))</f>
        <v/>
      </c>
      <c r="F402" s="16">
        <f>IF(A402="","",SUMIFS(tbl_Finance[Ex GST],tbl_Finance[Job Number],A402&amp;""))</f>
        <v/>
      </c>
      <c r="G402" s="14">
        <f>IF(A402="","",IFERROR(INDEX(tbl_Finance[Cost Centre],MATCH(A402&amp;"",tbl_Finance[Job Number],0)),"not invoiced yet"))</f>
        <v/>
      </c>
      <c r="H402" s="11" t="n"/>
      <c r="I402" s="13" t="n"/>
      <c r="J402" s="13" t="n"/>
      <c r="K402" s="13" t="n"/>
      <c r="L402" s="15" t="n"/>
      <c r="M402" s="16">
        <f>IF(A402="","",F402+N(L402))</f>
        <v/>
      </c>
      <c r="N402" s="46">
        <f>IFERROR(L402/M402,"")</f>
        <v/>
      </c>
      <c r="O402" s="15" t="n"/>
      <c r="P402" s="15" t="n"/>
      <c r="Q402" s="16">
        <f>IF(A402="","",N(O402)+N(P402))</f>
        <v/>
      </c>
      <c r="R402" s="16">
        <f>IF(A402="","",F402-Q402)</f>
        <v/>
      </c>
      <c r="S402" s="46">
        <f>IFERROR(R402/F402,"")</f>
        <v/>
      </c>
      <c r="T402" s="45" t="n"/>
      <c r="U402" s="45" t="n"/>
      <c r="V402" s="45" t="n"/>
      <c r="W402" s="45" t="n"/>
      <c r="X402" s="45" t="n"/>
      <c r="Y402" s="13" t="n"/>
    </row>
    <row r="403" ht="15" customHeight="1">
      <c r="A403" s="13" t="n"/>
      <c r="B403" s="14">
        <f>IF(A403="","",IF(COUNTIF(lst_Jobs,A403&amp;"")&gt;0,"OK","CHECK"))</f>
        <v/>
      </c>
      <c r="C403" s="14">
        <f>IF(A403="","",IFERROR(INDEX(lst_JobName,MATCH(A403&amp;"",lst_Jobs,0)),""))</f>
        <v/>
      </c>
      <c r="D403" s="14">
        <f>IF(A403="","",IFERROR(INDEX(tbl_Finance[Client],MATCH(A403&amp;"",tbl_Finance[Job Number],0)),""))</f>
        <v/>
      </c>
      <c r="E403" s="44">
        <f>IF(A403="","",COUNTIFS(tbl_Finance[Job Number],A403&amp;"",tbl_Finance[Ex GST],"&lt;&gt;"))</f>
        <v/>
      </c>
      <c r="F403" s="16">
        <f>IF(A403="","",SUMIFS(tbl_Finance[Ex GST],tbl_Finance[Job Number],A403&amp;""))</f>
        <v/>
      </c>
      <c r="G403" s="14">
        <f>IF(A403="","",IFERROR(INDEX(tbl_Finance[Cost Centre],MATCH(A403&amp;"",tbl_Finance[Job Number],0)),"not invoiced yet"))</f>
        <v/>
      </c>
      <c r="H403" s="11" t="n"/>
      <c r="I403" s="13" t="n"/>
      <c r="J403" s="13" t="n"/>
      <c r="K403" s="13" t="n"/>
      <c r="L403" s="15" t="n"/>
      <c r="M403" s="16">
        <f>IF(A403="","",F403+N(L403))</f>
        <v/>
      </c>
      <c r="N403" s="46">
        <f>IFERROR(L403/M403,"")</f>
        <v/>
      </c>
      <c r="O403" s="15" t="n"/>
      <c r="P403" s="15" t="n"/>
      <c r="Q403" s="16">
        <f>IF(A403="","",N(O403)+N(P403))</f>
        <v/>
      </c>
      <c r="R403" s="16">
        <f>IF(A403="","",F403-Q403)</f>
        <v/>
      </c>
      <c r="S403" s="46">
        <f>IFERROR(R403/F403,"")</f>
        <v/>
      </c>
      <c r="T403" s="45" t="n"/>
      <c r="U403" s="45" t="n"/>
      <c r="V403" s="45" t="n"/>
      <c r="W403" s="45" t="n"/>
      <c r="X403" s="45" t="n"/>
      <c r="Y403" s="13" t="n"/>
    </row>
    <row r="404" ht="15" customHeight="1">
      <c r="A404" s="13" t="n"/>
      <c r="B404" s="14">
        <f>IF(A404="","",IF(COUNTIF(lst_Jobs,A404&amp;"")&gt;0,"OK","CHECK"))</f>
        <v/>
      </c>
      <c r="C404" s="14">
        <f>IF(A404="","",IFERROR(INDEX(lst_JobName,MATCH(A404&amp;"",lst_Jobs,0)),""))</f>
        <v/>
      </c>
      <c r="D404" s="14">
        <f>IF(A404="","",IFERROR(INDEX(tbl_Finance[Client],MATCH(A404&amp;"",tbl_Finance[Job Number],0)),""))</f>
        <v/>
      </c>
      <c r="E404" s="44">
        <f>IF(A404="","",COUNTIFS(tbl_Finance[Job Number],A404&amp;"",tbl_Finance[Ex GST],"&lt;&gt;"))</f>
        <v/>
      </c>
      <c r="F404" s="16">
        <f>IF(A404="","",SUMIFS(tbl_Finance[Ex GST],tbl_Finance[Job Number],A404&amp;""))</f>
        <v/>
      </c>
      <c r="G404" s="14">
        <f>IF(A404="","",IFERROR(INDEX(tbl_Finance[Cost Centre],MATCH(A404&amp;"",tbl_Finance[Job Number],0)),"not invoiced yet"))</f>
        <v/>
      </c>
      <c r="H404" s="11" t="n"/>
      <c r="I404" s="13" t="n"/>
      <c r="J404" s="13" t="n"/>
      <c r="K404" s="13" t="n"/>
      <c r="L404" s="15" t="n"/>
      <c r="M404" s="16">
        <f>IF(A404="","",F404+N(L404))</f>
        <v/>
      </c>
      <c r="N404" s="46">
        <f>IFERROR(L404/M404,"")</f>
        <v/>
      </c>
      <c r="O404" s="15" t="n"/>
      <c r="P404" s="15" t="n"/>
      <c r="Q404" s="16">
        <f>IF(A404="","",N(O404)+N(P404))</f>
        <v/>
      </c>
      <c r="R404" s="16">
        <f>IF(A404="","",F404-Q404)</f>
        <v/>
      </c>
      <c r="S404" s="46">
        <f>IFERROR(R404/F404,"")</f>
        <v/>
      </c>
      <c r="T404" s="45" t="n"/>
      <c r="U404" s="45" t="n"/>
      <c r="V404" s="45" t="n"/>
      <c r="W404" s="45" t="n"/>
      <c r="X404" s="45" t="n"/>
      <c r="Y404" s="13" t="n"/>
    </row>
    <row r="405" ht="15" customHeight="1">
      <c r="A405" s="13" t="n"/>
      <c r="B405" s="14">
        <f>IF(A405="","",IF(COUNTIF(lst_Jobs,A405&amp;"")&gt;0,"OK","CHECK"))</f>
        <v/>
      </c>
      <c r="C405" s="14">
        <f>IF(A405="","",IFERROR(INDEX(lst_JobName,MATCH(A405&amp;"",lst_Jobs,0)),""))</f>
        <v/>
      </c>
      <c r="D405" s="14">
        <f>IF(A405="","",IFERROR(INDEX(tbl_Finance[Client],MATCH(A405&amp;"",tbl_Finance[Job Number],0)),""))</f>
        <v/>
      </c>
      <c r="E405" s="44">
        <f>IF(A405="","",COUNTIFS(tbl_Finance[Job Number],A405&amp;"",tbl_Finance[Ex GST],"&lt;&gt;"))</f>
        <v/>
      </c>
      <c r="F405" s="16">
        <f>IF(A405="","",SUMIFS(tbl_Finance[Ex GST],tbl_Finance[Job Number],A405&amp;""))</f>
        <v/>
      </c>
      <c r="G405" s="14">
        <f>IF(A405="","",IFERROR(INDEX(tbl_Finance[Cost Centre],MATCH(A405&amp;"",tbl_Finance[Job Number],0)),"not invoiced yet"))</f>
        <v/>
      </c>
      <c r="H405" s="11" t="n"/>
      <c r="I405" s="13" t="n"/>
      <c r="J405" s="13" t="n"/>
      <c r="K405" s="13" t="n"/>
      <c r="L405" s="15" t="n"/>
      <c r="M405" s="16">
        <f>IF(A405="","",F405+N(L405))</f>
        <v/>
      </c>
      <c r="N405" s="46">
        <f>IFERROR(L405/M405,"")</f>
        <v/>
      </c>
      <c r="O405" s="15" t="n"/>
      <c r="P405" s="15" t="n"/>
      <c r="Q405" s="16">
        <f>IF(A405="","",N(O405)+N(P405))</f>
        <v/>
      </c>
      <c r="R405" s="16">
        <f>IF(A405="","",F405-Q405)</f>
        <v/>
      </c>
      <c r="S405" s="46">
        <f>IFERROR(R405/F405,"")</f>
        <v/>
      </c>
      <c r="T405" s="45" t="n"/>
      <c r="U405" s="45" t="n"/>
      <c r="V405" s="45" t="n"/>
      <c r="W405" s="45" t="n"/>
      <c r="X405" s="45" t="n"/>
      <c r="Y405" s="13" t="n"/>
    </row>
    <row r="406" ht="15" customHeight="1">
      <c r="A406" s="13" t="n"/>
      <c r="B406" s="14">
        <f>IF(A406="","",IF(COUNTIF(lst_Jobs,A406&amp;"")&gt;0,"OK","CHECK"))</f>
        <v/>
      </c>
      <c r="C406" s="14">
        <f>IF(A406="","",IFERROR(INDEX(lst_JobName,MATCH(A406&amp;"",lst_Jobs,0)),""))</f>
        <v/>
      </c>
      <c r="D406" s="14">
        <f>IF(A406="","",IFERROR(INDEX(tbl_Finance[Client],MATCH(A406&amp;"",tbl_Finance[Job Number],0)),""))</f>
        <v/>
      </c>
      <c r="E406" s="44">
        <f>IF(A406="","",COUNTIFS(tbl_Finance[Job Number],A406&amp;"",tbl_Finance[Ex GST],"&lt;&gt;"))</f>
        <v/>
      </c>
      <c r="F406" s="16">
        <f>IF(A406="","",SUMIFS(tbl_Finance[Ex GST],tbl_Finance[Job Number],A406&amp;""))</f>
        <v/>
      </c>
      <c r="G406" s="14">
        <f>IF(A406="","",IFERROR(INDEX(tbl_Finance[Cost Centre],MATCH(A406&amp;"",tbl_Finance[Job Number],0)),"not invoiced yet"))</f>
        <v/>
      </c>
      <c r="H406" s="11" t="n"/>
      <c r="I406" s="13" t="n"/>
      <c r="J406" s="13" t="n"/>
      <c r="K406" s="13" t="n"/>
      <c r="L406" s="15" t="n"/>
      <c r="M406" s="16">
        <f>IF(A406="","",F406+N(L406))</f>
        <v/>
      </c>
      <c r="N406" s="46">
        <f>IFERROR(L406/M406,"")</f>
        <v/>
      </c>
      <c r="O406" s="15" t="n"/>
      <c r="P406" s="15" t="n"/>
      <c r="Q406" s="16">
        <f>IF(A406="","",N(O406)+N(P406))</f>
        <v/>
      </c>
      <c r="R406" s="16">
        <f>IF(A406="","",F406-Q406)</f>
        <v/>
      </c>
      <c r="S406" s="46">
        <f>IFERROR(R406/F406,"")</f>
        <v/>
      </c>
      <c r="T406" s="45" t="n"/>
      <c r="U406" s="45" t="n"/>
      <c r="V406" s="45" t="n"/>
      <c r="W406" s="45" t="n"/>
      <c r="X406" s="45" t="n"/>
      <c r="Y406" s="13" t="n"/>
    </row>
    <row r="407" ht="15" customHeight="1">
      <c r="A407" s="13" t="n"/>
      <c r="B407" s="14">
        <f>IF(A407="","",IF(COUNTIF(lst_Jobs,A407&amp;"")&gt;0,"OK","CHECK"))</f>
        <v/>
      </c>
      <c r="C407" s="14">
        <f>IF(A407="","",IFERROR(INDEX(lst_JobName,MATCH(A407&amp;"",lst_Jobs,0)),""))</f>
        <v/>
      </c>
      <c r="D407" s="14">
        <f>IF(A407="","",IFERROR(INDEX(tbl_Finance[Client],MATCH(A407&amp;"",tbl_Finance[Job Number],0)),""))</f>
        <v/>
      </c>
      <c r="E407" s="44">
        <f>IF(A407="","",COUNTIFS(tbl_Finance[Job Number],A407&amp;"",tbl_Finance[Ex GST],"&lt;&gt;"))</f>
        <v/>
      </c>
      <c r="F407" s="16">
        <f>IF(A407="","",SUMIFS(tbl_Finance[Ex GST],tbl_Finance[Job Number],A407&amp;""))</f>
        <v/>
      </c>
      <c r="G407" s="14">
        <f>IF(A407="","",IFERROR(INDEX(tbl_Finance[Cost Centre],MATCH(A407&amp;"",tbl_Finance[Job Number],0)),"not invoiced yet"))</f>
        <v/>
      </c>
      <c r="H407" s="11" t="n"/>
      <c r="I407" s="13" t="n"/>
      <c r="J407" s="13" t="n"/>
      <c r="K407" s="13" t="n"/>
      <c r="L407" s="15" t="n"/>
      <c r="M407" s="16">
        <f>IF(A407="","",F407+N(L407))</f>
        <v/>
      </c>
      <c r="N407" s="46">
        <f>IFERROR(L407/M407,"")</f>
        <v/>
      </c>
      <c r="O407" s="15" t="n"/>
      <c r="P407" s="15" t="n"/>
      <c r="Q407" s="16">
        <f>IF(A407="","",N(O407)+N(P407))</f>
        <v/>
      </c>
      <c r="R407" s="16">
        <f>IF(A407="","",F407-Q407)</f>
        <v/>
      </c>
      <c r="S407" s="46">
        <f>IFERROR(R407/F407,"")</f>
        <v/>
      </c>
      <c r="T407" s="45" t="n"/>
      <c r="U407" s="45" t="n"/>
      <c r="V407" s="45" t="n"/>
      <c r="W407" s="45" t="n"/>
      <c r="X407" s="45" t="n"/>
      <c r="Y407" s="13" t="n"/>
    </row>
    <row r="408" ht="15" customHeight="1">
      <c r="A408" s="13" t="n"/>
      <c r="B408" s="14">
        <f>IF(A408="","",IF(COUNTIF(lst_Jobs,A408&amp;"")&gt;0,"OK","CHECK"))</f>
        <v/>
      </c>
      <c r="C408" s="14">
        <f>IF(A408="","",IFERROR(INDEX(lst_JobName,MATCH(A408&amp;"",lst_Jobs,0)),""))</f>
        <v/>
      </c>
      <c r="D408" s="14">
        <f>IF(A408="","",IFERROR(INDEX(tbl_Finance[Client],MATCH(A408&amp;"",tbl_Finance[Job Number],0)),""))</f>
        <v/>
      </c>
      <c r="E408" s="44">
        <f>IF(A408="","",COUNTIFS(tbl_Finance[Job Number],A408&amp;"",tbl_Finance[Ex GST],"&lt;&gt;"))</f>
        <v/>
      </c>
      <c r="F408" s="16">
        <f>IF(A408="","",SUMIFS(tbl_Finance[Ex GST],tbl_Finance[Job Number],A408&amp;""))</f>
        <v/>
      </c>
      <c r="G408" s="14">
        <f>IF(A408="","",IFERROR(INDEX(tbl_Finance[Cost Centre],MATCH(A408&amp;"",tbl_Finance[Job Number],0)),"not invoiced yet"))</f>
        <v/>
      </c>
      <c r="H408" s="11" t="n"/>
      <c r="I408" s="13" t="n"/>
      <c r="J408" s="13" t="n"/>
      <c r="K408" s="13" t="n"/>
      <c r="L408" s="15" t="n"/>
      <c r="M408" s="16">
        <f>IF(A408="","",F408+N(L408))</f>
        <v/>
      </c>
      <c r="N408" s="46">
        <f>IFERROR(L408/M408,"")</f>
        <v/>
      </c>
      <c r="O408" s="15" t="n"/>
      <c r="P408" s="15" t="n"/>
      <c r="Q408" s="16">
        <f>IF(A408="","",N(O408)+N(P408))</f>
        <v/>
      </c>
      <c r="R408" s="16">
        <f>IF(A408="","",F408-Q408)</f>
        <v/>
      </c>
      <c r="S408" s="46">
        <f>IFERROR(R408/F408,"")</f>
        <v/>
      </c>
      <c r="T408" s="45" t="n"/>
      <c r="U408" s="45" t="n"/>
      <c r="V408" s="45" t="n"/>
      <c r="W408" s="45" t="n"/>
      <c r="X408" s="45" t="n"/>
      <c r="Y408" s="13" t="n"/>
    </row>
    <row r="409" ht="15" customHeight="1">
      <c r="A409" s="13" t="n"/>
      <c r="B409" s="14">
        <f>IF(A409="","",IF(COUNTIF(lst_Jobs,A409&amp;"")&gt;0,"OK","CHECK"))</f>
        <v/>
      </c>
      <c r="C409" s="14">
        <f>IF(A409="","",IFERROR(INDEX(lst_JobName,MATCH(A409&amp;"",lst_Jobs,0)),""))</f>
        <v/>
      </c>
      <c r="D409" s="14">
        <f>IF(A409="","",IFERROR(INDEX(tbl_Finance[Client],MATCH(A409&amp;"",tbl_Finance[Job Number],0)),""))</f>
        <v/>
      </c>
      <c r="E409" s="44">
        <f>IF(A409="","",COUNTIFS(tbl_Finance[Job Number],A409&amp;"",tbl_Finance[Ex GST],"&lt;&gt;"))</f>
        <v/>
      </c>
      <c r="F409" s="16">
        <f>IF(A409="","",SUMIFS(tbl_Finance[Ex GST],tbl_Finance[Job Number],A409&amp;""))</f>
        <v/>
      </c>
      <c r="G409" s="14">
        <f>IF(A409="","",IFERROR(INDEX(tbl_Finance[Cost Centre],MATCH(A409&amp;"",tbl_Finance[Job Number],0)),"not invoiced yet"))</f>
        <v/>
      </c>
      <c r="H409" s="11" t="n"/>
      <c r="I409" s="13" t="n"/>
      <c r="J409" s="13" t="n"/>
      <c r="K409" s="13" t="n"/>
      <c r="L409" s="15" t="n"/>
      <c r="M409" s="16">
        <f>IF(A409="","",F409+N(L409))</f>
        <v/>
      </c>
      <c r="N409" s="46">
        <f>IFERROR(L409/M409,"")</f>
        <v/>
      </c>
      <c r="O409" s="15" t="n"/>
      <c r="P409" s="15" t="n"/>
      <c r="Q409" s="16">
        <f>IF(A409="","",N(O409)+N(P409))</f>
        <v/>
      </c>
      <c r="R409" s="16">
        <f>IF(A409="","",F409-Q409)</f>
        <v/>
      </c>
      <c r="S409" s="46">
        <f>IFERROR(R409/F409,"")</f>
        <v/>
      </c>
      <c r="T409" s="45" t="n"/>
      <c r="U409" s="45" t="n"/>
      <c r="V409" s="45" t="n"/>
      <c r="W409" s="45" t="n"/>
      <c r="X409" s="45" t="n"/>
      <c r="Y409" s="13" t="n"/>
    </row>
    <row r="410" ht="15" customHeight="1">
      <c r="A410" s="13" t="n"/>
      <c r="B410" s="14">
        <f>IF(A410="","",IF(COUNTIF(lst_Jobs,A410&amp;"")&gt;0,"OK","CHECK"))</f>
        <v/>
      </c>
      <c r="C410" s="14">
        <f>IF(A410="","",IFERROR(INDEX(lst_JobName,MATCH(A410&amp;"",lst_Jobs,0)),""))</f>
        <v/>
      </c>
      <c r="D410" s="14">
        <f>IF(A410="","",IFERROR(INDEX(tbl_Finance[Client],MATCH(A410&amp;"",tbl_Finance[Job Number],0)),""))</f>
        <v/>
      </c>
      <c r="E410" s="44">
        <f>IF(A410="","",COUNTIFS(tbl_Finance[Job Number],A410&amp;"",tbl_Finance[Ex GST],"&lt;&gt;"))</f>
        <v/>
      </c>
      <c r="F410" s="16">
        <f>IF(A410="","",SUMIFS(tbl_Finance[Ex GST],tbl_Finance[Job Number],A410&amp;""))</f>
        <v/>
      </c>
      <c r="G410" s="14">
        <f>IF(A410="","",IFERROR(INDEX(tbl_Finance[Cost Centre],MATCH(A410&amp;"",tbl_Finance[Job Number],0)),"not invoiced yet"))</f>
        <v/>
      </c>
      <c r="H410" s="11" t="n"/>
      <c r="I410" s="13" t="n"/>
      <c r="J410" s="13" t="n"/>
      <c r="K410" s="13" t="n"/>
      <c r="L410" s="15" t="n"/>
      <c r="M410" s="16">
        <f>IF(A410="","",F410+N(L410))</f>
        <v/>
      </c>
      <c r="N410" s="46">
        <f>IFERROR(L410/M410,"")</f>
        <v/>
      </c>
      <c r="O410" s="15" t="n"/>
      <c r="P410" s="15" t="n"/>
      <c r="Q410" s="16">
        <f>IF(A410="","",N(O410)+N(P410))</f>
        <v/>
      </c>
      <c r="R410" s="16">
        <f>IF(A410="","",F410-Q410)</f>
        <v/>
      </c>
      <c r="S410" s="46">
        <f>IFERROR(R410/F410,"")</f>
        <v/>
      </c>
      <c r="T410" s="45" t="n"/>
      <c r="U410" s="45" t="n"/>
      <c r="V410" s="45" t="n"/>
      <c r="W410" s="45" t="n"/>
      <c r="X410" s="45" t="n"/>
      <c r="Y410" s="13" t="n"/>
    </row>
    <row r="411" ht="15" customHeight="1">
      <c r="A411" s="13" t="n"/>
      <c r="B411" s="14">
        <f>IF(A411="","",IF(COUNTIF(lst_Jobs,A411&amp;"")&gt;0,"OK","CHECK"))</f>
        <v/>
      </c>
      <c r="C411" s="14">
        <f>IF(A411="","",IFERROR(INDEX(lst_JobName,MATCH(A411&amp;"",lst_Jobs,0)),""))</f>
        <v/>
      </c>
      <c r="D411" s="14">
        <f>IF(A411="","",IFERROR(INDEX(tbl_Finance[Client],MATCH(A411&amp;"",tbl_Finance[Job Number],0)),""))</f>
        <v/>
      </c>
      <c r="E411" s="44">
        <f>IF(A411="","",COUNTIFS(tbl_Finance[Job Number],A411&amp;"",tbl_Finance[Ex GST],"&lt;&gt;"))</f>
        <v/>
      </c>
      <c r="F411" s="16">
        <f>IF(A411="","",SUMIFS(tbl_Finance[Ex GST],tbl_Finance[Job Number],A411&amp;""))</f>
        <v/>
      </c>
      <c r="G411" s="14">
        <f>IF(A411="","",IFERROR(INDEX(tbl_Finance[Cost Centre],MATCH(A411&amp;"",tbl_Finance[Job Number],0)),"not invoiced yet"))</f>
        <v/>
      </c>
      <c r="H411" s="11" t="n"/>
      <c r="I411" s="13" t="n"/>
      <c r="J411" s="13" t="n"/>
      <c r="K411" s="13" t="n"/>
      <c r="L411" s="15" t="n"/>
      <c r="M411" s="16">
        <f>IF(A411="","",F411+N(L411))</f>
        <v/>
      </c>
      <c r="N411" s="46">
        <f>IFERROR(L411/M411,"")</f>
        <v/>
      </c>
      <c r="O411" s="15" t="n"/>
      <c r="P411" s="15" t="n"/>
      <c r="Q411" s="16">
        <f>IF(A411="","",N(O411)+N(P411))</f>
        <v/>
      </c>
      <c r="R411" s="16">
        <f>IF(A411="","",F411-Q411)</f>
        <v/>
      </c>
      <c r="S411" s="46">
        <f>IFERROR(R411/F411,"")</f>
        <v/>
      </c>
      <c r="T411" s="45" t="n"/>
      <c r="U411" s="45" t="n"/>
      <c r="V411" s="45" t="n"/>
      <c r="W411" s="45" t="n"/>
      <c r="X411" s="45" t="n"/>
      <c r="Y411" s="13" t="n"/>
    </row>
    <row r="412" ht="15" customHeight="1">
      <c r="A412" s="13" t="n"/>
      <c r="B412" s="14">
        <f>IF(A412="","",IF(COUNTIF(lst_Jobs,A412&amp;"")&gt;0,"OK","CHECK"))</f>
        <v/>
      </c>
      <c r="C412" s="14">
        <f>IF(A412="","",IFERROR(INDEX(lst_JobName,MATCH(A412&amp;"",lst_Jobs,0)),""))</f>
        <v/>
      </c>
      <c r="D412" s="14">
        <f>IF(A412="","",IFERROR(INDEX(tbl_Finance[Client],MATCH(A412&amp;"",tbl_Finance[Job Number],0)),""))</f>
        <v/>
      </c>
      <c r="E412" s="44">
        <f>IF(A412="","",COUNTIFS(tbl_Finance[Job Number],A412&amp;"",tbl_Finance[Ex GST],"&lt;&gt;"))</f>
        <v/>
      </c>
      <c r="F412" s="16">
        <f>IF(A412="","",SUMIFS(tbl_Finance[Ex GST],tbl_Finance[Job Number],A412&amp;""))</f>
        <v/>
      </c>
      <c r="G412" s="14">
        <f>IF(A412="","",IFERROR(INDEX(tbl_Finance[Cost Centre],MATCH(A412&amp;"",tbl_Finance[Job Number],0)),"not invoiced yet"))</f>
        <v/>
      </c>
      <c r="H412" s="11" t="n"/>
      <c r="I412" s="13" t="n"/>
      <c r="J412" s="13" t="n"/>
      <c r="K412" s="13" t="n"/>
      <c r="L412" s="15" t="n"/>
      <c r="M412" s="16">
        <f>IF(A412="","",F412+N(L412))</f>
        <v/>
      </c>
      <c r="N412" s="46">
        <f>IFERROR(L412/M412,"")</f>
        <v/>
      </c>
      <c r="O412" s="15" t="n"/>
      <c r="P412" s="15" t="n"/>
      <c r="Q412" s="16">
        <f>IF(A412="","",N(O412)+N(P412))</f>
        <v/>
      </c>
      <c r="R412" s="16">
        <f>IF(A412="","",F412-Q412)</f>
        <v/>
      </c>
      <c r="S412" s="46">
        <f>IFERROR(R412/F412,"")</f>
        <v/>
      </c>
      <c r="T412" s="45" t="n"/>
      <c r="U412" s="45" t="n"/>
      <c r="V412" s="45" t="n"/>
      <c r="W412" s="45" t="n"/>
      <c r="X412" s="45" t="n"/>
      <c r="Y412" s="13" t="n"/>
    </row>
    <row r="413" ht="15" customHeight="1">
      <c r="A413" s="13" t="n"/>
      <c r="B413" s="14">
        <f>IF(A413="","",IF(COUNTIF(lst_Jobs,A413&amp;"")&gt;0,"OK","CHECK"))</f>
        <v/>
      </c>
      <c r="C413" s="14">
        <f>IF(A413="","",IFERROR(INDEX(lst_JobName,MATCH(A413&amp;"",lst_Jobs,0)),""))</f>
        <v/>
      </c>
      <c r="D413" s="14">
        <f>IF(A413="","",IFERROR(INDEX(tbl_Finance[Client],MATCH(A413&amp;"",tbl_Finance[Job Number],0)),""))</f>
        <v/>
      </c>
      <c r="E413" s="44">
        <f>IF(A413="","",COUNTIFS(tbl_Finance[Job Number],A413&amp;"",tbl_Finance[Ex GST],"&lt;&gt;"))</f>
        <v/>
      </c>
      <c r="F413" s="16">
        <f>IF(A413="","",SUMIFS(tbl_Finance[Ex GST],tbl_Finance[Job Number],A413&amp;""))</f>
        <v/>
      </c>
      <c r="G413" s="14">
        <f>IF(A413="","",IFERROR(INDEX(tbl_Finance[Cost Centre],MATCH(A413&amp;"",tbl_Finance[Job Number],0)),"not invoiced yet"))</f>
        <v/>
      </c>
      <c r="H413" s="11" t="n"/>
      <c r="I413" s="13" t="n"/>
      <c r="J413" s="13" t="n"/>
      <c r="K413" s="13" t="n"/>
      <c r="L413" s="15" t="n"/>
      <c r="M413" s="16">
        <f>IF(A413="","",F413+N(L413))</f>
        <v/>
      </c>
      <c r="N413" s="46">
        <f>IFERROR(L413/M413,"")</f>
        <v/>
      </c>
      <c r="O413" s="15" t="n"/>
      <c r="P413" s="15" t="n"/>
      <c r="Q413" s="16">
        <f>IF(A413="","",N(O413)+N(P413))</f>
        <v/>
      </c>
      <c r="R413" s="16">
        <f>IF(A413="","",F413-Q413)</f>
        <v/>
      </c>
      <c r="S413" s="46">
        <f>IFERROR(R413/F413,"")</f>
        <v/>
      </c>
      <c r="T413" s="45" t="n"/>
      <c r="U413" s="45" t="n"/>
      <c r="V413" s="45" t="n"/>
      <c r="W413" s="45" t="n"/>
      <c r="X413" s="45" t="n"/>
      <c r="Y413" s="13" t="n"/>
    </row>
    <row r="414" ht="15" customHeight="1">
      <c r="A414" s="13" t="n"/>
      <c r="B414" s="14">
        <f>IF(A414="","",IF(COUNTIF(lst_Jobs,A414&amp;"")&gt;0,"OK","CHECK"))</f>
        <v/>
      </c>
      <c r="C414" s="14">
        <f>IF(A414="","",IFERROR(INDEX(lst_JobName,MATCH(A414&amp;"",lst_Jobs,0)),""))</f>
        <v/>
      </c>
      <c r="D414" s="14">
        <f>IF(A414="","",IFERROR(INDEX(tbl_Finance[Client],MATCH(A414&amp;"",tbl_Finance[Job Number],0)),""))</f>
        <v/>
      </c>
      <c r="E414" s="44">
        <f>IF(A414="","",COUNTIFS(tbl_Finance[Job Number],A414&amp;"",tbl_Finance[Ex GST],"&lt;&gt;"))</f>
        <v/>
      </c>
      <c r="F414" s="16">
        <f>IF(A414="","",SUMIFS(tbl_Finance[Ex GST],tbl_Finance[Job Number],A414&amp;""))</f>
        <v/>
      </c>
      <c r="G414" s="14">
        <f>IF(A414="","",IFERROR(INDEX(tbl_Finance[Cost Centre],MATCH(A414&amp;"",tbl_Finance[Job Number],0)),"not invoiced yet"))</f>
        <v/>
      </c>
      <c r="H414" s="11" t="n"/>
      <c r="I414" s="13" t="n"/>
      <c r="J414" s="13" t="n"/>
      <c r="K414" s="13" t="n"/>
      <c r="L414" s="15" t="n"/>
      <c r="M414" s="16">
        <f>IF(A414="","",F414+N(L414))</f>
        <v/>
      </c>
      <c r="N414" s="46">
        <f>IFERROR(L414/M414,"")</f>
        <v/>
      </c>
      <c r="O414" s="15" t="n"/>
      <c r="P414" s="15" t="n"/>
      <c r="Q414" s="16">
        <f>IF(A414="","",N(O414)+N(P414))</f>
        <v/>
      </c>
      <c r="R414" s="16">
        <f>IF(A414="","",F414-Q414)</f>
        <v/>
      </c>
      <c r="S414" s="46">
        <f>IFERROR(R414/F414,"")</f>
        <v/>
      </c>
      <c r="T414" s="45" t="n"/>
      <c r="U414" s="45" t="n"/>
      <c r="V414" s="45" t="n"/>
      <c r="W414" s="45" t="n"/>
      <c r="X414" s="45" t="n"/>
      <c r="Y414" s="13" t="n"/>
    </row>
    <row r="415" ht="15" customHeight="1">
      <c r="A415" s="13" t="n"/>
      <c r="B415" s="14">
        <f>IF(A415="","",IF(COUNTIF(lst_Jobs,A415&amp;"")&gt;0,"OK","CHECK"))</f>
        <v/>
      </c>
      <c r="C415" s="14">
        <f>IF(A415="","",IFERROR(INDEX(lst_JobName,MATCH(A415&amp;"",lst_Jobs,0)),""))</f>
        <v/>
      </c>
      <c r="D415" s="14">
        <f>IF(A415="","",IFERROR(INDEX(tbl_Finance[Client],MATCH(A415&amp;"",tbl_Finance[Job Number],0)),""))</f>
        <v/>
      </c>
      <c r="E415" s="44">
        <f>IF(A415="","",COUNTIFS(tbl_Finance[Job Number],A415&amp;"",tbl_Finance[Ex GST],"&lt;&gt;"))</f>
        <v/>
      </c>
      <c r="F415" s="16">
        <f>IF(A415="","",SUMIFS(tbl_Finance[Ex GST],tbl_Finance[Job Number],A415&amp;""))</f>
        <v/>
      </c>
      <c r="G415" s="14">
        <f>IF(A415="","",IFERROR(INDEX(tbl_Finance[Cost Centre],MATCH(A415&amp;"",tbl_Finance[Job Number],0)),"not invoiced yet"))</f>
        <v/>
      </c>
      <c r="H415" s="11" t="n"/>
      <c r="I415" s="13" t="n"/>
      <c r="J415" s="13" t="n"/>
      <c r="K415" s="13" t="n"/>
      <c r="L415" s="15" t="n"/>
      <c r="M415" s="16">
        <f>IF(A415="","",F415+N(L415))</f>
        <v/>
      </c>
      <c r="N415" s="46">
        <f>IFERROR(L415/M415,"")</f>
        <v/>
      </c>
      <c r="O415" s="15" t="n"/>
      <c r="P415" s="15" t="n"/>
      <c r="Q415" s="16">
        <f>IF(A415="","",N(O415)+N(P415))</f>
        <v/>
      </c>
      <c r="R415" s="16">
        <f>IF(A415="","",F415-Q415)</f>
        <v/>
      </c>
      <c r="S415" s="46">
        <f>IFERROR(R415/F415,"")</f>
        <v/>
      </c>
      <c r="T415" s="45" t="n"/>
      <c r="U415" s="45" t="n"/>
      <c r="V415" s="45" t="n"/>
      <c r="W415" s="45" t="n"/>
      <c r="X415" s="45" t="n"/>
      <c r="Y415" s="13" t="n"/>
    </row>
    <row r="416" ht="15" customHeight="1">
      <c r="A416" s="13" t="n"/>
      <c r="B416" s="14">
        <f>IF(A416="","",IF(COUNTIF(lst_Jobs,A416&amp;"")&gt;0,"OK","CHECK"))</f>
        <v/>
      </c>
      <c r="C416" s="14">
        <f>IF(A416="","",IFERROR(INDEX(lst_JobName,MATCH(A416&amp;"",lst_Jobs,0)),""))</f>
        <v/>
      </c>
      <c r="D416" s="14">
        <f>IF(A416="","",IFERROR(INDEX(tbl_Finance[Client],MATCH(A416&amp;"",tbl_Finance[Job Number],0)),""))</f>
        <v/>
      </c>
      <c r="E416" s="44">
        <f>IF(A416="","",COUNTIFS(tbl_Finance[Job Number],A416&amp;"",tbl_Finance[Ex GST],"&lt;&gt;"))</f>
        <v/>
      </c>
      <c r="F416" s="16">
        <f>IF(A416="","",SUMIFS(tbl_Finance[Ex GST],tbl_Finance[Job Number],A416&amp;""))</f>
        <v/>
      </c>
      <c r="G416" s="14">
        <f>IF(A416="","",IFERROR(INDEX(tbl_Finance[Cost Centre],MATCH(A416&amp;"",tbl_Finance[Job Number],0)),"not invoiced yet"))</f>
        <v/>
      </c>
      <c r="H416" s="11" t="n"/>
      <c r="I416" s="13" t="n"/>
      <c r="J416" s="13" t="n"/>
      <c r="K416" s="13" t="n"/>
      <c r="L416" s="15" t="n"/>
      <c r="M416" s="16">
        <f>IF(A416="","",F416+N(L416))</f>
        <v/>
      </c>
      <c r="N416" s="46">
        <f>IFERROR(L416/M416,"")</f>
        <v/>
      </c>
      <c r="O416" s="15" t="n"/>
      <c r="P416" s="15" t="n"/>
      <c r="Q416" s="16">
        <f>IF(A416="","",N(O416)+N(P416))</f>
        <v/>
      </c>
      <c r="R416" s="16">
        <f>IF(A416="","",F416-Q416)</f>
        <v/>
      </c>
      <c r="S416" s="46">
        <f>IFERROR(R416/F416,"")</f>
        <v/>
      </c>
      <c r="T416" s="45" t="n"/>
      <c r="U416" s="45" t="n"/>
      <c r="V416" s="45" t="n"/>
      <c r="W416" s="45" t="n"/>
      <c r="X416" s="45" t="n"/>
      <c r="Y416" s="13" t="n"/>
    </row>
    <row r="417" ht="15" customHeight="1">
      <c r="A417" s="13" t="n"/>
      <c r="B417" s="14">
        <f>IF(A417="","",IF(COUNTIF(lst_Jobs,A417&amp;"")&gt;0,"OK","CHECK"))</f>
        <v/>
      </c>
      <c r="C417" s="14">
        <f>IF(A417="","",IFERROR(INDEX(lst_JobName,MATCH(A417&amp;"",lst_Jobs,0)),""))</f>
        <v/>
      </c>
      <c r="D417" s="14">
        <f>IF(A417="","",IFERROR(INDEX(tbl_Finance[Client],MATCH(A417&amp;"",tbl_Finance[Job Number],0)),""))</f>
        <v/>
      </c>
      <c r="E417" s="44">
        <f>IF(A417="","",COUNTIFS(tbl_Finance[Job Number],A417&amp;"",tbl_Finance[Ex GST],"&lt;&gt;"))</f>
        <v/>
      </c>
      <c r="F417" s="16">
        <f>IF(A417="","",SUMIFS(tbl_Finance[Ex GST],tbl_Finance[Job Number],A417&amp;""))</f>
        <v/>
      </c>
      <c r="G417" s="14">
        <f>IF(A417="","",IFERROR(INDEX(tbl_Finance[Cost Centre],MATCH(A417&amp;"",tbl_Finance[Job Number],0)),"not invoiced yet"))</f>
        <v/>
      </c>
      <c r="H417" s="11" t="n"/>
      <c r="I417" s="13" t="n"/>
      <c r="J417" s="13" t="n"/>
      <c r="K417" s="13" t="n"/>
      <c r="L417" s="15" t="n"/>
      <c r="M417" s="16">
        <f>IF(A417="","",F417+N(L417))</f>
        <v/>
      </c>
      <c r="N417" s="46">
        <f>IFERROR(L417/M417,"")</f>
        <v/>
      </c>
      <c r="O417" s="15" t="n"/>
      <c r="P417" s="15" t="n"/>
      <c r="Q417" s="16">
        <f>IF(A417="","",N(O417)+N(P417))</f>
        <v/>
      </c>
      <c r="R417" s="16">
        <f>IF(A417="","",F417-Q417)</f>
        <v/>
      </c>
      <c r="S417" s="46">
        <f>IFERROR(R417/F417,"")</f>
        <v/>
      </c>
      <c r="T417" s="45" t="n"/>
      <c r="U417" s="45" t="n"/>
      <c r="V417" s="45" t="n"/>
      <c r="W417" s="45" t="n"/>
      <c r="X417" s="45" t="n"/>
      <c r="Y417" s="13" t="n"/>
    </row>
    <row r="418" ht="15" customHeight="1">
      <c r="A418" s="13" t="n"/>
      <c r="B418" s="14">
        <f>IF(A418="","",IF(COUNTIF(lst_Jobs,A418&amp;"")&gt;0,"OK","CHECK"))</f>
        <v/>
      </c>
      <c r="C418" s="14">
        <f>IF(A418="","",IFERROR(INDEX(lst_JobName,MATCH(A418&amp;"",lst_Jobs,0)),""))</f>
        <v/>
      </c>
      <c r="D418" s="14">
        <f>IF(A418="","",IFERROR(INDEX(tbl_Finance[Client],MATCH(A418&amp;"",tbl_Finance[Job Number],0)),""))</f>
        <v/>
      </c>
      <c r="E418" s="44">
        <f>IF(A418="","",COUNTIFS(tbl_Finance[Job Number],A418&amp;"",tbl_Finance[Ex GST],"&lt;&gt;"))</f>
        <v/>
      </c>
      <c r="F418" s="16">
        <f>IF(A418="","",SUMIFS(tbl_Finance[Ex GST],tbl_Finance[Job Number],A418&amp;""))</f>
        <v/>
      </c>
      <c r="G418" s="14">
        <f>IF(A418="","",IFERROR(INDEX(tbl_Finance[Cost Centre],MATCH(A418&amp;"",tbl_Finance[Job Number],0)),"not invoiced yet"))</f>
        <v/>
      </c>
      <c r="H418" s="11" t="n"/>
      <c r="I418" s="13" t="n"/>
      <c r="J418" s="13" t="n"/>
      <c r="K418" s="13" t="n"/>
      <c r="L418" s="15" t="n"/>
      <c r="M418" s="16">
        <f>IF(A418="","",F418+N(L418))</f>
        <v/>
      </c>
      <c r="N418" s="46">
        <f>IFERROR(L418/M418,"")</f>
        <v/>
      </c>
      <c r="O418" s="15" t="n"/>
      <c r="P418" s="15" t="n"/>
      <c r="Q418" s="16">
        <f>IF(A418="","",N(O418)+N(P418))</f>
        <v/>
      </c>
      <c r="R418" s="16">
        <f>IF(A418="","",F418-Q418)</f>
        <v/>
      </c>
      <c r="S418" s="46">
        <f>IFERROR(R418/F418,"")</f>
        <v/>
      </c>
      <c r="T418" s="45" t="n"/>
      <c r="U418" s="45" t="n"/>
      <c r="V418" s="45" t="n"/>
      <c r="W418" s="45" t="n"/>
      <c r="X418" s="45" t="n"/>
      <c r="Y418" s="13" t="n"/>
    </row>
    <row r="419" ht="15" customHeight="1">
      <c r="A419" s="13" t="n"/>
      <c r="B419" s="14">
        <f>IF(A419="","",IF(COUNTIF(lst_Jobs,A419&amp;"")&gt;0,"OK","CHECK"))</f>
        <v/>
      </c>
      <c r="C419" s="14">
        <f>IF(A419="","",IFERROR(INDEX(lst_JobName,MATCH(A419&amp;"",lst_Jobs,0)),""))</f>
        <v/>
      </c>
      <c r="D419" s="14">
        <f>IF(A419="","",IFERROR(INDEX(tbl_Finance[Client],MATCH(A419&amp;"",tbl_Finance[Job Number],0)),""))</f>
        <v/>
      </c>
      <c r="E419" s="44">
        <f>IF(A419="","",COUNTIFS(tbl_Finance[Job Number],A419&amp;"",tbl_Finance[Ex GST],"&lt;&gt;"))</f>
        <v/>
      </c>
      <c r="F419" s="16">
        <f>IF(A419="","",SUMIFS(tbl_Finance[Ex GST],tbl_Finance[Job Number],A419&amp;""))</f>
        <v/>
      </c>
      <c r="G419" s="14">
        <f>IF(A419="","",IFERROR(INDEX(tbl_Finance[Cost Centre],MATCH(A419&amp;"",tbl_Finance[Job Number],0)),"not invoiced yet"))</f>
        <v/>
      </c>
      <c r="H419" s="11" t="n"/>
      <c r="I419" s="13" t="n"/>
      <c r="J419" s="13" t="n"/>
      <c r="K419" s="13" t="n"/>
      <c r="L419" s="15" t="n"/>
      <c r="M419" s="16">
        <f>IF(A419="","",F419+N(L419))</f>
        <v/>
      </c>
      <c r="N419" s="46">
        <f>IFERROR(L419/M419,"")</f>
        <v/>
      </c>
      <c r="O419" s="15" t="n"/>
      <c r="P419" s="15" t="n"/>
      <c r="Q419" s="16">
        <f>IF(A419="","",N(O419)+N(P419))</f>
        <v/>
      </c>
      <c r="R419" s="16">
        <f>IF(A419="","",F419-Q419)</f>
        <v/>
      </c>
      <c r="S419" s="46">
        <f>IFERROR(R419/F419,"")</f>
        <v/>
      </c>
      <c r="T419" s="45" t="n"/>
      <c r="U419" s="45" t="n"/>
      <c r="V419" s="45" t="n"/>
      <c r="W419" s="45" t="n"/>
      <c r="X419" s="45" t="n"/>
      <c r="Y419" s="13" t="n"/>
    </row>
    <row r="420" ht="15" customHeight="1">
      <c r="A420" s="13" t="n"/>
      <c r="B420" s="14">
        <f>IF(A420="","",IF(COUNTIF(lst_Jobs,A420&amp;"")&gt;0,"OK","CHECK"))</f>
        <v/>
      </c>
      <c r="C420" s="14">
        <f>IF(A420="","",IFERROR(INDEX(lst_JobName,MATCH(A420&amp;"",lst_Jobs,0)),""))</f>
        <v/>
      </c>
      <c r="D420" s="14">
        <f>IF(A420="","",IFERROR(INDEX(tbl_Finance[Client],MATCH(A420&amp;"",tbl_Finance[Job Number],0)),""))</f>
        <v/>
      </c>
      <c r="E420" s="44">
        <f>IF(A420="","",COUNTIFS(tbl_Finance[Job Number],A420&amp;"",tbl_Finance[Ex GST],"&lt;&gt;"))</f>
        <v/>
      </c>
      <c r="F420" s="16">
        <f>IF(A420="","",SUMIFS(tbl_Finance[Ex GST],tbl_Finance[Job Number],A420&amp;""))</f>
        <v/>
      </c>
      <c r="G420" s="14">
        <f>IF(A420="","",IFERROR(INDEX(tbl_Finance[Cost Centre],MATCH(A420&amp;"",tbl_Finance[Job Number],0)),"not invoiced yet"))</f>
        <v/>
      </c>
      <c r="H420" s="11" t="n"/>
      <c r="I420" s="13" t="n"/>
      <c r="J420" s="13" t="n"/>
      <c r="K420" s="13" t="n"/>
      <c r="L420" s="15" t="n"/>
      <c r="M420" s="16">
        <f>IF(A420="","",F420+N(L420))</f>
        <v/>
      </c>
      <c r="N420" s="46">
        <f>IFERROR(L420/M420,"")</f>
        <v/>
      </c>
      <c r="O420" s="15" t="n"/>
      <c r="P420" s="15" t="n"/>
      <c r="Q420" s="16">
        <f>IF(A420="","",N(O420)+N(P420))</f>
        <v/>
      </c>
      <c r="R420" s="16">
        <f>IF(A420="","",F420-Q420)</f>
        <v/>
      </c>
      <c r="S420" s="46">
        <f>IFERROR(R420/F420,"")</f>
        <v/>
      </c>
      <c r="T420" s="45" t="n"/>
      <c r="U420" s="45" t="n"/>
      <c r="V420" s="45" t="n"/>
      <c r="W420" s="45" t="n"/>
      <c r="X420" s="45" t="n"/>
      <c r="Y420" s="13" t="n"/>
    </row>
    <row r="421" ht="15" customHeight="1">
      <c r="A421" s="13" t="n"/>
      <c r="B421" s="14">
        <f>IF(A421="","",IF(COUNTIF(lst_Jobs,A421&amp;"")&gt;0,"OK","CHECK"))</f>
        <v/>
      </c>
      <c r="C421" s="14">
        <f>IF(A421="","",IFERROR(INDEX(lst_JobName,MATCH(A421&amp;"",lst_Jobs,0)),""))</f>
        <v/>
      </c>
      <c r="D421" s="14">
        <f>IF(A421="","",IFERROR(INDEX(tbl_Finance[Client],MATCH(A421&amp;"",tbl_Finance[Job Number],0)),""))</f>
        <v/>
      </c>
      <c r="E421" s="44">
        <f>IF(A421="","",COUNTIFS(tbl_Finance[Job Number],A421&amp;"",tbl_Finance[Ex GST],"&lt;&gt;"))</f>
        <v/>
      </c>
      <c r="F421" s="16">
        <f>IF(A421="","",SUMIFS(tbl_Finance[Ex GST],tbl_Finance[Job Number],A421&amp;""))</f>
        <v/>
      </c>
      <c r="G421" s="14">
        <f>IF(A421="","",IFERROR(INDEX(tbl_Finance[Cost Centre],MATCH(A421&amp;"",tbl_Finance[Job Number],0)),"not invoiced yet"))</f>
        <v/>
      </c>
      <c r="H421" s="11" t="n"/>
      <c r="I421" s="13" t="n"/>
      <c r="J421" s="13" t="n"/>
      <c r="K421" s="13" t="n"/>
      <c r="L421" s="15" t="n"/>
      <c r="M421" s="16">
        <f>IF(A421="","",F421+N(L421))</f>
        <v/>
      </c>
      <c r="N421" s="46">
        <f>IFERROR(L421/M421,"")</f>
        <v/>
      </c>
      <c r="O421" s="15" t="n"/>
      <c r="P421" s="15" t="n"/>
      <c r="Q421" s="16">
        <f>IF(A421="","",N(O421)+N(P421))</f>
        <v/>
      </c>
      <c r="R421" s="16">
        <f>IF(A421="","",F421-Q421)</f>
        <v/>
      </c>
      <c r="S421" s="46">
        <f>IFERROR(R421/F421,"")</f>
        <v/>
      </c>
      <c r="T421" s="45" t="n"/>
      <c r="U421" s="45" t="n"/>
      <c r="V421" s="45" t="n"/>
      <c r="W421" s="45" t="n"/>
      <c r="X421" s="45" t="n"/>
      <c r="Y421" s="13" t="n"/>
    </row>
    <row r="422" ht="15" customHeight="1">
      <c r="A422" s="13" t="n"/>
      <c r="B422" s="14">
        <f>IF(A422="","",IF(COUNTIF(lst_Jobs,A422&amp;"")&gt;0,"OK","CHECK"))</f>
        <v/>
      </c>
      <c r="C422" s="14">
        <f>IF(A422="","",IFERROR(INDEX(lst_JobName,MATCH(A422&amp;"",lst_Jobs,0)),""))</f>
        <v/>
      </c>
      <c r="D422" s="14">
        <f>IF(A422="","",IFERROR(INDEX(tbl_Finance[Client],MATCH(A422&amp;"",tbl_Finance[Job Number],0)),""))</f>
        <v/>
      </c>
      <c r="E422" s="44">
        <f>IF(A422="","",COUNTIFS(tbl_Finance[Job Number],A422&amp;"",tbl_Finance[Ex GST],"&lt;&gt;"))</f>
        <v/>
      </c>
      <c r="F422" s="16">
        <f>IF(A422="","",SUMIFS(tbl_Finance[Ex GST],tbl_Finance[Job Number],A422&amp;""))</f>
        <v/>
      </c>
      <c r="G422" s="14">
        <f>IF(A422="","",IFERROR(INDEX(tbl_Finance[Cost Centre],MATCH(A422&amp;"",tbl_Finance[Job Number],0)),"not invoiced yet"))</f>
        <v/>
      </c>
      <c r="H422" s="11" t="n"/>
      <c r="I422" s="13" t="n"/>
      <c r="J422" s="13" t="n"/>
      <c r="K422" s="13" t="n"/>
      <c r="L422" s="15" t="n"/>
      <c r="M422" s="16">
        <f>IF(A422="","",F422+N(L422))</f>
        <v/>
      </c>
      <c r="N422" s="46">
        <f>IFERROR(L422/M422,"")</f>
        <v/>
      </c>
      <c r="O422" s="15" t="n"/>
      <c r="P422" s="15" t="n"/>
      <c r="Q422" s="16">
        <f>IF(A422="","",N(O422)+N(P422))</f>
        <v/>
      </c>
      <c r="R422" s="16">
        <f>IF(A422="","",F422-Q422)</f>
        <v/>
      </c>
      <c r="S422" s="46">
        <f>IFERROR(R422/F422,"")</f>
        <v/>
      </c>
      <c r="T422" s="45" t="n"/>
      <c r="U422" s="45" t="n"/>
      <c r="V422" s="45" t="n"/>
      <c r="W422" s="45" t="n"/>
      <c r="X422" s="45" t="n"/>
      <c r="Y422" s="13" t="n"/>
    </row>
    <row r="423" ht="15" customHeight="1">
      <c r="A423" s="13" t="n"/>
      <c r="B423" s="14">
        <f>IF(A423="","",IF(COUNTIF(lst_Jobs,A423&amp;"")&gt;0,"OK","CHECK"))</f>
        <v/>
      </c>
      <c r="C423" s="14">
        <f>IF(A423="","",IFERROR(INDEX(lst_JobName,MATCH(A423&amp;"",lst_Jobs,0)),""))</f>
        <v/>
      </c>
      <c r="D423" s="14">
        <f>IF(A423="","",IFERROR(INDEX(tbl_Finance[Client],MATCH(A423&amp;"",tbl_Finance[Job Number],0)),""))</f>
        <v/>
      </c>
      <c r="E423" s="44">
        <f>IF(A423="","",COUNTIFS(tbl_Finance[Job Number],A423&amp;"",tbl_Finance[Ex GST],"&lt;&gt;"))</f>
        <v/>
      </c>
      <c r="F423" s="16">
        <f>IF(A423="","",SUMIFS(tbl_Finance[Ex GST],tbl_Finance[Job Number],A423&amp;""))</f>
        <v/>
      </c>
      <c r="G423" s="14">
        <f>IF(A423="","",IFERROR(INDEX(tbl_Finance[Cost Centre],MATCH(A423&amp;"",tbl_Finance[Job Number],0)),"not invoiced yet"))</f>
        <v/>
      </c>
      <c r="H423" s="11" t="n"/>
      <c r="I423" s="13" t="n"/>
      <c r="J423" s="13" t="n"/>
      <c r="K423" s="13" t="n"/>
      <c r="L423" s="15" t="n"/>
      <c r="M423" s="16">
        <f>IF(A423="","",F423+N(L423))</f>
        <v/>
      </c>
      <c r="N423" s="46">
        <f>IFERROR(L423/M423,"")</f>
        <v/>
      </c>
      <c r="O423" s="15" t="n"/>
      <c r="P423" s="15" t="n"/>
      <c r="Q423" s="16">
        <f>IF(A423="","",N(O423)+N(P423))</f>
        <v/>
      </c>
      <c r="R423" s="16">
        <f>IF(A423="","",F423-Q423)</f>
        <v/>
      </c>
      <c r="S423" s="46">
        <f>IFERROR(R423/F423,"")</f>
        <v/>
      </c>
      <c r="T423" s="45" t="n"/>
      <c r="U423" s="45" t="n"/>
      <c r="V423" s="45" t="n"/>
      <c r="W423" s="45" t="n"/>
      <c r="X423" s="45" t="n"/>
      <c r="Y423" s="13" t="n"/>
    </row>
    <row r="424" ht="15" customHeight="1">
      <c r="A424" s="13" t="n"/>
      <c r="B424" s="14">
        <f>IF(A424="","",IF(COUNTIF(lst_Jobs,A424&amp;"")&gt;0,"OK","CHECK"))</f>
        <v/>
      </c>
      <c r="C424" s="14">
        <f>IF(A424="","",IFERROR(INDEX(lst_JobName,MATCH(A424&amp;"",lst_Jobs,0)),""))</f>
        <v/>
      </c>
      <c r="D424" s="14">
        <f>IF(A424="","",IFERROR(INDEX(tbl_Finance[Client],MATCH(A424&amp;"",tbl_Finance[Job Number],0)),""))</f>
        <v/>
      </c>
      <c r="E424" s="44">
        <f>IF(A424="","",COUNTIFS(tbl_Finance[Job Number],A424&amp;"",tbl_Finance[Ex GST],"&lt;&gt;"))</f>
        <v/>
      </c>
      <c r="F424" s="16">
        <f>IF(A424="","",SUMIFS(tbl_Finance[Ex GST],tbl_Finance[Job Number],A424&amp;""))</f>
        <v/>
      </c>
      <c r="G424" s="14">
        <f>IF(A424="","",IFERROR(INDEX(tbl_Finance[Cost Centre],MATCH(A424&amp;"",tbl_Finance[Job Number],0)),"not invoiced yet"))</f>
        <v/>
      </c>
      <c r="H424" s="11" t="n"/>
      <c r="I424" s="13" t="n"/>
      <c r="J424" s="13" t="n"/>
      <c r="K424" s="13" t="n"/>
      <c r="L424" s="15" t="n"/>
      <c r="M424" s="16">
        <f>IF(A424="","",F424+N(L424))</f>
        <v/>
      </c>
      <c r="N424" s="46">
        <f>IFERROR(L424/M424,"")</f>
        <v/>
      </c>
      <c r="O424" s="15" t="n"/>
      <c r="P424" s="15" t="n"/>
      <c r="Q424" s="16">
        <f>IF(A424="","",N(O424)+N(P424))</f>
        <v/>
      </c>
      <c r="R424" s="16">
        <f>IF(A424="","",F424-Q424)</f>
        <v/>
      </c>
      <c r="S424" s="46">
        <f>IFERROR(R424/F424,"")</f>
        <v/>
      </c>
      <c r="T424" s="45" t="n"/>
      <c r="U424" s="45" t="n"/>
      <c r="V424" s="45" t="n"/>
      <c r="W424" s="45" t="n"/>
      <c r="X424" s="45" t="n"/>
      <c r="Y424" s="13" t="n"/>
    </row>
    <row r="425" ht="15" customHeight="1">
      <c r="A425" s="13" t="n"/>
      <c r="B425" s="14">
        <f>IF(A425="","",IF(COUNTIF(lst_Jobs,A425&amp;"")&gt;0,"OK","CHECK"))</f>
        <v/>
      </c>
      <c r="C425" s="14">
        <f>IF(A425="","",IFERROR(INDEX(lst_JobName,MATCH(A425&amp;"",lst_Jobs,0)),""))</f>
        <v/>
      </c>
      <c r="D425" s="14">
        <f>IF(A425="","",IFERROR(INDEX(tbl_Finance[Client],MATCH(A425&amp;"",tbl_Finance[Job Number],0)),""))</f>
        <v/>
      </c>
      <c r="E425" s="44">
        <f>IF(A425="","",COUNTIFS(tbl_Finance[Job Number],A425&amp;"",tbl_Finance[Ex GST],"&lt;&gt;"))</f>
        <v/>
      </c>
      <c r="F425" s="16">
        <f>IF(A425="","",SUMIFS(tbl_Finance[Ex GST],tbl_Finance[Job Number],A425&amp;""))</f>
        <v/>
      </c>
      <c r="G425" s="14">
        <f>IF(A425="","",IFERROR(INDEX(tbl_Finance[Cost Centre],MATCH(A425&amp;"",tbl_Finance[Job Number],0)),"not invoiced yet"))</f>
        <v/>
      </c>
      <c r="H425" s="11" t="n"/>
      <c r="I425" s="13" t="n"/>
      <c r="J425" s="13" t="n"/>
      <c r="K425" s="13" t="n"/>
      <c r="L425" s="15" t="n"/>
      <c r="M425" s="16">
        <f>IF(A425="","",F425+N(L425))</f>
        <v/>
      </c>
      <c r="N425" s="46">
        <f>IFERROR(L425/M425,"")</f>
        <v/>
      </c>
      <c r="O425" s="15" t="n"/>
      <c r="P425" s="15" t="n"/>
      <c r="Q425" s="16">
        <f>IF(A425="","",N(O425)+N(P425))</f>
        <v/>
      </c>
      <c r="R425" s="16">
        <f>IF(A425="","",F425-Q425)</f>
        <v/>
      </c>
      <c r="S425" s="46">
        <f>IFERROR(R425/F425,"")</f>
        <v/>
      </c>
      <c r="T425" s="45" t="n"/>
      <c r="U425" s="45" t="n"/>
      <c r="V425" s="45" t="n"/>
      <c r="W425" s="45" t="n"/>
      <c r="X425" s="45" t="n"/>
      <c r="Y425" s="13" t="n"/>
    </row>
    <row r="426" ht="15" customHeight="1">
      <c r="A426" s="13" t="n"/>
      <c r="B426" s="14">
        <f>IF(A426="","",IF(COUNTIF(lst_Jobs,A426&amp;"")&gt;0,"OK","CHECK"))</f>
        <v/>
      </c>
      <c r="C426" s="14">
        <f>IF(A426="","",IFERROR(INDEX(lst_JobName,MATCH(A426&amp;"",lst_Jobs,0)),""))</f>
        <v/>
      </c>
      <c r="D426" s="14">
        <f>IF(A426="","",IFERROR(INDEX(tbl_Finance[Client],MATCH(A426&amp;"",tbl_Finance[Job Number],0)),""))</f>
        <v/>
      </c>
      <c r="E426" s="44">
        <f>IF(A426="","",COUNTIFS(tbl_Finance[Job Number],A426&amp;"",tbl_Finance[Ex GST],"&lt;&gt;"))</f>
        <v/>
      </c>
      <c r="F426" s="16">
        <f>IF(A426="","",SUMIFS(tbl_Finance[Ex GST],tbl_Finance[Job Number],A426&amp;""))</f>
        <v/>
      </c>
      <c r="G426" s="14">
        <f>IF(A426="","",IFERROR(INDEX(tbl_Finance[Cost Centre],MATCH(A426&amp;"",tbl_Finance[Job Number],0)),"not invoiced yet"))</f>
        <v/>
      </c>
      <c r="H426" s="11" t="n"/>
      <c r="I426" s="13" t="n"/>
      <c r="J426" s="13" t="n"/>
      <c r="K426" s="13" t="n"/>
      <c r="L426" s="15" t="n"/>
      <c r="M426" s="16">
        <f>IF(A426="","",F426+N(L426))</f>
        <v/>
      </c>
      <c r="N426" s="46">
        <f>IFERROR(L426/M426,"")</f>
        <v/>
      </c>
      <c r="O426" s="15" t="n"/>
      <c r="P426" s="15" t="n"/>
      <c r="Q426" s="16">
        <f>IF(A426="","",N(O426)+N(P426))</f>
        <v/>
      </c>
      <c r="R426" s="16">
        <f>IF(A426="","",F426-Q426)</f>
        <v/>
      </c>
      <c r="S426" s="46">
        <f>IFERROR(R426/F426,"")</f>
        <v/>
      </c>
      <c r="T426" s="45" t="n"/>
      <c r="U426" s="45" t="n"/>
      <c r="V426" s="45" t="n"/>
      <c r="W426" s="45" t="n"/>
      <c r="X426" s="45" t="n"/>
      <c r="Y426" s="13" t="n"/>
    </row>
    <row r="427" ht="15" customHeight="1">
      <c r="A427" s="13" t="n"/>
      <c r="B427" s="14">
        <f>IF(A427="","",IF(COUNTIF(lst_Jobs,A427&amp;"")&gt;0,"OK","CHECK"))</f>
        <v/>
      </c>
      <c r="C427" s="14">
        <f>IF(A427="","",IFERROR(INDEX(lst_JobName,MATCH(A427&amp;"",lst_Jobs,0)),""))</f>
        <v/>
      </c>
      <c r="D427" s="14">
        <f>IF(A427="","",IFERROR(INDEX(tbl_Finance[Client],MATCH(A427&amp;"",tbl_Finance[Job Number],0)),""))</f>
        <v/>
      </c>
      <c r="E427" s="44">
        <f>IF(A427="","",COUNTIFS(tbl_Finance[Job Number],A427&amp;"",tbl_Finance[Ex GST],"&lt;&gt;"))</f>
        <v/>
      </c>
      <c r="F427" s="16">
        <f>IF(A427="","",SUMIFS(tbl_Finance[Ex GST],tbl_Finance[Job Number],A427&amp;""))</f>
        <v/>
      </c>
      <c r="G427" s="14">
        <f>IF(A427="","",IFERROR(INDEX(tbl_Finance[Cost Centre],MATCH(A427&amp;"",tbl_Finance[Job Number],0)),"not invoiced yet"))</f>
        <v/>
      </c>
      <c r="H427" s="11" t="n"/>
      <c r="I427" s="13" t="n"/>
      <c r="J427" s="13" t="n"/>
      <c r="K427" s="13" t="n"/>
      <c r="L427" s="15" t="n"/>
      <c r="M427" s="16">
        <f>IF(A427="","",F427+N(L427))</f>
        <v/>
      </c>
      <c r="N427" s="46">
        <f>IFERROR(L427/M427,"")</f>
        <v/>
      </c>
      <c r="O427" s="15" t="n"/>
      <c r="P427" s="15" t="n"/>
      <c r="Q427" s="16">
        <f>IF(A427="","",N(O427)+N(P427))</f>
        <v/>
      </c>
      <c r="R427" s="16">
        <f>IF(A427="","",F427-Q427)</f>
        <v/>
      </c>
      <c r="S427" s="46">
        <f>IFERROR(R427/F427,"")</f>
        <v/>
      </c>
      <c r="T427" s="45" t="n"/>
      <c r="U427" s="45" t="n"/>
      <c r="V427" s="45" t="n"/>
      <c r="W427" s="45" t="n"/>
      <c r="X427" s="45" t="n"/>
      <c r="Y427" s="13" t="n"/>
    </row>
    <row r="428" ht="15" customHeight="1">
      <c r="A428" s="13" t="n"/>
      <c r="B428" s="14">
        <f>IF(A428="","",IF(COUNTIF(lst_Jobs,A428&amp;"")&gt;0,"OK","CHECK"))</f>
        <v/>
      </c>
      <c r="C428" s="14">
        <f>IF(A428="","",IFERROR(INDEX(lst_JobName,MATCH(A428&amp;"",lst_Jobs,0)),""))</f>
        <v/>
      </c>
      <c r="D428" s="14">
        <f>IF(A428="","",IFERROR(INDEX(tbl_Finance[Client],MATCH(A428&amp;"",tbl_Finance[Job Number],0)),""))</f>
        <v/>
      </c>
      <c r="E428" s="44">
        <f>IF(A428="","",COUNTIFS(tbl_Finance[Job Number],A428&amp;"",tbl_Finance[Ex GST],"&lt;&gt;"))</f>
        <v/>
      </c>
      <c r="F428" s="16">
        <f>IF(A428="","",SUMIFS(tbl_Finance[Ex GST],tbl_Finance[Job Number],A428&amp;""))</f>
        <v/>
      </c>
      <c r="G428" s="14">
        <f>IF(A428="","",IFERROR(INDEX(tbl_Finance[Cost Centre],MATCH(A428&amp;"",tbl_Finance[Job Number],0)),"not invoiced yet"))</f>
        <v/>
      </c>
      <c r="H428" s="11" t="n"/>
      <c r="I428" s="13" t="n"/>
      <c r="J428" s="13" t="n"/>
      <c r="K428" s="13" t="n"/>
      <c r="L428" s="15" t="n"/>
      <c r="M428" s="16">
        <f>IF(A428="","",F428+N(L428))</f>
        <v/>
      </c>
      <c r="N428" s="46">
        <f>IFERROR(L428/M428,"")</f>
        <v/>
      </c>
      <c r="O428" s="15" t="n"/>
      <c r="P428" s="15" t="n"/>
      <c r="Q428" s="16">
        <f>IF(A428="","",N(O428)+N(P428))</f>
        <v/>
      </c>
      <c r="R428" s="16">
        <f>IF(A428="","",F428-Q428)</f>
        <v/>
      </c>
      <c r="S428" s="46">
        <f>IFERROR(R428/F428,"")</f>
        <v/>
      </c>
      <c r="T428" s="45" t="n"/>
      <c r="U428" s="45" t="n"/>
      <c r="V428" s="45" t="n"/>
      <c r="W428" s="45" t="n"/>
      <c r="X428" s="45" t="n"/>
      <c r="Y428" s="13" t="n"/>
    </row>
    <row r="429" ht="15" customHeight="1">
      <c r="A429" s="13" t="n"/>
      <c r="B429" s="14">
        <f>IF(A429="","",IF(COUNTIF(lst_Jobs,A429&amp;"")&gt;0,"OK","CHECK"))</f>
        <v/>
      </c>
      <c r="C429" s="14">
        <f>IF(A429="","",IFERROR(INDEX(lst_JobName,MATCH(A429&amp;"",lst_Jobs,0)),""))</f>
        <v/>
      </c>
      <c r="D429" s="14">
        <f>IF(A429="","",IFERROR(INDEX(tbl_Finance[Client],MATCH(A429&amp;"",tbl_Finance[Job Number],0)),""))</f>
        <v/>
      </c>
      <c r="E429" s="44">
        <f>IF(A429="","",COUNTIFS(tbl_Finance[Job Number],A429&amp;"",tbl_Finance[Ex GST],"&lt;&gt;"))</f>
        <v/>
      </c>
      <c r="F429" s="16">
        <f>IF(A429="","",SUMIFS(tbl_Finance[Ex GST],tbl_Finance[Job Number],A429&amp;""))</f>
        <v/>
      </c>
      <c r="G429" s="14">
        <f>IF(A429="","",IFERROR(INDEX(tbl_Finance[Cost Centre],MATCH(A429&amp;"",tbl_Finance[Job Number],0)),"not invoiced yet"))</f>
        <v/>
      </c>
      <c r="H429" s="11" t="n"/>
      <c r="I429" s="13" t="n"/>
      <c r="J429" s="13" t="n"/>
      <c r="K429" s="13" t="n"/>
      <c r="L429" s="15" t="n"/>
      <c r="M429" s="16">
        <f>IF(A429="","",F429+N(L429))</f>
        <v/>
      </c>
      <c r="N429" s="46">
        <f>IFERROR(L429/M429,"")</f>
        <v/>
      </c>
      <c r="O429" s="15" t="n"/>
      <c r="P429" s="15" t="n"/>
      <c r="Q429" s="16">
        <f>IF(A429="","",N(O429)+N(P429))</f>
        <v/>
      </c>
      <c r="R429" s="16">
        <f>IF(A429="","",F429-Q429)</f>
        <v/>
      </c>
      <c r="S429" s="46">
        <f>IFERROR(R429/F429,"")</f>
        <v/>
      </c>
      <c r="T429" s="45" t="n"/>
      <c r="U429" s="45" t="n"/>
      <c r="V429" s="45" t="n"/>
      <c r="W429" s="45" t="n"/>
      <c r="X429" s="45" t="n"/>
      <c r="Y429" s="13" t="n"/>
    </row>
    <row r="430" ht="15" customHeight="1">
      <c r="A430" s="13" t="n"/>
      <c r="B430" s="14">
        <f>IF(A430="","",IF(COUNTIF(lst_Jobs,A430&amp;"")&gt;0,"OK","CHECK"))</f>
        <v/>
      </c>
      <c r="C430" s="14">
        <f>IF(A430="","",IFERROR(INDEX(lst_JobName,MATCH(A430&amp;"",lst_Jobs,0)),""))</f>
        <v/>
      </c>
      <c r="D430" s="14">
        <f>IF(A430="","",IFERROR(INDEX(tbl_Finance[Client],MATCH(A430&amp;"",tbl_Finance[Job Number],0)),""))</f>
        <v/>
      </c>
      <c r="E430" s="44">
        <f>IF(A430="","",COUNTIFS(tbl_Finance[Job Number],A430&amp;"",tbl_Finance[Ex GST],"&lt;&gt;"))</f>
        <v/>
      </c>
      <c r="F430" s="16">
        <f>IF(A430="","",SUMIFS(tbl_Finance[Ex GST],tbl_Finance[Job Number],A430&amp;""))</f>
        <v/>
      </c>
      <c r="G430" s="14">
        <f>IF(A430="","",IFERROR(INDEX(tbl_Finance[Cost Centre],MATCH(A430&amp;"",tbl_Finance[Job Number],0)),"not invoiced yet"))</f>
        <v/>
      </c>
      <c r="H430" s="11" t="n"/>
      <c r="I430" s="13" t="n"/>
      <c r="J430" s="13" t="n"/>
      <c r="K430" s="13" t="n"/>
      <c r="L430" s="15" t="n"/>
      <c r="M430" s="16">
        <f>IF(A430="","",F430+N(L430))</f>
        <v/>
      </c>
      <c r="N430" s="46">
        <f>IFERROR(L430/M430,"")</f>
        <v/>
      </c>
      <c r="O430" s="15" t="n"/>
      <c r="P430" s="15" t="n"/>
      <c r="Q430" s="16">
        <f>IF(A430="","",N(O430)+N(P430))</f>
        <v/>
      </c>
      <c r="R430" s="16">
        <f>IF(A430="","",F430-Q430)</f>
        <v/>
      </c>
      <c r="S430" s="46">
        <f>IFERROR(R430/F430,"")</f>
        <v/>
      </c>
      <c r="T430" s="45" t="n"/>
      <c r="U430" s="45" t="n"/>
      <c r="V430" s="45" t="n"/>
      <c r="W430" s="45" t="n"/>
      <c r="X430" s="45" t="n"/>
      <c r="Y430" s="13" t="n"/>
    </row>
    <row r="431" ht="15" customHeight="1">
      <c r="A431" s="13" t="n"/>
      <c r="B431" s="14">
        <f>IF(A431="","",IF(COUNTIF(lst_Jobs,A431&amp;"")&gt;0,"OK","CHECK"))</f>
        <v/>
      </c>
      <c r="C431" s="14">
        <f>IF(A431="","",IFERROR(INDEX(lst_JobName,MATCH(A431&amp;"",lst_Jobs,0)),""))</f>
        <v/>
      </c>
      <c r="D431" s="14">
        <f>IF(A431="","",IFERROR(INDEX(tbl_Finance[Client],MATCH(A431&amp;"",tbl_Finance[Job Number],0)),""))</f>
        <v/>
      </c>
      <c r="E431" s="44">
        <f>IF(A431="","",COUNTIFS(tbl_Finance[Job Number],A431&amp;"",tbl_Finance[Ex GST],"&lt;&gt;"))</f>
        <v/>
      </c>
      <c r="F431" s="16">
        <f>IF(A431="","",SUMIFS(tbl_Finance[Ex GST],tbl_Finance[Job Number],A431&amp;""))</f>
        <v/>
      </c>
      <c r="G431" s="14">
        <f>IF(A431="","",IFERROR(INDEX(tbl_Finance[Cost Centre],MATCH(A431&amp;"",tbl_Finance[Job Number],0)),"not invoiced yet"))</f>
        <v/>
      </c>
      <c r="H431" s="11" t="n"/>
      <c r="I431" s="13" t="n"/>
      <c r="J431" s="13" t="n"/>
      <c r="K431" s="13" t="n"/>
      <c r="L431" s="15" t="n"/>
      <c r="M431" s="16">
        <f>IF(A431="","",F431+N(L431))</f>
        <v/>
      </c>
      <c r="N431" s="46">
        <f>IFERROR(L431/M431,"")</f>
        <v/>
      </c>
      <c r="O431" s="15" t="n"/>
      <c r="P431" s="15" t="n"/>
      <c r="Q431" s="16">
        <f>IF(A431="","",N(O431)+N(P431))</f>
        <v/>
      </c>
      <c r="R431" s="16">
        <f>IF(A431="","",F431-Q431)</f>
        <v/>
      </c>
      <c r="S431" s="46">
        <f>IFERROR(R431/F431,"")</f>
        <v/>
      </c>
      <c r="T431" s="45" t="n"/>
      <c r="U431" s="45" t="n"/>
      <c r="V431" s="45" t="n"/>
      <c r="W431" s="45" t="n"/>
      <c r="X431" s="45" t="n"/>
      <c r="Y431" s="13" t="n"/>
    </row>
    <row r="432" ht="15" customHeight="1">
      <c r="A432" s="13" t="n"/>
      <c r="B432" s="14">
        <f>IF(A432="","",IF(COUNTIF(lst_Jobs,A432&amp;"")&gt;0,"OK","CHECK"))</f>
        <v/>
      </c>
      <c r="C432" s="14">
        <f>IF(A432="","",IFERROR(INDEX(lst_JobName,MATCH(A432&amp;"",lst_Jobs,0)),""))</f>
        <v/>
      </c>
      <c r="D432" s="14">
        <f>IF(A432="","",IFERROR(INDEX(tbl_Finance[Client],MATCH(A432&amp;"",tbl_Finance[Job Number],0)),""))</f>
        <v/>
      </c>
      <c r="E432" s="44">
        <f>IF(A432="","",COUNTIFS(tbl_Finance[Job Number],A432&amp;"",tbl_Finance[Ex GST],"&lt;&gt;"))</f>
        <v/>
      </c>
      <c r="F432" s="16">
        <f>IF(A432="","",SUMIFS(tbl_Finance[Ex GST],tbl_Finance[Job Number],A432&amp;""))</f>
        <v/>
      </c>
      <c r="G432" s="14">
        <f>IF(A432="","",IFERROR(INDEX(tbl_Finance[Cost Centre],MATCH(A432&amp;"",tbl_Finance[Job Number],0)),"not invoiced yet"))</f>
        <v/>
      </c>
      <c r="H432" s="11" t="n"/>
      <c r="I432" s="13" t="n"/>
      <c r="J432" s="13" t="n"/>
      <c r="K432" s="13" t="n"/>
      <c r="L432" s="15" t="n"/>
      <c r="M432" s="16">
        <f>IF(A432="","",F432+N(L432))</f>
        <v/>
      </c>
      <c r="N432" s="46">
        <f>IFERROR(L432/M432,"")</f>
        <v/>
      </c>
      <c r="O432" s="15" t="n"/>
      <c r="P432" s="15" t="n"/>
      <c r="Q432" s="16">
        <f>IF(A432="","",N(O432)+N(P432))</f>
        <v/>
      </c>
      <c r="R432" s="16">
        <f>IF(A432="","",F432-Q432)</f>
        <v/>
      </c>
      <c r="S432" s="46">
        <f>IFERROR(R432/F432,"")</f>
        <v/>
      </c>
      <c r="T432" s="45" t="n"/>
      <c r="U432" s="45" t="n"/>
      <c r="V432" s="45" t="n"/>
      <c r="W432" s="45" t="n"/>
      <c r="X432" s="45" t="n"/>
      <c r="Y432" s="13" t="n"/>
    </row>
    <row r="433" ht="15" customHeight="1">
      <c r="A433" s="13" t="n"/>
      <c r="B433" s="14">
        <f>IF(A433="","",IF(COUNTIF(lst_Jobs,A433&amp;"")&gt;0,"OK","CHECK"))</f>
        <v/>
      </c>
      <c r="C433" s="14">
        <f>IF(A433="","",IFERROR(INDEX(lst_JobName,MATCH(A433&amp;"",lst_Jobs,0)),""))</f>
        <v/>
      </c>
      <c r="D433" s="14">
        <f>IF(A433="","",IFERROR(INDEX(tbl_Finance[Client],MATCH(A433&amp;"",tbl_Finance[Job Number],0)),""))</f>
        <v/>
      </c>
      <c r="E433" s="44">
        <f>IF(A433="","",COUNTIFS(tbl_Finance[Job Number],A433&amp;"",tbl_Finance[Ex GST],"&lt;&gt;"))</f>
        <v/>
      </c>
      <c r="F433" s="16">
        <f>IF(A433="","",SUMIFS(tbl_Finance[Ex GST],tbl_Finance[Job Number],A433&amp;""))</f>
        <v/>
      </c>
      <c r="G433" s="14">
        <f>IF(A433="","",IFERROR(INDEX(tbl_Finance[Cost Centre],MATCH(A433&amp;"",tbl_Finance[Job Number],0)),"not invoiced yet"))</f>
        <v/>
      </c>
      <c r="H433" s="11" t="n"/>
      <c r="I433" s="13" t="n"/>
      <c r="J433" s="13" t="n"/>
      <c r="K433" s="13" t="n"/>
      <c r="L433" s="15" t="n"/>
      <c r="M433" s="16">
        <f>IF(A433="","",F433+N(L433))</f>
        <v/>
      </c>
      <c r="N433" s="46">
        <f>IFERROR(L433/M433,"")</f>
        <v/>
      </c>
      <c r="O433" s="15" t="n"/>
      <c r="P433" s="15" t="n"/>
      <c r="Q433" s="16">
        <f>IF(A433="","",N(O433)+N(P433))</f>
        <v/>
      </c>
      <c r="R433" s="16">
        <f>IF(A433="","",F433-Q433)</f>
        <v/>
      </c>
      <c r="S433" s="46">
        <f>IFERROR(R433/F433,"")</f>
        <v/>
      </c>
      <c r="T433" s="45" t="n"/>
      <c r="U433" s="45" t="n"/>
      <c r="V433" s="45" t="n"/>
      <c r="W433" s="45" t="n"/>
      <c r="X433" s="45" t="n"/>
      <c r="Y433" s="13" t="n"/>
    </row>
    <row r="434" ht="15" customHeight="1">
      <c r="A434" s="13" t="n"/>
      <c r="B434" s="14">
        <f>IF(A434="","",IF(COUNTIF(lst_Jobs,A434&amp;"")&gt;0,"OK","CHECK"))</f>
        <v/>
      </c>
      <c r="C434" s="14">
        <f>IF(A434="","",IFERROR(INDEX(lst_JobName,MATCH(A434&amp;"",lst_Jobs,0)),""))</f>
        <v/>
      </c>
      <c r="D434" s="14">
        <f>IF(A434="","",IFERROR(INDEX(tbl_Finance[Client],MATCH(A434&amp;"",tbl_Finance[Job Number],0)),""))</f>
        <v/>
      </c>
      <c r="E434" s="44">
        <f>IF(A434="","",COUNTIFS(tbl_Finance[Job Number],A434&amp;"",tbl_Finance[Ex GST],"&lt;&gt;"))</f>
        <v/>
      </c>
      <c r="F434" s="16">
        <f>IF(A434="","",SUMIFS(tbl_Finance[Ex GST],tbl_Finance[Job Number],A434&amp;""))</f>
        <v/>
      </c>
      <c r="G434" s="14">
        <f>IF(A434="","",IFERROR(INDEX(tbl_Finance[Cost Centre],MATCH(A434&amp;"",tbl_Finance[Job Number],0)),"not invoiced yet"))</f>
        <v/>
      </c>
      <c r="H434" s="11" t="n"/>
      <c r="I434" s="13" t="n"/>
      <c r="J434" s="13" t="n"/>
      <c r="K434" s="13" t="n"/>
      <c r="L434" s="15" t="n"/>
      <c r="M434" s="16">
        <f>IF(A434="","",F434+N(L434))</f>
        <v/>
      </c>
      <c r="N434" s="46">
        <f>IFERROR(L434/M434,"")</f>
        <v/>
      </c>
      <c r="O434" s="15" t="n"/>
      <c r="P434" s="15" t="n"/>
      <c r="Q434" s="16">
        <f>IF(A434="","",N(O434)+N(P434))</f>
        <v/>
      </c>
      <c r="R434" s="16">
        <f>IF(A434="","",F434-Q434)</f>
        <v/>
      </c>
      <c r="S434" s="46">
        <f>IFERROR(R434/F434,"")</f>
        <v/>
      </c>
      <c r="T434" s="45" t="n"/>
      <c r="U434" s="45" t="n"/>
      <c r="V434" s="45" t="n"/>
      <c r="W434" s="45" t="n"/>
      <c r="X434" s="45" t="n"/>
      <c r="Y434" s="13" t="n"/>
    </row>
    <row r="435" ht="15" customHeight="1">
      <c r="A435" s="13" t="n"/>
      <c r="B435" s="14">
        <f>IF(A435="","",IF(COUNTIF(lst_Jobs,A435&amp;"")&gt;0,"OK","CHECK"))</f>
        <v/>
      </c>
      <c r="C435" s="14">
        <f>IF(A435="","",IFERROR(INDEX(lst_JobName,MATCH(A435&amp;"",lst_Jobs,0)),""))</f>
        <v/>
      </c>
      <c r="D435" s="14">
        <f>IF(A435="","",IFERROR(INDEX(tbl_Finance[Client],MATCH(A435&amp;"",tbl_Finance[Job Number],0)),""))</f>
        <v/>
      </c>
      <c r="E435" s="44">
        <f>IF(A435="","",COUNTIFS(tbl_Finance[Job Number],A435&amp;"",tbl_Finance[Ex GST],"&lt;&gt;"))</f>
        <v/>
      </c>
      <c r="F435" s="16">
        <f>IF(A435="","",SUMIFS(tbl_Finance[Ex GST],tbl_Finance[Job Number],A435&amp;""))</f>
        <v/>
      </c>
      <c r="G435" s="14">
        <f>IF(A435="","",IFERROR(INDEX(tbl_Finance[Cost Centre],MATCH(A435&amp;"",tbl_Finance[Job Number],0)),"not invoiced yet"))</f>
        <v/>
      </c>
      <c r="H435" s="11" t="n"/>
      <c r="I435" s="13" t="n"/>
      <c r="J435" s="13" t="n"/>
      <c r="K435" s="13" t="n"/>
      <c r="L435" s="15" t="n"/>
      <c r="M435" s="16">
        <f>IF(A435="","",F435+N(L435))</f>
        <v/>
      </c>
      <c r="N435" s="46">
        <f>IFERROR(L435/M435,"")</f>
        <v/>
      </c>
      <c r="O435" s="15" t="n"/>
      <c r="P435" s="15" t="n"/>
      <c r="Q435" s="16">
        <f>IF(A435="","",N(O435)+N(P435))</f>
        <v/>
      </c>
      <c r="R435" s="16">
        <f>IF(A435="","",F435-Q435)</f>
        <v/>
      </c>
      <c r="S435" s="46">
        <f>IFERROR(R435/F435,"")</f>
        <v/>
      </c>
      <c r="T435" s="45" t="n"/>
      <c r="U435" s="45" t="n"/>
      <c r="V435" s="45" t="n"/>
      <c r="W435" s="45" t="n"/>
      <c r="X435" s="45" t="n"/>
      <c r="Y435" s="13" t="n"/>
    </row>
    <row r="436" ht="15" customHeight="1">
      <c r="A436" s="13" t="n"/>
      <c r="B436" s="14">
        <f>IF(A436="","",IF(COUNTIF(lst_Jobs,A436&amp;"")&gt;0,"OK","CHECK"))</f>
        <v/>
      </c>
      <c r="C436" s="14">
        <f>IF(A436="","",IFERROR(INDEX(lst_JobName,MATCH(A436&amp;"",lst_Jobs,0)),""))</f>
        <v/>
      </c>
      <c r="D436" s="14">
        <f>IF(A436="","",IFERROR(INDEX(tbl_Finance[Client],MATCH(A436&amp;"",tbl_Finance[Job Number],0)),""))</f>
        <v/>
      </c>
      <c r="E436" s="44">
        <f>IF(A436="","",COUNTIFS(tbl_Finance[Job Number],A436&amp;"",tbl_Finance[Ex GST],"&lt;&gt;"))</f>
        <v/>
      </c>
      <c r="F436" s="16">
        <f>IF(A436="","",SUMIFS(tbl_Finance[Ex GST],tbl_Finance[Job Number],A436&amp;""))</f>
        <v/>
      </c>
      <c r="G436" s="14">
        <f>IF(A436="","",IFERROR(INDEX(tbl_Finance[Cost Centre],MATCH(A436&amp;"",tbl_Finance[Job Number],0)),"not invoiced yet"))</f>
        <v/>
      </c>
      <c r="H436" s="11" t="n"/>
      <c r="I436" s="13" t="n"/>
      <c r="J436" s="13" t="n"/>
      <c r="K436" s="13" t="n"/>
      <c r="L436" s="15" t="n"/>
      <c r="M436" s="16">
        <f>IF(A436="","",F436+N(L436))</f>
        <v/>
      </c>
      <c r="N436" s="46">
        <f>IFERROR(L436/M436,"")</f>
        <v/>
      </c>
      <c r="O436" s="15" t="n"/>
      <c r="P436" s="15" t="n"/>
      <c r="Q436" s="16">
        <f>IF(A436="","",N(O436)+N(P436))</f>
        <v/>
      </c>
      <c r="R436" s="16">
        <f>IF(A436="","",F436-Q436)</f>
        <v/>
      </c>
      <c r="S436" s="46">
        <f>IFERROR(R436/F436,"")</f>
        <v/>
      </c>
      <c r="T436" s="45" t="n"/>
      <c r="U436" s="45" t="n"/>
      <c r="V436" s="45" t="n"/>
      <c r="W436" s="45" t="n"/>
      <c r="X436" s="45" t="n"/>
      <c r="Y436" s="13" t="n"/>
    </row>
    <row r="437" ht="15" customHeight="1">
      <c r="A437" s="13" t="n"/>
      <c r="B437" s="14">
        <f>IF(A437="","",IF(COUNTIF(lst_Jobs,A437&amp;"")&gt;0,"OK","CHECK"))</f>
        <v/>
      </c>
      <c r="C437" s="14">
        <f>IF(A437="","",IFERROR(INDEX(lst_JobName,MATCH(A437&amp;"",lst_Jobs,0)),""))</f>
        <v/>
      </c>
      <c r="D437" s="14">
        <f>IF(A437="","",IFERROR(INDEX(tbl_Finance[Client],MATCH(A437&amp;"",tbl_Finance[Job Number],0)),""))</f>
        <v/>
      </c>
      <c r="E437" s="44">
        <f>IF(A437="","",COUNTIFS(tbl_Finance[Job Number],A437&amp;"",tbl_Finance[Ex GST],"&lt;&gt;"))</f>
        <v/>
      </c>
      <c r="F437" s="16">
        <f>IF(A437="","",SUMIFS(tbl_Finance[Ex GST],tbl_Finance[Job Number],A437&amp;""))</f>
        <v/>
      </c>
      <c r="G437" s="14">
        <f>IF(A437="","",IFERROR(INDEX(tbl_Finance[Cost Centre],MATCH(A437&amp;"",tbl_Finance[Job Number],0)),"not invoiced yet"))</f>
        <v/>
      </c>
      <c r="H437" s="11" t="n"/>
      <c r="I437" s="13" t="n"/>
      <c r="J437" s="13" t="n"/>
      <c r="K437" s="13" t="n"/>
      <c r="L437" s="15" t="n"/>
      <c r="M437" s="16">
        <f>IF(A437="","",F437+N(L437))</f>
        <v/>
      </c>
      <c r="N437" s="46">
        <f>IFERROR(L437/M437,"")</f>
        <v/>
      </c>
      <c r="O437" s="15" t="n"/>
      <c r="P437" s="15" t="n"/>
      <c r="Q437" s="16">
        <f>IF(A437="","",N(O437)+N(P437))</f>
        <v/>
      </c>
      <c r="R437" s="16">
        <f>IF(A437="","",F437-Q437)</f>
        <v/>
      </c>
      <c r="S437" s="46">
        <f>IFERROR(R437/F437,"")</f>
        <v/>
      </c>
      <c r="T437" s="45" t="n"/>
      <c r="U437" s="45" t="n"/>
      <c r="V437" s="45" t="n"/>
      <c r="W437" s="45" t="n"/>
      <c r="X437" s="45" t="n"/>
      <c r="Y437" s="13" t="n"/>
    </row>
    <row r="438" ht="15" customHeight="1">
      <c r="A438" s="13" t="n"/>
      <c r="B438" s="14">
        <f>IF(A438="","",IF(COUNTIF(lst_Jobs,A438&amp;"")&gt;0,"OK","CHECK"))</f>
        <v/>
      </c>
      <c r="C438" s="14">
        <f>IF(A438="","",IFERROR(INDEX(lst_JobName,MATCH(A438&amp;"",lst_Jobs,0)),""))</f>
        <v/>
      </c>
      <c r="D438" s="14">
        <f>IF(A438="","",IFERROR(INDEX(tbl_Finance[Client],MATCH(A438&amp;"",tbl_Finance[Job Number],0)),""))</f>
        <v/>
      </c>
      <c r="E438" s="44">
        <f>IF(A438="","",COUNTIFS(tbl_Finance[Job Number],A438&amp;"",tbl_Finance[Ex GST],"&lt;&gt;"))</f>
        <v/>
      </c>
      <c r="F438" s="16">
        <f>IF(A438="","",SUMIFS(tbl_Finance[Ex GST],tbl_Finance[Job Number],A438&amp;""))</f>
        <v/>
      </c>
      <c r="G438" s="14">
        <f>IF(A438="","",IFERROR(INDEX(tbl_Finance[Cost Centre],MATCH(A438&amp;"",tbl_Finance[Job Number],0)),"not invoiced yet"))</f>
        <v/>
      </c>
      <c r="H438" s="11" t="n"/>
      <c r="I438" s="13" t="n"/>
      <c r="J438" s="13" t="n"/>
      <c r="K438" s="13" t="n"/>
      <c r="L438" s="15" t="n"/>
      <c r="M438" s="16">
        <f>IF(A438="","",F438+N(L438))</f>
        <v/>
      </c>
      <c r="N438" s="46">
        <f>IFERROR(L438/M438,"")</f>
        <v/>
      </c>
      <c r="O438" s="15" t="n"/>
      <c r="P438" s="15" t="n"/>
      <c r="Q438" s="16">
        <f>IF(A438="","",N(O438)+N(P438))</f>
        <v/>
      </c>
      <c r="R438" s="16">
        <f>IF(A438="","",F438-Q438)</f>
        <v/>
      </c>
      <c r="S438" s="46">
        <f>IFERROR(R438/F438,"")</f>
        <v/>
      </c>
      <c r="T438" s="45" t="n"/>
      <c r="U438" s="45" t="n"/>
      <c r="V438" s="45" t="n"/>
      <c r="W438" s="45" t="n"/>
      <c r="X438" s="45" t="n"/>
      <c r="Y438" s="13" t="n"/>
    </row>
    <row r="439" ht="15" customHeight="1">
      <c r="A439" s="13" t="n"/>
      <c r="B439" s="14">
        <f>IF(A439="","",IF(COUNTIF(lst_Jobs,A439&amp;"")&gt;0,"OK","CHECK"))</f>
        <v/>
      </c>
      <c r="C439" s="14">
        <f>IF(A439="","",IFERROR(INDEX(lst_JobName,MATCH(A439&amp;"",lst_Jobs,0)),""))</f>
        <v/>
      </c>
      <c r="D439" s="14">
        <f>IF(A439="","",IFERROR(INDEX(tbl_Finance[Client],MATCH(A439&amp;"",tbl_Finance[Job Number],0)),""))</f>
        <v/>
      </c>
      <c r="E439" s="44">
        <f>IF(A439="","",COUNTIFS(tbl_Finance[Job Number],A439&amp;"",tbl_Finance[Ex GST],"&lt;&gt;"))</f>
        <v/>
      </c>
      <c r="F439" s="16">
        <f>IF(A439="","",SUMIFS(tbl_Finance[Ex GST],tbl_Finance[Job Number],A439&amp;""))</f>
        <v/>
      </c>
      <c r="G439" s="14">
        <f>IF(A439="","",IFERROR(INDEX(tbl_Finance[Cost Centre],MATCH(A439&amp;"",tbl_Finance[Job Number],0)),"not invoiced yet"))</f>
        <v/>
      </c>
      <c r="H439" s="11" t="n"/>
      <c r="I439" s="13" t="n"/>
      <c r="J439" s="13" t="n"/>
      <c r="K439" s="13" t="n"/>
      <c r="L439" s="15" t="n"/>
      <c r="M439" s="16">
        <f>IF(A439="","",F439+N(L439))</f>
        <v/>
      </c>
      <c r="N439" s="46">
        <f>IFERROR(L439/M439,"")</f>
        <v/>
      </c>
      <c r="O439" s="15" t="n"/>
      <c r="P439" s="15" t="n"/>
      <c r="Q439" s="16">
        <f>IF(A439="","",N(O439)+N(P439))</f>
        <v/>
      </c>
      <c r="R439" s="16">
        <f>IF(A439="","",F439-Q439)</f>
        <v/>
      </c>
      <c r="S439" s="46">
        <f>IFERROR(R439/F439,"")</f>
        <v/>
      </c>
      <c r="T439" s="45" t="n"/>
      <c r="U439" s="45" t="n"/>
      <c r="V439" s="45" t="n"/>
      <c r="W439" s="45" t="n"/>
      <c r="X439" s="45" t="n"/>
      <c r="Y439" s="13" t="n"/>
    </row>
    <row r="440" ht="15" customHeight="1">
      <c r="A440" s="13" t="n"/>
      <c r="B440" s="14">
        <f>IF(A440="","",IF(COUNTIF(lst_Jobs,A440&amp;"")&gt;0,"OK","CHECK"))</f>
        <v/>
      </c>
      <c r="C440" s="14">
        <f>IF(A440="","",IFERROR(INDEX(lst_JobName,MATCH(A440&amp;"",lst_Jobs,0)),""))</f>
        <v/>
      </c>
      <c r="D440" s="14">
        <f>IF(A440="","",IFERROR(INDEX(tbl_Finance[Client],MATCH(A440&amp;"",tbl_Finance[Job Number],0)),""))</f>
        <v/>
      </c>
      <c r="E440" s="44">
        <f>IF(A440="","",COUNTIFS(tbl_Finance[Job Number],A440&amp;"",tbl_Finance[Ex GST],"&lt;&gt;"))</f>
        <v/>
      </c>
      <c r="F440" s="16">
        <f>IF(A440="","",SUMIFS(tbl_Finance[Ex GST],tbl_Finance[Job Number],A440&amp;""))</f>
        <v/>
      </c>
      <c r="G440" s="14">
        <f>IF(A440="","",IFERROR(INDEX(tbl_Finance[Cost Centre],MATCH(A440&amp;"",tbl_Finance[Job Number],0)),"not invoiced yet"))</f>
        <v/>
      </c>
      <c r="H440" s="11" t="n"/>
      <c r="I440" s="13" t="n"/>
      <c r="J440" s="13" t="n"/>
      <c r="K440" s="13" t="n"/>
      <c r="L440" s="15" t="n"/>
      <c r="M440" s="16">
        <f>IF(A440="","",F440+N(L440))</f>
        <v/>
      </c>
      <c r="N440" s="46">
        <f>IFERROR(L440/M440,"")</f>
        <v/>
      </c>
      <c r="O440" s="15" t="n"/>
      <c r="P440" s="15" t="n"/>
      <c r="Q440" s="16">
        <f>IF(A440="","",N(O440)+N(P440))</f>
        <v/>
      </c>
      <c r="R440" s="16">
        <f>IF(A440="","",F440-Q440)</f>
        <v/>
      </c>
      <c r="S440" s="46">
        <f>IFERROR(R440/F440,"")</f>
        <v/>
      </c>
      <c r="T440" s="45" t="n"/>
      <c r="U440" s="45" t="n"/>
      <c r="V440" s="45" t="n"/>
      <c r="W440" s="45" t="n"/>
      <c r="X440" s="45" t="n"/>
      <c r="Y440" s="13" t="n"/>
    </row>
    <row r="441" ht="15" customHeight="1">
      <c r="A441" s="13" t="n"/>
      <c r="B441" s="14">
        <f>IF(A441="","",IF(COUNTIF(lst_Jobs,A441&amp;"")&gt;0,"OK","CHECK"))</f>
        <v/>
      </c>
      <c r="C441" s="14">
        <f>IF(A441="","",IFERROR(INDEX(lst_JobName,MATCH(A441&amp;"",lst_Jobs,0)),""))</f>
        <v/>
      </c>
      <c r="D441" s="14">
        <f>IF(A441="","",IFERROR(INDEX(tbl_Finance[Client],MATCH(A441&amp;"",tbl_Finance[Job Number],0)),""))</f>
        <v/>
      </c>
      <c r="E441" s="44">
        <f>IF(A441="","",COUNTIFS(tbl_Finance[Job Number],A441&amp;"",tbl_Finance[Ex GST],"&lt;&gt;"))</f>
        <v/>
      </c>
      <c r="F441" s="16">
        <f>IF(A441="","",SUMIFS(tbl_Finance[Ex GST],tbl_Finance[Job Number],A441&amp;""))</f>
        <v/>
      </c>
      <c r="G441" s="14">
        <f>IF(A441="","",IFERROR(INDEX(tbl_Finance[Cost Centre],MATCH(A441&amp;"",tbl_Finance[Job Number],0)),"not invoiced yet"))</f>
        <v/>
      </c>
      <c r="H441" s="11" t="n"/>
      <c r="I441" s="13" t="n"/>
      <c r="J441" s="13" t="n"/>
      <c r="K441" s="13" t="n"/>
      <c r="L441" s="15" t="n"/>
      <c r="M441" s="16">
        <f>IF(A441="","",F441+N(L441))</f>
        <v/>
      </c>
      <c r="N441" s="46">
        <f>IFERROR(L441/M441,"")</f>
        <v/>
      </c>
      <c r="O441" s="15" t="n"/>
      <c r="P441" s="15" t="n"/>
      <c r="Q441" s="16">
        <f>IF(A441="","",N(O441)+N(P441))</f>
        <v/>
      </c>
      <c r="R441" s="16">
        <f>IF(A441="","",F441-Q441)</f>
        <v/>
      </c>
      <c r="S441" s="46">
        <f>IFERROR(R441/F441,"")</f>
        <v/>
      </c>
      <c r="T441" s="45" t="n"/>
      <c r="U441" s="45" t="n"/>
      <c r="V441" s="45" t="n"/>
      <c r="W441" s="45" t="n"/>
      <c r="X441" s="45" t="n"/>
      <c r="Y441" s="13" t="n"/>
    </row>
    <row r="442" ht="15" customHeight="1">
      <c r="A442" s="13" t="n"/>
      <c r="B442" s="14">
        <f>IF(A442="","",IF(COUNTIF(lst_Jobs,A442&amp;"")&gt;0,"OK","CHECK"))</f>
        <v/>
      </c>
      <c r="C442" s="14">
        <f>IF(A442="","",IFERROR(INDEX(lst_JobName,MATCH(A442&amp;"",lst_Jobs,0)),""))</f>
        <v/>
      </c>
      <c r="D442" s="14">
        <f>IF(A442="","",IFERROR(INDEX(tbl_Finance[Client],MATCH(A442&amp;"",tbl_Finance[Job Number],0)),""))</f>
        <v/>
      </c>
      <c r="E442" s="44">
        <f>IF(A442="","",COUNTIFS(tbl_Finance[Job Number],A442&amp;"",tbl_Finance[Ex GST],"&lt;&gt;"))</f>
        <v/>
      </c>
      <c r="F442" s="16">
        <f>IF(A442="","",SUMIFS(tbl_Finance[Ex GST],tbl_Finance[Job Number],A442&amp;""))</f>
        <v/>
      </c>
      <c r="G442" s="14">
        <f>IF(A442="","",IFERROR(INDEX(tbl_Finance[Cost Centre],MATCH(A442&amp;"",tbl_Finance[Job Number],0)),"not invoiced yet"))</f>
        <v/>
      </c>
      <c r="H442" s="11" t="n"/>
      <c r="I442" s="13" t="n"/>
      <c r="J442" s="13" t="n"/>
      <c r="K442" s="13" t="n"/>
      <c r="L442" s="15" t="n"/>
      <c r="M442" s="16">
        <f>IF(A442="","",F442+N(L442))</f>
        <v/>
      </c>
      <c r="N442" s="46">
        <f>IFERROR(L442/M442,"")</f>
        <v/>
      </c>
      <c r="O442" s="15" t="n"/>
      <c r="P442" s="15" t="n"/>
      <c r="Q442" s="16">
        <f>IF(A442="","",N(O442)+N(P442))</f>
        <v/>
      </c>
      <c r="R442" s="16">
        <f>IF(A442="","",F442-Q442)</f>
        <v/>
      </c>
      <c r="S442" s="46">
        <f>IFERROR(R442/F442,"")</f>
        <v/>
      </c>
      <c r="T442" s="45" t="n"/>
      <c r="U442" s="45" t="n"/>
      <c r="V442" s="45" t="n"/>
      <c r="W442" s="45" t="n"/>
      <c r="X442" s="45" t="n"/>
      <c r="Y442" s="13" t="n"/>
    </row>
    <row r="443" ht="15" customHeight="1">
      <c r="A443" s="13" t="n"/>
      <c r="B443" s="14">
        <f>IF(A443="","",IF(COUNTIF(lst_Jobs,A443&amp;"")&gt;0,"OK","CHECK"))</f>
        <v/>
      </c>
      <c r="C443" s="14">
        <f>IF(A443="","",IFERROR(INDEX(lst_JobName,MATCH(A443&amp;"",lst_Jobs,0)),""))</f>
        <v/>
      </c>
      <c r="D443" s="14">
        <f>IF(A443="","",IFERROR(INDEX(tbl_Finance[Client],MATCH(A443&amp;"",tbl_Finance[Job Number],0)),""))</f>
        <v/>
      </c>
      <c r="E443" s="44">
        <f>IF(A443="","",COUNTIFS(tbl_Finance[Job Number],A443&amp;"",tbl_Finance[Ex GST],"&lt;&gt;"))</f>
        <v/>
      </c>
      <c r="F443" s="16">
        <f>IF(A443="","",SUMIFS(tbl_Finance[Ex GST],tbl_Finance[Job Number],A443&amp;""))</f>
        <v/>
      </c>
      <c r="G443" s="14">
        <f>IF(A443="","",IFERROR(INDEX(tbl_Finance[Cost Centre],MATCH(A443&amp;"",tbl_Finance[Job Number],0)),"not invoiced yet"))</f>
        <v/>
      </c>
      <c r="H443" s="11" t="n"/>
      <c r="I443" s="13" t="n"/>
      <c r="J443" s="13" t="n"/>
      <c r="K443" s="13" t="n"/>
      <c r="L443" s="15" t="n"/>
      <c r="M443" s="16">
        <f>IF(A443="","",F443+N(L443))</f>
        <v/>
      </c>
      <c r="N443" s="46">
        <f>IFERROR(L443/M443,"")</f>
        <v/>
      </c>
      <c r="O443" s="15" t="n"/>
      <c r="P443" s="15" t="n"/>
      <c r="Q443" s="16">
        <f>IF(A443="","",N(O443)+N(P443))</f>
        <v/>
      </c>
      <c r="R443" s="16">
        <f>IF(A443="","",F443-Q443)</f>
        <v/>
      </c>
      <c r="S443" s="46">
        <f>IFERROR(R443/F443,"")</f>
        <v/>
      </c>
      <c r="T443" s="45" t="n"/>
      <c r="U443" s="45" t="n"/>
      <c r="V443" s="45" t="n"/>
      <c r="W443" s="45" t="n"/>
      <c r="X443" s="45" t="n"/>
      <c r="Y443" s="13" t="n"/>
    </row>
    <row r="444" ht="15" customHeight="1">
      <c r="A444" s="13" t="n"/>
      <c r="B444" s="14">
        <f>IF(A444="","",IF(COUNTIF(lst_Jobs,A444&amp;"")&gt;0,"OK","CHECK"))</f>
        <v/>
      </c>
      <c r="C444" s="14">
        <f>IF(A444="","",IFERROR(INDEX(lst_JobName,MATCH(A444&amp;"",lst_Jobs,0)),""))</f>
        <v/>
      </c>
      <c r="D444" s="14">
        <f>IF(A444="","",IFERROR(INDEX(tbl_Finance[Client],MATCH(A444&amp;"",tbl_Finance[Job Number],0)),""))</f>
        <v/>
      </c>
      <c r="E444" s="44">
        <f>IF(A444="","",COUNTIFS(tbl_Finance[Job Number],A444&amp;"",tbl_Finance[Ex GST],"&lt;&gt;"))</f>
        <v/>
      </c>
      <c r="F444" s="16">
        <f>IF(A444="","",SUMIFS(tbl_Finance[Ex GST],tbl_Finance[Job Number],A444&amp;""))</f>
        <v/>
      </c>
      <c r="G444" s="14">
        <f>IF(A444="","",IFERROR(INDEX(tbl_Finance[Cost Centre],MATCH(A444&amp;"",tbl_Finance[Job Number],0)),"not invoiced yet"))</f>
        <v/>
      </c>
      <c r="H444" s="11" t="n"/>
      <c r="I444" s="13" t="n"/>
      <c r="J444" s="13" t="n"/>
      <c r="K444" s="13" t="n"/>
      <c r="L444" s="15" t="n"/>
      <c r="M444" s="16">
        <f>IF(A444="","",F444+N(L444))</f>
        <v/>
      </c>
      <c r="N444" s="46">
        <f>IFERROR(L444/M444,"")</f>
        <v/>
      </c>
      <c r="O444" s="15" t="n"/>
      <c r="P444" s="15" t="n"/>
      <c r="Q444" s="16">
        <f>IF(A444="","",N(O444)+N(P444))</f>
        <v/>
      </c>
      <c r="R444" s="16">
        <f>IF(A444="","",F444-Q444)</f>
        <v/>
      </c>
      <c r="S444" s="46">
        <f>IFERROR(R444/F444,"")</f>
        <v/>
      </c>
      <c r="T444" s="45" t="n"/>
      <c r="U444" s="45" t="n"/>
      <c r="V444" s="45" t="n"/>
      <c r="W444" s="45" t="n"/>
      <c r="X444" s="45" t="n"/>
      <c r="Y444" s="13" t="n"/>
    </row>
    <row r="445" ht="15" customHeight="1">
      <c r="A445" s="13" t="n"/>
      <c r="B445" s="14">
        <f>IF(A445="","",IF(COUNTIF(lst_Jobs,A445&amp;"")&gt;0,"OK","CHECK"))</f>
        <v/>
      </c>
      <c r="C445" s="14">
        <f>IF(A445="","",IFERROR(INDEX(lst_JobName,MATCH(A445&amp;"",lst_Jobs,0)),""))</f>
        <v/>
      </c>
      <c r="D445" s="14">
        <f>IF(A445="","",IFERROR(INDEX(tbl_Finance[Client],MATCH(A445&amp;"",tbl_Finance[Job Number],0)),""))</f>
        <v/>
      </c>
      <c r="E445" s="44">
        <f>IF(A445="","",COUNTIFS(tbl_Finance[Job Number],A445&amp;"",tbl_Finance[Ex GST],"&lt;&gt;"))</f>
        <v/>
      </c>
      <c r="F445" s="16">
        <f>IF(A445="","",SUMIFS(tbl_Finance[Ex GST],tbl_Finance[Job Number],A445&amp;""))</f>
        <v/>
      </c>
      <c r="G445" s="14">
        <f>IF(A445="","",IFERROR(INDEX(tbl_Finance[Cost Centre],MATCH(A445&amp;"",tbl_Finance[Job Number],0)),"not invoiced yet"))</f>
        <v/>
      </c>
      <c r="H445" s="11" t="n"/>
      <c r="I445" s="13" t="n"/>
      <c r="J445" s="13" t="n"/>
      <c r="K445" s="13" t="n"/>
      <c r="L445" s="15" t="n"/>
      <c r="M445" s="16">
        <f>IF(A445="","",F445+N(L445))</f>
        <v/>
      </c>
      <c r="N445" s="46">
        <f>IFERROR(L445/M445,"")</f>
        <v/>
      </c>
      <c r="O445" s="15" t="n"/>
      <c r="P445" s="15" t="n"/>
      <c r="Q445" s="16">
        <f>IF(A445="","",N(O445)+N(P445))</f>
        <v/>
      </c>
      <c r="R445" s="16">
        <f>IF(A445="","",F445-Q445)</f>
        <v/>
      </c>
      <c r="S445" s="46">
        <f>IFERROR(R445/F445,"")</f>
        <v/>
      </c>
      <c r="T445" s="45" t="n"/>
      <c r="U445" s="45" t="n"/>
      <c r="V445" s="45" t="n"/>
      <c r="W445" s="45" t="n"/>
      <c r="X445" s="45" t="n"/>
      <c r="Y445" s="13" t="n"/>
    </row>
    <row r="446" ht="15" customHeight="1">
      <c r="A446" s="13" t="n"/>
      <c r="B446" s="14">
        <f>IF(A446="","",IF(COUNTIF(lst_Jobs,A446&amp;"")&gt;0,"OK","CHECK"))</f>
        <v/>
      </c>
      <c r="C446" s="14">
        <f>IF(A446="","",IFERROR(INDEX(lst_JobName,MATCH(A446&amp;"",lst_Jobs,0)),""))</f>
        <v/>
      </c>
      <c r="D446" s="14">
        <f>IF(A446="","",IFERROR(INDEX(tbl_Finance[Client],MATCH(A446&amp;"",tbl_Finance[Job Number],0)),""))</f>
        <v/>
      </c>
      <c r="E446" s="44">
        <f>IF(A446="","",COUNTIFS(tbl_Finance[Job Number],A446&amp;"",tbl_Finance[Ex GST],"&lt;&gt;"))</f>
        <v/>
      </c>
      <c r="F446" s="16">
        <f>IF(A446="","",SUMIFS(tbl_Finance[Ex GST],tbl_Finance[Job Number],A446&amp;""))</f>
        <v/>
      </c>
      <c r="G446" s="14">
        <f>IF(A446="","",IFERROR(INDEX(tbl_Finance[Cost Centre],MATCH(A446&amp;"",tbl_Finance[Job Number],0)),"not invoiced yet"))</f>
        <v/>
      </c>
      <c r="H446" s="11" t="n"/>
      <c r="I446" s="13" t="n"/>
      <c r="J446" s="13" t="n"/>
      <c r="K446" s="13" t="n"/>
      <c r="L446" s="15" t="n"/>
      <c r="M446" s="16">
        <f>IF(A446="","",F446+N(L446))</f>
        <v/>
      </c>
      <c r="N446" s="46">
        <f>IFERROR(L446/M446,"")</f>
        <v/>
      </c>
      <c r="O446" s="15" t="n"/>
      <c r="P446" s="15" t="n"/>
      <c r="Q446" s="16">
        <f>IF(A446="","",N(O446)+N(P446))</f>
        <v/>
      </c>
      <c r="R446" s="16">
        <f>IF(A446="","",F446-Q446)</f>
        <v/>
      </c>
      <c r="S446" s="46">
        <f>IFERROR(R446/F446,"")</f>
        <v/>
      </c>
      <c r="T446" s="45" t="n"/>
      <c r="U446" s="45" t="n"/>
      <c r="V446" s="45" t="n"/>
      <c r="W446" s="45" t="n"/>
      <c r="X446" s="45" t="n"/>
      <c r="Y446" s="13" t="n"/>
    </row>
    <row r="447" ht="15" customHeight="1">
      <c r="A447" s="13" t="n"/>
      <c r="B447" s="14">
        <f>IF(A447="","",IF(COUNTIF(lst_Jobs,A447&amp;"")&gt;0,"OK","CHECK"))</f>
        <v/>
      </c>
      <c r="C447" s="14">
        <f>IF(A447="","",IFERROR(INDEX(lst_JobName,MATCH(A447&amp;"",lst_Jobs,0)),""))</f>
        <v/>
      </c>
      <c r="D447" s="14">
        <f>IF(A447="","",IFERROR(INDEX(tbl_Finance[Client],MATCH(A447&amp;"",tbl_Finance[Job Number],0)),""))</f>
        <v/>
      </c>
      <c r="E447" s="44">
        <f>IF(A447="","",COUNTIFS(tbl_Finance[Job Number],A447&amp;"",tbl_Finance[Ex GST],"&lt;&gt;"))</f>
        <v/>
      </c>
      <c r="F447" s="16">
        <f>IF(A447="","",SUMIFS(tbl_Finance[Ex GST],tbl_Finance[Job Number],A447&amp;""))</f>
        <v/>
      </c>
      <c r="G447" s="14">
        <f>IF(A447="","",IFERROR(INDEX(tbl_Finance[Cost Centre],MATCH(A447&amp;"",tbl_Finance[Job Number],0)),"not invoiced yet"))</f>
        <v/>
      </c>
      <c r="H447" s="11" t="n"/>
      <c r="I447" s="13" t="n"/>
      <c r="J447" s="13" t="n"/>
      <c r="K447" s="13" t="n"/>
      <c r="L447" s="15" t="n"/>
      <c r="M447" s="16">
        <f>IF(A447="","",F447+N(L447))</f>
        <v/>
      </c>
      <c r="N447" s="46">
        <f>IFERROR(L447/M447,"")</f>
        <v/>
      </c>
      <c r="O447" s="15" t="n"/>
      <c r="P447" s="15" t="n"/>
      <c r="Q447" s="16">
        <f>IF(A447="","",N(O447)+N(P447))</f>
        <v/>
      </c>
      <c r="R447" s="16">
        <f>IF(A447="","",F447-Q447)</f>
        <v/>
      </c>
      <c r="S447" s="46">
        <f>IFERROR(R447/F447,"")</f>
        <v/>
      </c>
      <c r="T447" s="45" t="n"/>
      <c r="U447" s="45" t="n"/>
      <c r="V447" s="45" t="n"/>
      <c r="W447" s="45" t="n"/>
      <c r="X447" s="45" t="n"/>
      <c r="Y447" s="13" t="n"/>
    </row>
    <row r="448" ht="15" customHeight="1">
      <c r="A448" s="13" t="n"/>
      <c r="B448" s="14">
        <f>IF(A448="","",IF(COUNTIF(lst_Jobs,A448&amp;"")&gt;0,"OK","CHECK"))</f>
        <v/>
      </c>
      <c r="C448" s="14">
        <f>IF(A448="","",IFERROR(INDEX(lst_JobName,MATCH(A448&amp;"",lst_Jobs,0)),""))</f>
        <v/>
      </c>
      <c r="D448" s="14">
        <f>IF(A448="","",IFERROR(INDEX(tbl_Finance[Client],MATCH(A448&amp;"",tbl_Finance[Job Number],0)),""))</f>
        <v/>
      </c>
      <c r="E448" s="44">
        <f>IF(A448="","",COUNTIFS(tbl_Finance[Job Number],A448&amp;"",tbl_Finance[Ex GST],"&lt;&gt;"))</f>
        <v/>
      </c>
      <c r="F448" s="16">
        <f>IF(A448="","",SUMIFS(tbl_Finance[Ex GST],tbl_Finance[Job Number],A448&amp;""))</f>
        <v/>
      </c>
      <c r="G448" s="14">
        <f>IF(A448="","",IFERROR(INDEX(tbl_Finance[Cost Centre],MATCH(A448&amp;"",tbl_Finance[Job Number],0)),"not invoiced yet"))</f>
        <v/>
      </c>
      <c r="H448" s="11" t="n"/>
      <c r="I448" s="13" t="n"/>
      <c r="J448" s="13" t="n"/>
      <c r="K448" s="13" t="n"/>
      <c r="L448" s="15" t="n"/>
      <c r="M448" s="16">
        <f>IF(A448="","",F448+N(L448))</f>
        <v/>
      </c>
      <c r="N448" s="46">
        <f>IFERROR(L448/M448,"")</f>
        <v/>
      </c>
      <c r="O448" s="15" t="n"/>
      <c r="P448" s="15" t="n"/>
      <c r="Q448" s="16">
        <f>IF(A448="","",N(O448)+N(P448))</f>
        <v/>
      </c>
      <c r="R448" s="16">
        <f>IF(A448="","",F448-Q448)</f>
        <v/>
      </c>
      <c r="S448" s="46">
        <f>IFERROR(R448/F448,"")</f>
        <v/>
      </c>
      <c r="T448" s="45" t="n"/>
      <c r="U448" s="45" t="n"/>
      <c r="V448" s="45" t="n"/>
      <c r="W448" s="45" t="n"/>
      <c r="X448" s="45" t="n"/>
      <c r="Y448" s="13" t="n"/>
    </row>
    <row r="449" ht="15" customHeight="1">
      <c r="A449" s="13" t="n"/>
      <c r="B449" s="14">
        <f>IF(A449="","",IF(COUNTIF(lst_Jobs,A449&amp;"")&gt;0,"OK","CHECK"))</f>
        <v/>
      </c>
      <c r="C449" s="14">
        <f>IF(A449="","",IFERROR(INDEX(lst_JobName,MATCH(A449&amp;"",lst_Jobs,0)),""))</f>
        <v/>
      </c>
      <c r="D449" s="14">
        <f>IF(A449="","",IFERROR(INDEX(tbl_Finance[Client],MATCH(A449&amp;"",tbl_Finance[Job Number],0)),""))</f>
        <v/>
      </c>
      <c r="E449" s="44">
        <f>IF(A449="","",COUNTIFS(tbl_Finance[Job Number],A449&amp;"",tbl_Finance[Ex GST],"&lt;&gt;"))</f>
        <v/>
      </c>
      <c r="F449" s="16">
        <f>IF(A449="","",SUMIFS(tbl_Finance[Ex GST],tbl_Finance[Job Number],A449&amp;""))</f>
        <v/>
      </c>
      <c r="G449" s="14">
        <f>IF(A449="","",IFERROR(INDEX(tbl_Finance[Cost Centre],MATCH(A449&amp;"",tbl_Finance[Job Number],0)),"not invoiced yet"))</f>
        <v/>
      </c>
      <c r="H449" s="11" t="n"/>
      <c r="I449" s="13" t="n"/>
      <c r="J449" s="13" t="n"/>
      <c r="K449" s="13" t="n"/>
      <c r="L449" s="15" t="n"/>
      <c r="M449" s="16">
        <f>IF(A449="","",F449+N(L449))</f>
        <v/>
      </c>
      <c r="N449" s="46">
        <f>IFERROR(L449/M449,"")</f>
        <v/>
      </c>
      <c r="O449" s="15" t="n"/>
      <c r="P449" s="15" t="n"/>
      <c r="Q449" s="16">
        <f>IF(A449="","",N(O449)+N(P449))</f>
        <v/>
      </c>
      <c r="R449" s="16">
        <f>IF(A449="","",F449-Q449)</f>
        <v/>
      </c>
      <c r="S449" s="46">
        <f>IFERROR(R449/F449,"")</f>
        <v/>
      </c>
      <c r="T449" s="45" t="n"/>
      <c r="U449" s="45" t="n"/>
      <c r="V449" s="45" t="n"/>
      <c r="W449" s="45" t="n"/>
      <c r="X449" s="45" t="n"/>
      <c r="Y449" s="13" t="n"/>
    </row>
    <row r="450" ht="15" customHeight="1">
      <c r="A450" s="13" t="n"/>
      <c r="B450" s="14">
        <f>IF(A450="","",IF(COUNTIF(lst_Jobs,A450&amp;"")&gt;0,"OK","CHECK"))</f>
        <v/>
      </c>
      <c r="C450" s="14">
        <f>IF(A450="","",IFERROR(INDEX(lst_JobName,MATCH(A450&amp;"",lst_Jobs,0)),""))</f>
        <v/>
      </c>
      <c r="D450" s="14">
        <f>IF(A450="","",IFERROR(INDEX(tbl_Finance[Client],MATCH(A450&amp;"",tbl_Finance[Job Number],0)),""))</f>
        <v/>
      </c>
      <c r="E450" s="44">
        <f>IF(A450="","",COUNTIFS(tbl_Finance[Job Number],A450&amp;"",tbl_Finance[Ex GST],"&lt;&gt;"))</f>
        <v/>
      </c>
      <c r="F450" s="16">
        <f>IF(A450="","",SUMIFS(tbl_Finance[Ex GST],tbl_Finance[Job Number],A450&amp;""))</f>
        <v/>
      </c>
      <c r="G450" s="14">
        <f>IF(A450="","",IFERROR(INDEX(tbl_Finance[Cost Centre],MATCH(A450&amp;"",tbl_Finance[Job Number],0)),"not invoiced yet"))</f>
        <v/>
      </c>
      <c r="H450" s="11" t="n"/>
      <c r="I450" s="13" t="n"/>
      <c r="J450" s="13" t="n"/>
      <c r="K450" s="13" t="n"/>
      <c r="L450" s="15" t="n"/>
      <c r="M450" s="16">
        <f>IF(A450="","",F450+N(L450))</f>
        <v/>
      </c>
      <c r="N450" s="46">
        <f>IFERROR(L450/M450,"")</f>
        <v/>
      </c>
      <c r="O450" s="15" t="n"/>
      <c r="P450" s="15" t="n"/>
      <c r="Q450" s="16">
        <f>IF(A450="","",N(O450)+N(P450))</f>
        <v/>
      </c>
      <c r="R450" s="16">
        <f>IF(A450="","",F450-Q450)</f>
        <v/>
      </c>
      <c r="S450" s="46">
        <f>IFERROR(R450/F450,"")</f>
        <v/>
      </c>
      <c r="T450" s="45" t="n"/>
      <c r="U450" s="45" t="n"/>
      <c r="V450" s="45" t="n"/>
      <c r="W450" s="45" t="n"/>
      <c r="X450" s="45" t="n"/>
      <c r="Y450" s="13" t="n"/>
    </row>
    <row r="451" ht="15" customHeight="1">
      <c r="A451" s="13" t="n"/>
      <c r="B451" s="14">
        <f>IF(A451="","",IF(COUNTIF(lst_Jobs,A451&amp;"")&gt;0,"OK","CHECK"))</f>
        <v/>
      </c>
      <c r="C451" s="14">
        <f>IF(A451="","",IFERROR(INDEX(lst_JobName,MATCH(A451&amp;"",lst_Jobs,0)),""))</f>
        <v/>
      </c>
      <c r="D451" s="14">
        <f>IF(A451="","",IFERROR(INDEX(tbl_Finance[Client],MATCH(A451&amp;"",tbl_Finance[Job Number],0)),""))</f>
        <v/>
      </c>
      <c r="E451" s="44">
        <f>IF(A451="","",COUNTIFS(tbl_Finance[Job Number],A451&amp;"",tbl_Finance[Ex GST],"&lt;&gt;"))</f>
        <v/>
      </c>
      <c r="F451" s="16">
        <f>IF(A451="","",SUMIFS(tbl_Finance[Ex GST],tbl_Finance[Job Number],A451&amp;""))</f>
        <v/>
      </c>
      <c r="G451" s="14">
        <f>IF(A451="","",IFERROR(INDEX(tbl_Finance[Cost Centre],MATCH(A451&amp;"",tbl_Finance[Job Number],0)),"not invoiced yet"))</f>
        <v/>
      </c>
      <c r="H451" s="11" t="n"/>
      <c r="I451" s="13" t="n"/>
      <c r="J451" s="13" t="n"/>
      <c r="K451" s="13" t="n"/>
      <c r="L451" s="15" t="n"/>
      <c r="M451" s="16">
        <f>IF(A451="","",F451+N(L451))</f>
        <v/>
      </c>
      <c r="N451" s="46">
        <f>IFERROR(L451/M451,"")</f>
        <v/>
      </c>
      <c r="O451" s="15" t="n"/>
      <c r="P451" s="15" t="n"/>
      <c r="Q451" s="16">
        <f>IF(A451="","",N(O451)+N(P451))</f>
        <v/>
      </c>
      <c r="R451" s="16">
        <f>IF(A451="","",F451-Q451)</f>
        <v/>
      </c>
      <c r="S451" s="46">
        <f>IFERROR(R451/F451,"")</f>
        <v/>
      </c>
      <c r="T451" s="45" t="n"/>
      <c r="U451" s="45" t="n"/>
      <c r="V451" s="45" t="n"/>
      <c r="W451" s="45" t="n"/>
      <c r="X451" s="45" t="n"/>
      <c r="Y451" s="13" t="n"/>
    </row>
    <row r="452" ht="15" customHeight="1">
      <c r="A452" s="13" t="n"/>
      <c r="B452" s="14">
        <f>IF(A452="","",IF(COUNTIF(lst_Jobs,A452&amp;"")&gt;0,"OK","CHECK"))</f>
        <v/>
      </c>
      <c r="C452" s="14">
        <f>IF(A452="","",IFERROR(INDEX(lst_JobName,MATCH(A452&amp;"",lst_Jobs,0)),""))</f>
        <v/>
      </c>
      <c r="D452" s="14">
        <f>IF(A452="","",IFERROR(INDEX(tbl_Finance[Client],MATCH(A452&amp;"",tbl_Finance[Job Number],0)),""))</f>
        <v/>
      </c>
      <c r="E452" s="44">
        <f>IF(A452="","",COUNTIFS(tbl_Finance[Job Number],A452&amp;"",tbl_Finance[Ex GST],"&lt;&gt;"))</f>
        <v/>
      </c>
      <c r="F452" s="16">
        <f>IF(A452="","",SUMIFS(tbl_Finance[Ex GST],tbl_Finance[Job Number],A452&amp;""))</f>
        <v/>
      </c>
      <c r="G452" s="14">
        <f>IF(A452="","",IFERROR(INDEX(tbl_Finance[Cost Centre],MATCH(A452&amp;"",tbl_Finance[Job Number],0)),"not invoiced yet"))</f>
        <v/>
      </c>
      <c r="H452" s="11" t="n"/>
      <c r="I452" s="13" t="n"/>
      <c r="J452" s="13" t="n"/>
      <c r="K452" s="13" t="n"/>
      <c r="L452" s="15" t="n"/>
      <c r="M452" s="16">
        <f>IF(A452="","",F452+N(L452))</f>
        <v/>
      </c>
      <c r="N452" s="46">
        <f>IFERROR(L452/M452,"")</f>
        <v/>
      </c>
      <c r="O452" s="15" t="n"/>
      <c r="P452" s="15" t="n"/>
      <c r="Q452" s="16">
        <f>IF(A452="","",N(O452)+N(P452))</f>
        <v/>
      </c>
      <c r="R452" s="16">
        <f>IF(A452="","",F452-Q452)</f>
        <v/>
      </c>
      <c r="S452" s="46">
        <f>IFERROR(R452/F452,"")</f>
        <v/>
      </c>
      <c r="T452" s="45" t="n"/>
      <c r="U452" s="45" t="n"/>
      <c r="V452" s="45" t="n"/>
      <c r="W452" s="45" t="n"/>
      <c r="X452" s="45" t="n"/>
      <c r="Y452" s="13" t="n"/>
    </row>
    <row r="453" ht="15" customHeight="1">
      <c r="A453" s="13" t="n"/>
      <c r="B453" s="14">
        <f>IF(A453="","",IF(COUNTIF(lst_Jobs,A453&amp;"")&gt;0,"OK","CHECK"))</f>
        <v/>
      </c>
      <c r="C453" s="14">
        <f>IF(A453="","",IFERROR(INDEX(lst_JobName,MATCH(A453&amp;"",lst_Jobs,0)),""))</f>
        <v/>
      </c>
      <c r="D453" s="14">
        <f>IF(A453="","",IFERROR(INDEX(tbl_Finance[Client],MATCH(A453&amp;"",tbl_Finance[Job Number],0)),""))</f>
        <v/>
      </c>
      <c r="E453" s="44">
        <f>IF(A453="","",COUNTIFS(tbl_Finance[Job Number],A453&amp;"",tbl_Finance[Ex GST],"&lt;&gt;"))</f>
        <v/>
      </c>
      <c r="F453" s="16">
        <f>IF(A453="","",SUMIFS(tbl_Finance[Ex GST],tbl_Finance[Job Number],A453&amp;""))</f>
        <v/>
      </c>
      <c r="G453" s="14">
        <f>IF(A453="","",IFERROR(INDEX(tbl_Finance[Cost Centre],MATCH(A453&amp;"",tbl_Finance[Job Number],0)),"not invoiced yet"))</f>
        <v/>
      </c>
      <c r="H453" s="11" t="n"/>
      <c r="I453" s="13" t="n"/>
      <c r="J453" s="13" t="n"/>
      <c r="K453" s="13" t="n"/>
      <c r="L453" s="15" t="n"/>
      <c r="M453" s="16">
        <f>IF(A453="","",F453+N(L453))</f>
        <v/>
      </c>
      <c r="N453" s="46">
        <f>IFERROR(L453/M453,"")</f>
        <v/>
      </c>
      <c r="O453" s="15" t="n"/>
      <c r="P453" s="15" t="n"/>
      <c r="Q453" s="16">
        <f>IF(A453="","",N(O453)+N(P453))</f>
        <v/>
      </c>
      <c r="R453" s="16">
        <f>IF(A453="","",F453-Q453)</f>
        <v/>
      </c>
      <c r="S453" s="46">
        <f>IFERROR(R453/F453,"")</f>
        <v/>
      </c>
      <c r="T453" s="45" t="n"/>
      <c r="U453" s="45" t="n"/>
      <c r="V453" s="45" t="n"/>
      <c r="W453" s="45" t="n"/>
      <c r="X453" s="45" t="n"/>
      <c r="Y453" s="13" t="n"/>
    </row>
    <row r="454" ht="15" customHeight="1">
      <c r="A454" s="13" t="n"/>
      <c r="B454" s="14">
        <f>IF(A454="","",IF(COUNTIF(lst_Jobs,A454&amp;"")&gt;0,"OK","CHECK"))</f>
        <v/>
      </c>
      <c r="C454" s="14">
        <f>IF(A454="","",IFERROR(INDEX(lst_JobName,MATCH(A454&amp;"",lst_Jobs,0)),""))</f>
        <v/>
      </c>
      <c r="D454" s="14">
        <f>IF(A454="","",IFERROR(INDEX(tbl_Finance[Client],MATCH(A454&amp;"",tbl_Finance[Job Number],0)),""))</f>
        <v/>
      </c>
      <c r="E454" s="44">
        <f>IF(A454="","",COUNTIFS(tbl_Finance[Job Number],A454&amp;"",tbl_Finance[Ex GST],"&lt;&gt;"))</f>
        <v/>
      </c>
      <c r="F454" s="16">
        <f>IF(A454="","",SUMIFS(tbl_Finance[Ex GST],tbl_Finance[Job Number],A454&amp;""))</f>
        <v/>
      </c>
      <c r="G454" s="14">
        <f>IF(A454="","",IFERROR(INDEX(tbl_Finance[Cost Centre],MATCH(A454&amp;"",tbl_Finance[Job Number],0)),"not invoiced yet"))</f>
        <v/>
      </c>
      <c r="H454" s="11" t="n"/>
      <c r="I454" s="13" t="n"/>
      <c r="J454" s="13" t="n"/>
      <c r="K454" s="13" t="n"/>
      <c r="L454" s="15" t="n"/>
      <c r="M454" s="16">
        <f>IF(A454="","",F454+N(L454))</f>
        <v/>
      </c>
      <c r="N454" s="46">
        <f>IFERROR(L454/M454,"")</f>
        <v/>
      </c>
      <c r="O454" s="15" t="n"/>
      <c r="P454" s="15" t="n"/>
      <c r="Q454" s="16">
        <f>IF(A454="","",N(O454)+N(P454))</f>
        <v/>
      </c>
      <c r="R454" s="16">
        <f>IF(A454="","",F454-Q454)</f>
        <v/>
      </c>
      <c r="S454" s="46">
        <f>IFERROR(R454/F454,"")</f>
        <v/>
      </c>
      <c r="T454" s="45" t="n"/>
      <c r="U454" s="45" t="n"/>
      <c r="V454" s="45" t="n"/>
      <c r="W454" s="45" t="n"/>
      <c r="X454" s="45" t="n"/>
      <c r="Y454" s="13" t="n"/>
    </row>
    <row r="455" ht="15" customHeight="1">
      <c r="A455" s="13" t="n"/>
      <c r="B455" s="14">
        <f>IF(A455="","",IF(COUNTIF(lst_Jobs,A455&amp;"")&gt;0,"OK","CHECK"))</f>
        <v/>
      </c>
      <c r="C455" s="14">
        <f>IF(A455="","",IFERROR(INDEX(lst_JobName,MATCH(A455&amp;"",lst_Jobs,0)),""))</f>
        <v/>
      </c>
      <c r="D455" s="14">
        <f>IF(A455="","",IFERROR(INDEX(tbl_Finance[Client],MATCH(A455&amp;"",tbl_Finance[Job Number],0)),""))</f>
        <v/>
      </c>
      <c r="E455" s="44">
        <f>IF(A455="","",COUNTIFS(tbl_Finance[Job Number],A455&amp;"",tbl_Finance[Ex GST],"&lt;&gt;"))</f>
        <v/>
      </c>
      <c r="F455" s="16">
        <f>IF(A455="","",SUMIFS(tbl_Finance[Ex GST],tbl_Finance[Job Number],A455&amp;""))</f>
        <v/>
      </c>
      <c r="G455" s="14">
        <f>IF(A455="","",IFERROR(INDEX(tbl_Finance[Cost Centre],MATCH(A455&amp;"",tbl_Finance[Job Number],0)),"not invoiced yet"))</f>
        <v/>
      </c>
      <c r="H455" s="11" t="n"/>
      <c r="I455" s="13" t="n"/>
      <c r="J455" s="13" t="n"/>
      <c r="K455" s="13" t="n"/>
      <c r="L455" s="15" t="n"/>
      <c r="M455" s="16">
        <f>IF(A455="","",F455+N(L455))</f>
        <v/>
      </c>
      <c r="N455" s="46">
        <f>IFERROR(L455/M455,"")</f>
        <v/>
      </c>
      <c r="O455" s="15" t="n"/>
      <c r="P455" s="15" t="n"/>
      <c r="Q455" s="16">
        <f>IF(A455="","",N(O455)+N(P455))</f>
        <v/>
      </c>
      <c r="R455" s="16">
        <f>IF(A455="","",F455-Q455)</f>
        <v/>
      </c>
      <c r="S455" s="46">
        <f>IFERROR(R455/F455,"")</f>
        <v/>
      </c>
      <c r="T455" s="45" t="n"/>
      <c r="U455" s="45" t="n"/>
      <c r="V455" s="45" t="n"/>
      <c r="W455" s="45" t="n"/>
      <c r="X455" s="45" t="n"/>
      <c r="Y455" s="13" t="n"/>
    </row>
    <row r="456" ht="15" customHeight="1">
      <c r="A456" s="13" t="n"/>
      <c r="B456" s="14">
        <f>IF(A456="","",IF(COUNTIF(lst_Jobs,A456&amp;"")&gt;0,"OK","CHECK"))</f>
        <v/>
      </c>
      <c r="C456" s="14">
        <f>IF(A456="","",IFERROR(INDEX(lst_JobName,MATCH(A456&amp;"",lst_Jobs,0)),""))</f>
        <v/>
      </c>
      <c r="D456" s="14">
        <f>IF(A456="","",IFERROR(INDEX(tbl_Finance[Client],MATCH(A456&amp;"",tbl_Finance[Job Number],0)),""))</f>
        <v/>
      </c>
      <c r="E456" s="44">
        <f>IF(A456="","",COUNTIFS(tbl_Finance[Job Number],A456&amp;"",tbl_Finance[Ex GST],"&lt;&gt;"))</f>
        <v/>
      </c>
      <c r="F456" s="16">
        <f>IF(A456="","",SUMIFS(tbl_Finance[Ex GST],tbl_Finance[Job Number],A456&amp;""))</f>
        <v/>
      </c>
      <c r="G456" s="14">
        <f>IF(A456="","",IFERROR(INDEX(tbl_Finance[Cost Centre],MATCH(A456&amp;"",tbl_Finance[Job Number],0)),"not invoiced yet"))</f>
        <v/>
      </c>
      <c r="H456" s="11" t="n"/>
      <c r="I456" s="13" t="n"/>
      <c r="J456" s="13" t="n"/>
      <c r="K456" s="13" t="n"/>
      <c r="L456" s="15" t="n"/>
      <c r="M456" s="16">
        <f>IF(A456="","",F456+N(L456))</f>
        <v/>
      </c>
      <c r="N456" s="46">
        <f>IFERROR(L456/M456,"")</f>
        <v/>
      </c>
      <c r="O456" s="15" t="n"/>
      <c r="P456" s="15" t="n"/>
      <c r="Q456" s="16">
        <f>IF(A456="","",N(O456)+N(P456))</f>
        <v/>
      </c>
      <c r="R456" s="16">
        <f>IF(A456="","",F456-Q456)</f>
        <v/>
      </c>
      <c r="S456" s="46">
        <f>IFERROR(R456/F456,"")</f>
        <v/>
      </c>
      <c r="T456" s="45" t="n"/>
      <c r="U456" s="45" t="n"/>
      <c r="V456" s="45" t="n"/>
      <c r="W456" s="45" t="n"/>
      <c r="X456" s="45" t="n"/>
      <c r="Y456" s="13" t="n"/>
    </row>
    <row r="457" ht="15" customHeight="1">
      <c r="A457" s="13" t="n"/>
      <c r="B457" s="14">
        <f>IF(A457="","",IF(COUNTIF(lst_Jobs,A457&amp;"")&gt;0,"OK","CHECK"))</f>
        <v/>
      </c>
      <c r="C457" s="14">
        <f>IF(A457="","",IFERROR(INDEX(lst_JobName,MATCH(A457&amp;"",lst_Jobs,0)),""))</f>
        <v/>
      </c>
      <c r="D457" s="14">
        <f>IF(A457="","",IFERROR(INDEX(tbl_Finance[Client],MATCH(A457&amp;"",tbl_Finance[Job Number],0)),""))</f>
        <v/>
      </c>
      <c r="E457" s="44">
        <f>IF(A457="","",COUNTIFS(tbl_Finance[Job Number],A457&amp;"",tbl_Finance[Ex GST],"&lt;&gt;"))</f>
        <v/>
      </c>
      <c r="F457" s="16">
        <f>IF(A457="","",SUMIFS(tbl_Finance[Ex GST],tbl_Finance[Job Number],A457&amp;""))</f>
        <v/>
      </c>
      <c r="G457" s="14">
        <f>IF(A457="","",IFERROR(INDEX(tbl_Finance[Cost Centre],MATCH(A457&amp;"",tbl_Finance[Job Number],0)),"not invoiced yet"))</f>
        <v/>
      </c>
      <c r="H457" s="11" t="n"/>
      <c r="I457" s="13" t="n"/>
      <c r="J457" s="13" t="n"/>
      <c r="K457" s="13" t="n"/>
      <c r="L457" s="15" t="n"/>
      <c r="M457" s="16">
        <f>IF(A457="","",F457+N(L457))</f>
        <v/>
      </c>
      <c r="N457" s="46">
        <f>IFERROR(L457/M457,"")</f>
        <v/>
      </c>
      <c r="O457" s="15" t="n"/>
      <c r="P457" s="15" t="n"/>
      <c r="Q457" s="16">
        <f>IF(A457="","",N(O457)+N(P457))</f>
        <v/>
      </c>
      <c r="R457" s="16">
        <f>IF(A457="","",F457-Q457)</f>
        <v/>
      </c>
      <c r="S457" s="46">
        <f>IFERROR(R457/F457,"")</f>
        <v/>
      </c>
      <c r="T457" s="45" t="n"/>
      <c r="U457" s="45" t="n"/>
      <c r="V457" s="45" t="n"/>
      <c r="W457" s="45" t="n"/>
      <c r="X457" s="45" t="n"/>
      <c r="Y457" s="13" t="n"/>
    </row>
    <row r="458" ht="15" customHeight="1">
      <c r="A458" s="13" t="n"/>
      <c r="B458" s="14">
        <f>IF(A458="","",IF(COUNTIF(lst_Jobs,A458&amp;"")&gt;0,"OK","CHECK"))</f>
        <v/>
      </c>
      <c r="C458" s="14">
        <f>IF(A458="","",IFERROR(INDEX(lst_JobName,MATCH(A458&amp;"",lst_Jobs,0)),""))</f>
        <v/>
      </c>
      <c r="D458" s="14">
        <f>IF(A458="","",IFERROR(INDEX(tbl_Finance[Client],MATCH(A458&amp;"",tbl_Finance[Job Number],0)),""))</f>
        <v/>
      </c>
      <c r="E458" s="44">
        <f>IF(A458="","",COUNTIFS(tbl_Finance[Job Number],A458&amp;"",tbl_Finance[Ex GST],"&lt;&gt;"))</f>
        <v/>
      </c>
      <c r="F458" s="16">
        <f>IF(A458="","",SUMIFS(tbl_Finance[Ex GST],tbl_Finance[Job Number],A458&amp;""))</f>
        <v/>
      </c>
      <c r="G458" s="14">
        <f>IF(A458="","",IFERROR(INDEX(tbl_Finance[Cost Centre],MATCH(A458&amp;"",tbl_Finance[Job Number],0)),"not invoiced yet"))</f>
        <v/>
      </c>
      <c r="H458" s="11" t="n"/>
      <c r="I458" s="13" t="n"/>
      <c r="J458" s="13" t="n"/>
      <c r="K458" s="13" t="n"/>
      <c r="L458" s="15" t="n"/>
      <c r="M458" s="16">
        <f>IF(A458="","",F458+N(L458))</f>
        <v/>
      </c>
      <c r="N458" s="46">
        <f>IFERROR(L458/M458,"")</f>
        <v/>
      </c>
      <c r="O458" s="15" t="n"/>
      <c r="P458" s="15" t="n"/>
      <c r="Q458" s="16">
        <f>IF(A458="","",N(O458)+N(P458))</f>
        <v/>
      </c>
      <c r="R458" s="16">
        <f>IF(A458="","",F458-Q458)</f>
        <v/>
      </c>
      <c r="S458" s="46">
        <f>IFERROR(R458/F458,"")</f>
        <v/>
      </c>
      <c r="T458" s="45" t="n"/>
      <c r="U458" s="45" t="n"/>
      <c r="V458" s="45" t="n"/>
      <c r="W458" s="45" t="n"/>
      <c r="X458" s="45" t="n"/>
      <c r="Y458" s="13" t="n"/>
    </row>
    <row r="459" ht="15" customHeight="1">
      <c r="A459" s="13" t="n"/>
      <c r="B459" s="14">
        <f>IF(A459="","",IF(COUNTIF(lst_Jobs,A459&amp;"")&gt;0,"OK","CHECK"))</f>
        <v/>
      </c>
      <c r="C459" s="14">
        <f>IF(A459="","",IFERROR(INDEX(lst_JobName,MATCH(A459&amp;"",lst_Jobs,0)),""))</f>
        <v/>
      </c>
      <c r="D459" s="14">
        <f>IF(A459="","",IFERROR(INDEX(tbl_Finance[Client],MATCH(A459&amp;"",tbl_Finance[Job Number],0)),""))</f>
        <v/>
      </c>
      <c r="E459" s="44">
        <f>IF(A459="","",COUNTIFS(tbl_Finance[Job Number],A459&amp;"",tbl_Finance[Ex GST],"&lt;&gt;"))</f>
        <v/>
      </c>
      <c r="F459" s="16">
        <f>IF(A459="","",SUMIFS(tbl_Finance[Ex GST],tbl_Finance[Job Number],A459&amp;""))</f>
        <v/>
      </c>
      <c r="G459" s="14">
        <f>IF(A459="","",IFERROR(INDEX(tbl_Finance[Cost Centre],MATCH(A459&amp;"",tbl_Finance[Job Number],0)),"not invoiced yet"))</f>
        <v/>
      </c>
      <c r="H459" s="11" t="n"/>
      <c r="I459" s="13" t="n"/>
      <c r="J459" s="13" t="n"/>
      <c r="K459" s="13" t="n"/>
      <c r="L459" s="15" t="n"/>
      <c r="M459" s="16">
        <f>IF(A459="","",F459+N(L459))</f>
        <v/>
      </c>
      <c r="N459" s="46">
        <f>IFERROR(L459/M459,"")</f>
        <v/>
      </c>
      <c r="O459" s="15" t="n"/>
      <c r="P459" s="15" t="n"/>
      <c r="Q459" s="16">
        <f>IF(A459="","",N(O459)+N(P459))</f>
        <v/>
      </c>
      <c r="R459" s="16">
        <f>IF(A459="","",F459-Q459)</f>
        <v/>
      </c>
      <c r="S459" s="46">
        <f>IFERROR(R459/F459,"")</f>
        <v/>
      </c>
      <c r="T459" s="45" t="n"/>
      <c r="U459" s="45" t="n"/>
      <c r="V459" s="45" t="n"/>
      <c r="W459" s="45" t="n"/>
      <c r="X459" s="45" t="n"/>
      <c r="Y459" s="13" t="n"/>
    </row>
    <row r="460" ht="15" customHeight="1">
      <c r="A460" s="13" t="n"/>
      <c r="B460" s="14">
        <f>IF(A460="","",IF(COUNTIF(lst_Jobs,A460&amp;"")&gt;0,"OK","CHECK"))</f>
        <v/>
      </c>
      <c r="C460" s="14">
        <f>IF(A460="","",IFERROR(INDEX(lst_JobName,MATCH(A460&amp;"",lst_Jobs,0)),""))</f>
        <v/>
      </c>
      <c r="D460" s="14">
        <f>IF(A460="","",IFERROR(INDEX(tbl_Finance[Client],MATCH(A460&amp;"",tbl_Finance[Job Number],0)),""))</f>
        <v/>
      </c>
      <c r="E460" s="44">
        <f>IF(A460="","",COUNTIFS(tbl_Finance[Job Number],A460&amp;"",tbl_Finance[Ex GST],"&lt;&gt;"))</f>
        <v/>
      </c>
      <c r="F460" s="16">
        <f>IF(A460="","",SUMIFS(tbl_Finance[Ex GST],tbl_Finance[Job Number],A460&amp;""))</f>
        <v/>
      </c>
      <c r="G460" s="14">
        <f>IF(A460="","",IFERROR(INDEX(tbl_Finance[Cost Centre],MATCH(A460&amp;"",tbl_Finance[Job Number],0)),"not invoiced yet"))</f>
        <v/>
      </c>
      <c r="H460" s="11" t="n"/>
      <c r="I460" s="13" t="n"/>
      <c r="J460" s="13" t="n"/>
      <c r="K460" s="13" t="n"/>
      <c r="L460" s="15" t="n"/>
      <c r="M460" s="16">
        <f>IF(A460="","",F460+N(L460))</f>
        <v/>
      </c>
      <c r="N460" s="46">
        <f>IFERROR(L460/M460,"")</f>
        <v/>
      </c>
      <c r="O460" s="15" t="n"/>
      <c r="P460" s="15" t="n"/>
      <c r="Q460" s="16">
        <f>IF(A460="","",N(O460)+N(P460))</f>
        <v/>
      </c>
      <c r="R460" s="16">
        <f>IF(A460="","",F460-Q460)</f>
        <v/>
      </c>
      <c r="S460" s="46">
        <f>IFERROR(R460/F460,"")</f>
        <v/>
      </c>
      <c r="T460" s="45" t="n"/>
      <c r="U460" s="45" t="n"/>
      <c r="V460" s="45" t="n"/>
      <c r="W460" s="45" t="n"/>
      <c r="X460" s="45" t="n"/>
      <c r="Y460" s="13" t="n"/>
    </row>
    <row r="461" ht="15" customHeight="1">
      <c r="A461" s="13" t="n"/>
      <c r="B461" s="14">
        <f>IF(A461="","",IF(COUNTIF(lst_Jobs,A461&amp;"")&gt;0,"OK","CHECK"))</f>
        <v/>
      </c>
      <c r="C461" s="14">
        <f>IF(A461="","",IFERROR(INDEX(lst_JobName,MATCH(A461&amp;"",lst_Jobs,0)),""))</f>
        <v/>
      </c>
      <c r="D461" s="14">
        <f>IF(A461="","",IFERROR(INDEX(tbl_Finance[Client],MATCH(A461&amp;"",tbl_Finance[Job Number],0)),""))</f>
        <v/>
      </c>
      <c r="E461" s="44">
        <f>IF(A461="","",COUNTIFS(tbl_Finance[Job Number],A461&amp;"",tbl_Finance[Ex GST],"&lt;&gt;"))</f>
        <v/>
      </c>
      <c r="F461" s="16">
        <f>IF(A461="","",SUMIFS(tbl_Finance[Ex GST],tbl_Finance[Job Number],A461&amp;""))</f>
        <v/>
      </c>
      <c r="G461" s="14">
        <f>IF(A461="","",IFERROR(INDEX(tbl_Finance[Cost Centre],MATCH(A461&amp;"",tbl_Finance[Job Number],0)),"not invoiced yet"))</f>
        <v/>
      </c>
      <c r="H461" s="11" t="n"/>
      <c r="I461" s="13" t="n"/>
      <c r="J461" s="13" t="n"/>
      <c r="K461" s="13" t="n"/>
      <c r="L461" s="15" t="n"/>
      <c r="M461" s="16">
        <f>IF(A461="","",F461+N(L461))</f>
        <v/>
      </c>
      <c r="N461" s="46">
        <f>IFERROR(L461/M461,"")</f>
        <v/>
      </c>
      <c r="O461" s="15" t="n"/>
      <c r="P461" s="15" t="n"/>
      <c r="Q461" s="16">
        <f>IF(A461="","",N(O461)+N(P461))</f>
        <v/>
      </c>
      <c r="R461" s="16">
        <f>IF(A461="","",F461-Q461)</f>
        <v/>
      </c>
      <c r="S461" s="46">
        <f>IFERROR(R461/F461,"")</f>
        <v/>
      </c>
      <c r="T461" s="45" t="n"/>
      <c r="U461" s="45" t="n"/>
      <c r="V461" s="45" t="n"/>
      <c r="W461" s="45" t="n"/>
      <c r="X461" s="45" t="n"/>
      <c r="Y461" s="13" t="n"/>
    </row>
    <row r="462" ht="15" customHeight="1">
      <c r="A462" s="13" t="n"/>
      <c r="B462" s="14">
        <f>IF(A462="","",IF(COUNTIF(lst_Jobs,A462&amp;"")&gt;0,"OK","CHECK"))</f>
        <v/>
      </c>
      <c r="C462" s="14">
        <f>IF(A462="","",IFERROR(INDEX(lst_JobName,MATCH(A462&amp;"",lst_Jobs,0)),""))</f>
        <v/>
      </c>
      <c r="D462" s="14">
        <f>IF(A462="","",IFERROR(INDEX(tbl_Finance[Client],MATCH(A462&amp;"",tbl_Finance[Job Number],0)),""))</f>
        <v/>
      </c>
      <c r="E462" s="44">
        <f>IF(A462="","",COUNTIFS(tbl_Finance[Job Number],A462&amp;"",tbl_Finance[Ex GST],"&lt;&gt;"))</f>
        <v/>
      </c>
      <c r="F462" s="16">
        <f>IF(A462="","",SUMIFS(tbl_Finance[Ex GST],tbl_Finance[Job Number],A462&amp;""))</f>
        <v/>
      </c>
      <c r="G462" s="14">
        <f>IF(A462="","",IFERROR(INDEX(tbl_Finance[Cost Centre],MATCH(A462&amp;"",tbl_Finance[Job Number],0)),"not invoiced yet"))</f>
        <v/>
      </c>
      <c r="H462" s="11" t="n"/>
      <c r="I462" s="13" t="n"/>
      <c r="J462" s="13" t="n"/>
      <c r="K462" s="13" t="n"/>
      <c r="L462" s="15" t="n"/>
      <c r="M462" s="16">
        <f>IF(A462="","",F462+N(L462))</f>
        <v/>
      </c>
      <c r="N462" s="46">
        <f>IFERROR(L462/M462,"")</f>
        <v/>
      </c>
      <c r="O462" s="15" t="n"/>
      <c r="P462" s="15" t="n"/>
      <c r="Q462" s="16">
        <f>IF(A462="","",N(O462)+N(P462))</f>
        <v/>
      </c>
      <c r="R462" s="16">
        <f>IF(A462="","",F462-Q462)</f>
        <v/>
      </c>
      <c r="S462" s="46">
        <f>IFERROR(R462/F462,"")</f>
        <v/>
      </c>
      <c r="T462" s="45" t="n"/>
      <c r="U462" s="45" t="n"/>
      <c r="V462" s="45" t="n"/>
      <c r="W462" s="45" t="n"/>
      <c r="X462" s="45" t="n"/>
      <c r="Y462" s="13" t="n"/>
    </row>
  </sheetData>
  <conditionalFormatting sqref="B5:B5000">
    <cfRule type="expression" priority="1" dxfId="0" stopIfTrue="0">
      <formula>B5="CHECK"</formula>
    </cfRule>
  </conditionalFormatting>
  <dataValidations count="1">
    <dataValidation sqref="K5:K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T432"/>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40" customWidth="1" min="3" max="3"/>
    <col width="24" customWidth="1" min="4" max="4"/>
    <col width="10" customWidth="1" min="5" max="5"/>
    <col width="16" customWidth="1" min="6" max="6"/>
    <col width="16" customWidth="1" min="7" max="7"/>
    <col width="42" customWidth="1" min="8" max="8"/>
    <col width="15" customWidth="1" min="9" max="9"/>
    <col width="15" customWidth="1" min="10" max="10"/>
    <col width="17" customWidth="1" min="11" max="11"/>
    <col width="19" customWidth="1" min="12" max="12"/>
    <col width="18" customWidth="1" min="13" max="13"/>
    <col width="22" customWidth="1" min="14" max="14"/>
    <col width="26" customWidth="1" min="15" max="15"/>
    <col width="28" customWidth="1" min="16" max="16"/>
    <col width="14" customWidth="1" min="17" max="17"/>
    <col width="14" customWidth="1" min="18" max="18"/>
    <col width="10" customWidth="1" min="19" max="19"/>
    <col width="40" customWidth="1" min="20" max="20"/>
  </cols>
  <sheetData>
    <row r="1" ht="24" customHeight="1">
      <c r="A1" s="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6" customHeight="1"/>
    <row r="4" ht="34" customHeight="1">
      <c r="A4" s="9" t="inlineStr">
        <is>
          <t>Job Number</t>
        </is>
      </c>
      <c r="B4" s="10" t="inlineStr">
        <is>
          <t>Job in Xero?</t>
        </is>
      </c>
      <c r="C4" s="10" t="inlineStr">
        <is>
          <t>Job Name (Xero)</t>
        </is>
      </c>
      <c r="D4" s="10" t="inlineStr">
        <is>
          <t>Client</t>
        </is>
      </c>
      <c r="E4" s="10" t="inlineStr">
        <is>
          <t>Invoices</t>
        </is>
      </c>
      <c r="F4" s="10" t="inlineStr">
        <is>
          <t>Revenue Ex GST</t>
        </is>
      </c>
      <c r="G4" s="10" t="inlineStr">
        <is>
          <t>Cost Centres</t>
        </is>
      </c>
      <c r="H4" s="9" t="inlineStr">
        <is>
          <t>Qwilr Link</t>
        </is>
      </c>
      <c r="I4" s="9" t="inlineStr">
        <is>
          <t>Opportunity No</t>
        </is>
      </c>
      <c r="J4" s="9" t="inlineStr">
        <is>
          <t>Labour Revenue</t>
        </is>
      </c>
      <c r="K4" s="9" t="inlineStr">
        <is>
          <t>Equipment Revenue</t>
        </is>
      </c>
      <c r="L4" s="9" t="inlineStr">
        <is>
          <t>Subscription Revenue</t>
        </is>
      </c>
      <c r="M4" s="10" t="inlineStr">
        <is>
          <t>Revenue Split Check</t>
        </is>
      </c>
      <c r="N4" s="9" t="inlineStr">
        <is>
          <t>Labour Expense (External)</t>
        </is>
      </c>
      <c r="O4" s="9" t="inlineStr">
        <is>
          <t>Equipment Expense (Internal)</t>
        </is>
      </c>
      <c r="P4" s="9" t="inlineStr">
        <is>
          <t>Subscription &amp; Licences Expense</t>
        </is>
      </c>
      <c r="Q4" s="10" t="inlineStr">
        <is>
          <t>Total Expense</t>
        </is>
      </c>
      <c r="R4" s="10" t="inlineStr">
        <is>
          <t>Margin</t>
        </is>
      </c>
      <c r="S4" s="10" t="inlineStr">
        <is>
          <t>Margin %</t>
        </is>
      </c>
      <c r="T4" s="9" t="inlineStr">
        <is>
          <t>Notes</t>
        </is>
      </c>
    </row>
    <row r="5" ht="15" customHeight="1">
      <c r="A5" s="13" t="inlineStr">
        <is>
          <t>25021901</t>
        </is>
      </c>
      <c r="B5" s="14">
        <f>IF(A5="","",IF(COUNTIF(lst_Jobs,A5&amp;"")&gt;0,"OK","CHECK"))</f>
        <v/>
      </c>
      <c r="C5" s="14">
        <f>IF(A5="","",IFERROR(INDEX(lst_JobName,MATCH(A5&amp;"",lst_Jobs,0)),""))</f>
        <v/>
      </c>
      <c r="D5" s="14">
        <f>IF(A5="","",IFERROR(INDEX(tbl_Finance[Client],MATCH(A5&amp;"",tbl_Finance[Job Number],0)),""))</f>
        <v/>
      </c>
      <c r="E5" s="44">
        <f>IF(A5="","",COUNTIFS(tbl_Finance[Job Number],A5&amp;"",tbl_Finance[Ex GST],"&lt;&gt;"))</f>
        <v/>
      </c>
      <c r="F5" s="16">
        <f>IF(A5="","",SUMIFS(tbl_Finance[Ex GST],tbl_Finance[Job Number],A5&amp;""))</f>
        <v/>
      </c>
      <c r="G5" s="14">
        <f>IF(A5="","",IFERROR(INDEX(tbl_Finance[Cost Centre],MATCH(A5&amp;"",tbl_Finance[Job Number],0)),"not invoiced yet"))</f>
        <v/>
      </c>
      <c r="H5" s="13" t="inlineStr">
        <is>
          <t>https://cts.qwilr.com/25021901-DAFF-Technology-Standards-Evaluation-A7PRmNNwQ5Wn</t>
        </is>
      </c>
      <c r="I5" s="13" t="n"/>
      <c r="J5" s="15" t="n">
        <v>9875</v>
      </c>
      <c r="K5" s="15" t="n"/>
      <c r="L5" s="15" t="n"/>
      <c r="M5" s="14">
        <f>IF(A5="","",IF(N(J5)+N(K5)+N(L5)=0,"Not split",IF(ROUND(N(J5)+N(K5)+N(L5),2)=ROUND(F5,2),"OK","MISMATCH")))</f>
        <v/>
      </c>
      <c r="N5" s="15" t="n"/>
      <c r="O5" s="15" t="n"/>
      <c r="P5" s="15" t="n"/>
      <c r="Q5" s="16">
        <f>IF(A5="","",N(N5)+N(O5)+N(P5))</f>
        <v/>
      </c>
      <c r="R5" s="16">
        <f>IF(A5="","",F5-Q5)</f>
        <v/>
      </c>
      <c r="S5" s="46">
        <f>IFERROR(R5/F5,"")</f>
        <v/>
      </c>
      <c r="T5" s="13" t="inlineStr">
        <is>
          <t>Revenue still in WIP</t>
        </is>
      </c>
    </row>
    <row r="6" ht="15" customHeight="1">
      <c r="A6" s="13" t="inlineStr">
        <is>
          <t>25102701</t>
        </is>
      </c>
      <c r="B6" s="14">
        <f>IF(A6="","",IF(COUNTIF(lst_Jobs,A6&amp;"")&gt;0,"OK","CHECK"))</f>
        <v/>
      </c>
      <c r="C6" s="14">
        <f>IF(A6="","",IFERROR(INDEX(lst_JobName,MATCH(A6&amp;"",lst_Jobs,0)),""))</f>
        <v/>
      </c>
      <c r="D6" s="14">
        <f>IF(A6="","",IFERROR(INDEX(tbl_Finance[Client],MATCH(A6&amp;"",tbl_Finance[Job Number],0)),""))</f>
        <v/>
      </c>
      <c r="E6" s="44">
        <f>IF(A6="","",COUNTIFS(tbl_Finance[Job Number],A6&amp;"",tbl_Finance[Ex GST],"&lt;&gt;"))</f>
        <v/>
      </c>
      <c r="F6" s="16">
        <f>IF(A6="","",SUMIFS(tbl_Finance[Ex GST],tbl_Finance[Job Number],A6&amp;""))</f>
        <v/>
      </c>
      <c r="G6" s="14">
        <f>IF(A6="","",IFERROR(INDEX(tbl_Finance[Cost Centre],MATCH(A6&amp;"",tbl_Finance[Job Number],0)),"not invoiced yet"))</f>
        <v/>
      </c>
      <c r="H6" s="13" t="inlineStr">
        <is>
          <t>https://cts.qwilr.com/25102701-DEWR-Studio-Upgrade-ESE25-143997-Rev-4-KTqWXx2QQz6f</t>
        </is>
      </c>
      <c r="I6" s="13" t="n"/>
      <c r="J6" s="15" t="n">
        <v>68273</v>
      </c>
      <c r="K6" s="15" t="n"/>
      <c r="L6" s="15" t="n"/>
      <c r="M6" s="14">
        <f>IF(A6="","",IF(N(J6)+N(K6)+N(L6)=0,"Not split",IF(ROUND(N(J6)+N(K6)+N(L6),2)=ROUND(F6,2),"OK","MISMATCH")))</f>
        <v/>
      </c>
      <c r="N6" s="15" t="n"/>
      <c r="O6" s="15" t="n">
        <v>149604.26</v>
      </c>
      <c r="P6" s="15" t="n"/>
      <c r="Q6" s="16">
        <f>IF(A6="","",N(N6)+N(O6)+N(P6))</f>
        <v/>
      </c>
      <c r="R6" s="16">
        <f>IF(A6="","",F6-Q6)</f>
        <v/>
      </c>
      <c r="S6" s="46">
        <f>IFERROR(R6/F6,"")</f>
        <v/>
      </c>
      <c r="T6" s="13" t="inlineStr">
        <is>
          <t>Progress Claim 01</t>
        </is>
      </c>
    </row>
    <row r="7" ht="15" customHeight="1">
      <c r="A7" s="13" t="inlineStr">
        <is>
          <t>26052002</t>
        </is>
      </c>
      <c r="B7" s="14">
        <f>IF(A7="","",IF(COUNTIF(lst_Jobs,A7&amp;"")&gt;0,"OK","CHECK"))</f>
        <v/>
      </c>
      <c r="C7" s="14">
        <f>IF(A7="","",IFERROR(INDEX(lst_JobName,MATCH(A7&amp;"",lst_Jobs,0)),""))</f>
        <v/>
      </c>
      <c r="D7" s="14">
        <f>IF(A7="","",IFERROR(INDEX(tbl_Finance[Client],MATCH(A7&amp;"",tbl_Finance[Job Number],0)),""))</f>
        <v/>
      </c>
      <c r="E7" s="44">
        <f>IF(A7="","",COUNTIFS(tbl_Finance[Job Number],A7&amp;"",tbl_Finance[Ex GST],"&lt;&gt;"))</f>
        <v/>
      </c>
      <c r="F7" s="16">
        <f>IF(A7="","",SUMIFS(tbl_Finance[Ex GST],tbl_Finance[Job Number],A7&amp;""))</f>
        <v/>
      </c>
      <c r="G7" s="14">
        <f>IF(A7="","",IFERROR(INDEX(tbl_Finance[Cost Centre],MATCH(A7&amp;"",tbl_Finance[Job Number],0)),"not invoiced yet"))</f>
        <v/>
      </c>
      <c r="H7" s="13" t="inlineStr">
        <is>
          <t>https://cts.qwilr.com/26052002-DeloitteBNE-Proposal-v1-0-Agx8wV5qTcax</t>
        </is>
      </c>
      <c r="I7" s="13" t="n"/>
      <c r="J7" s="15" t="n">
        <v>18262</v>
      </c>
      <c r="K7" s="15" t="n">
        <v>39444</v>
      </c>
      <c r="L7" s="15" t="n"/>
      <c r="M7" s="14">
        <f>IF(A7="","",IF(N(J7)+N(K7)+N(L7)=0,"Not split",IF(ROUND(N(J7)+N(K7)+N(L7),2)=ROUND(F7,2),"OK","MISMATCH")))</f>
        <v/>
      </c>
      <c r="N7" s="15" t="n">
        <v>15600</v>
      </c>
      <c r="O7" s="15" t="n">
        <v>36400</v>
      </c>
      <c r="P7" s="15" t="n"/>
      <c r="Q7" s="16">
        <f>IF(A7="","",N(N7)+N(O7)+N(P7))</f>
        <v/>
      </c>
      <c r="R7" s="16">
        <f>IF(A7="","",F7-Q7)</f>
        <v/>
      </c>
      <c r="S7" s="46">
        <f>IFERROR(R7/F7,"")</f>
        <v/>
      </c>
      <c r="T7" s="13" t="n"/>
    </row>
    <row r="8" ht="15" customHeight="1">
      <c r="A8" s="13" t="inlineStr">
        <is>
          <t>26052003</t>
        </is>
      </c>
      <c r="B8" s="14">
        <f>IF(A8="","",IF(COUNTIF(lst_Jobs,A8&amp;"")&gt;0,"OK","CHECK"))</f>
        <v/>
      </c>
      <c r="C8" s="14">
        <f>IF(A8="","",IFERROR(INDEX(lst_JobName,MATCH(A8&amp;"",lst_Jobs,0)),""))</f>
        <v/>
      </c>
      <c r="D8" s="14">
        <f>IF(A8="","",IFERROR(INDEX(tbl_Finance[Client],MATCH(A8&amp;"",tbl_Finance[Job Number],0)),""))</f>
        <v/>
      </c>
      <c r="E8" s="44">
        <f>IF(A8="","",COUNTIFS(tbl_Finance[Job Number],A8&amp;"",tbl_Finance[Ex GST],"&lt;&gt;"))</f>
        <v/>
      </c>
      <c r="F8" s="16">
        <f>IF(A8="","",SUMIFS(tbl_Finance[Ex GST],tbl_Finance[Job Number],A8&amp;""))</f>
        <v/>
      </c>
      <c r="G8" s="14">
        <f>IF(A8="","",IFERROR(INDEX(tbl_Finance[Cost Centre],MATCH(A8&amp;"",tbl_Finance[Job Number],0)),"not invoiced yet"))</f>
        <v/>
      </c>
      <c r="H8" s="13" t="inlineStr">
        <is>
          <t>https://cts.qwilr.com/26052003-DTTL-Costing-v1-0-0mJlWQroQJWo</t>
        </is>
      </c>
      <c r="I8" s="13" t="n"/>
      <c r="J8" s="15" t="n">
        <v>3054</v>
      </c>
      <c r="K8" s="15" t="n">
        <v>30885</v>
      </c>
      <c r="L8" s="15" t="n"/>
      <c r="M8" s="14">
        <f>IF(A8="","",IF(N(J8)+N(K8)+N(L8)=0,"Not split",IF(ROUND(N(J8)+N(K8)+N(L8),2)=ROUND(F8,2),"OK","MISMATCH")))</f>
        <v/>
      </c>
      <c r="N8" s="15" t="n">
        <v>659.27</v>
      </c>
      <c r="O8" s="15" t="n">
        <v>24821.31</v>
      </c>
      <c r="P8" s="15" t="n"/>
      <c r="Q8" s="16">
        <f>IF(A8="","",N(N8)+N(O8)+N(P8))</f>
        <v/>
      </c>
      <c r="R8" s="16">
        <f>IF(A8="","",F8-Q8)</f>
        <v/>
      </c>
      <c r="S8" s="46">
        <f>IFERROR(R8/F8,"")</f>
        <v/>
      </c>
      <c r="T8" s="13" t="inlineStr">
        <is>
          <t>Variation for slot in PC's</t>
        </is>
      </c>
    </row>
    <row r="9" ht="15" customHeight="1">
      <c r="A9" s="13" t="inlineStr">
        <is>
          <t>26051801</t>
        </is>
      </c>
      <c r="B9" s="14">
        <f>IF(A9="","",IF(COUNTIF(lst_Jobs,A9&amp;"")&gt;0,"OK","CHECK"))</f>
        <v/>
      </c>
      <c r="C9" s="14">
        <f>IF(A9="","",IFERROR(INDEX(lst_JobName,MATCH(A9&amp;"",lst_Jobs,0)),""))</f>
        <v/>
      </c>
      <c r="D9" s="14">
        <f>IF(A9="","",IFERROR(INDEX(tbl_Finance[Client],MATCH(A9&amp;"",tbl_Finance[Job Number],0)),""))</f>
        <v/>
      </c>
      <c r="E9" s="44">
        <f>IF(A9="","",COUNTIFS(tbl_Finance[Job Number],A9&amp;"",tbl_Finance[Ex GST],"&lt;&gt;"))</f>
        <v/>
      </c>
      <c r="F9" s="16">
        <f>IF(A9="","",SUMIFS(tbl_Finance[Ex GST],tbl_Finance[Job Number],A9&amp;""))</f>
        <v/>
      </c>
      <c r="G9" s="14">
        <f>IF(A9="","",IFERROR(INDEX(tbl_Finance[Cost Centre],MATCH(A9&amp;"",tbl_Finance[Job Number],0)),"not invoiced yet"))</f>
        <v/>
      </c>
      <c r="H9" s="13" t="inlineStr">
        <is>
          <t>https://cts.qwilr.com/26051801-PwC-Costing-v3-0-HUL2JaYQCO39</t>
        </is>
      </c>
      <c r="I9" s="13" t="n"/>
      <c r="J9" s="15" t="n">
        <v>289</v>
      </c>
      <c r="K9" s="15" t="n">
        <v>11750</v>
      </c>
      <c r="L9" s="15" t="n"/>
      <c r="M9" s="14">
        <f>IF(A9="","",IF(N(J9)+N(K9)+N(L9)=0,"Not split",IF(ROUND(N(J9)+N(K9)+N(L9),2)=ROUND(F9,2),"OK","MISMATCH")))</f>
        <v/>
      </c>
      <c r="N9" s="15" t="n">
        <v>237</v>
      </c>
      <c r="O9" s="15" t="n">
        <v>8810</v>
      </c>
      <c r="P9" s="15" t="n"/>
      <c r="Q9" s="16">
        <f>IF(A9="","",N(N9)+N(O9)+N(P9))</f>
        <v/>
      </c>
      <c r="R9" s="16">
        <f>IF(A9="","",F9-Q9)</f>
        <v/>
      </c>
      <c r="S9" s="46">
        <f>IFERROR(R9/F9,"")</f>
        <v/>
      </c>
      <c r="T9" s="13" t="n"/>
    </row>
    <row r="10" ht="15" customHeight="1">
      <c r="A10" s="13" t="inlineStr">
        <is>
          <t>26043003</t>
        </is>
      </c>
      <c r="B10" s="14">
        <f>IF(A10="","",IF(COUNTIF(lst_Jobs,A10&amp;"")&gt;0,"OK","CHECK"))</f>
        <v/>
      </c>
      <c r="C10" s="14">
        <f>IF(A10="","",IFERROR(INDEX(lst_JobName,MATCH(A10&amp;"",lst_Jobs,0)),""))</f>
        <v/>
      </c>
      <c r="D10" s="14">
        <f>IF(A10="","",IFERROR(INDEX(tbl_Finance[Client],MATCH(A10&amp;"",tbl_Finance[Job Number],0)),""))</f>
        <v/>
      </c>
      <c r="E10" s="44">
        <f>IF(A10="","",COUNTIFS(tbl_Finance[Job Number],A10&amp;"",tbl_Finance[Ex GST],"&lt;&gt;"))</f>
        <v/>
      </c>
      <c r="F10" s="16">
        <f>IF(A10="","",SUMIFS(tbl_Finance[Ex GST],tbl_Finance[Job Number],A10&amp;""))</f>
        <v/>
      </c>
      <c r="G10" s="14">
        <f>IF(A10="","",IFERROR(INDEX(tbl_Finance[Cost Centre],MATCH(A10&amp;"",tbl_Finance[Job Number],0)),"not invoiced yet"))</f>
        <v/>
      </c>
      <c r="H10" s="13" t="inlineStr">
        <is>
          <t>https://cts.qwilr.com/26043003-PwC-Costing-v1-0-LoPgcYilSIWh</t>
        </is>
      </c>
      <c r="I10" s="13" t="n"/>
      <c r="J10" s="15" t="n">
        <v>17766</v>
      </c>
      <c r="K10" s="15" t="n">
        <v>78301</v>
      </c>
      <c r="L10" s="15" t="n"/>
      <c r="M10" s="14">
        <f>IF(A10="","",IF(N(J10)+N(K10)+N(L10)=0,"Not split",IF(ROUND(N(J10)+N(K10)+N(L10),2)=ROUND(F10,2),"OK","MISMATCH")))</f>
        <v/>
      </c>
      <c r="N10" s="15" t="n">
        <v>13439</v>
      </c>
      <c r="O10" s="15" t="n">
        <v>74537</v>
      </c>
      <c r="P10" s="15" t="n"/>
      <c r="Q10" s="16">
        <f>IF(A10="","",N(N10)+N(O10)+N(P10))</f>
        <v/>
      </c>
      <c r="R10" s="16">
        <f>IF(A10="","",F10-Q10)</f>
        <v/>
      </c>
      <c r="S10" s="46">
        <f>IFERROR(R10/F10,"")</f>
        <v/>
      </c>
      <c r="T10" s="13" t="n"/>
    </row>
    <row r="11" ht="15" customHeight="1">
      <c r="A11" s="13" t="inlineStr">
        <is>
          <t>2606901</t>
        </is>
      </c>
      <c r="B11" s="14">
        <f>IF(A11="","",IF(COUNTIF(lst_Jobs,A11&amp;"")&gt;0,"OK","CHECK"))</f>
        <v/>
      </c>
      <c r="C11" s="14">
        <f>IF(A11="","",IFERROR(INDEX(lst_JobName,MATCH(A11&amp;"",lst_Jobs,0)),""))</f>
        <v/>
      </c>
      <c r="D11" s="14">
        <f>IF(A11="","",IFERROR(INDEX(tbl_Finance[Client],MATCH(A11&amp;"",tbl_Finance[Job Number],0)),""))</f>
        <v/>
      </c>
      <c r="E11" s="44">
        <f>IF(A11="","",COUNTIFS(tbl_Finance[Job Number],A11&amp;"",tbl_Finance[Ex GST],"&lt;&gt;"))</f>
        <v/>
      </c>
      <c r="F11" s="16">
        <f>IF(A11="","",SUMIFS(tbl_Finance[Ex GST],tbl_Finance[Job Number],A11&amp;""))</f>
        <v/>
      </c>
      <c r="G11" s="14">
        <f>IF(A11="","",IFERROR(INDEX(tbl_Finance[Cost Centre],MATCH(A11&amp;"",tbl_Finance[Job Number],0)),"not invoiced yet"))</f>
        <v/>
      </c>
      <c r="H11" s="13" t="inlineStr">
        <is>
          <t>https://app.qwilr.com/#/page-view/6a336995d5bfec1e1c7a08ed</t>
        </is>
      </c>
      <c r="I11" s="13" t="n"/>
      <c r="J11" s="15" t="n">
        <v>41</v>
      </c>
      <c r="K11" s="15" t="n">
        <v>520</v>
      </c>
      <c r="L11" s="15" t="n"/>
      <c r="M11" s="14">
        <f>IF(A11="","",IF(N(J11)+N(K11)+N(L11)=0,"Not split",IF(ROUND(N(J11)+N(K11)+N(L11),2)=ROUND(F11,2),"OK","MISMATCH")))</f>
        <v/>
      </c>
      <c r="N11" s="15" t="n">
        <v>30.98</v>
      </c>
      <c r="O11" s="15" t="n">
        <v>389</v>
      </c>
      <c r="P11" s="15" t="n"/>
      <c r="Q11" s="16">
        <f>IF(A11="","",N(N11)+N(O11)+N(P11))</f>
        <v/>
      </c>
      <c r="R11" s="16">
        <f>IF(A11="","",F11-Q11)</f>
        <v/>
      </c>
      <c r="S11" s="46">
        <f>IFERROR(R11/F11,"")</f>
        <v/>
      </c>
      <c r="T11" s="13" t="n"/>
    </row>
    <row r="12" ht="15" customHeight="1">
      <c r="A12" s="13" t="inlineStr">
        <is>
          <t>2602203</t>
        </is>
      </c>
      <c r="B12" s="14">
        <f>IF(A12="","",IF(COUNTIF(lst_Jobs,A12&amp;"")&gt;0,"OK","CHECK"))</f>
        <v/>
      </c>
      <c r="C12" s="14">
        <f>IF(A12="","",IFERROR(INDEX(lst_JobName,MATCH(A12&amp;"",lst_Jobs,0)),""))</f>
        <v/>
      </c>
      <c r="D12" s="14">
        <f>IF(A12="","",IFERROR(INDEX(tbl_Finance[Client],MATCH(A12&amp;"",tbl_Finance[Job Number],0)),""))</f>
        <v/>
      </c>
      <c r="E12" s="44">
        <f>IF(A12="","",COUNTIFS(tbl_Finance[Job Number],A12&amp;"",tbl_Finance[Ex GST],"&lt;&gt;"))</f>
        <v/>
      </c>
      <c r="F12" s="16">
        <f>IF(A12="","",SUMIFS(tbl_Finance[Ex GST],tbl_Finance[Job Number],A12&amp;""))</f>
        <v/>
      </c>
      <c r="G12" s="14">
        <f>IF(A12="","",IFERROR(INDEX(tbl_Finance[Cost Centre],MATCH(A12&amp;"",tbl_Finance[Job Number],0)),"not invoiced yet"))</f>
        <v/>
      </c>
      <c r="H12" s="13" t="inlineStr">
        <is>
          <t>https://cts.qwilr.com/2602203-YSGStudio-Proposal-A-Yw8447MlTUK7</t>
        </is>
      </c>
      <c r="I12" s="13" t="n"/>
      <c r="J12" s="15" t="n">
        <v>2247.5</v>
      </c>
      <c r="K12" s="15" t="n"/>
      <c r="L12" s="15" t="n"/>
      <c r="M12" s="14">
        <f>IF(A12="","",IF(N(J12)+N(K12)+N(L12)=0,"Not split",IF(ROUND(N(J12)+N(K12)+N(L12),2)=ROUND(F12,2),"OK","MISMATCH")))</f>
        <v/>
      </c>
      <c r="N12" s="15" t="n">
        <v>4840.96</v>
      </c>
      <c r="O12" s="15" t="n">
        <v>17621.33</v>
      </c>
      <c r="P12" s="15" t="n"/>
      <c r="Q12" s="16">
        <f>IF(A12="","",N(N12)+N(O12)+N(P12))</f>
        <v/>
      </c>
      <c r="R12" s="16">
        <f>IF(A12="","",F12-Q12)</f>
        <v/>
      </c>
      <c r="S12" s="46">
        <f>IFERROR(R12/F12,"")</f>
        <v/>
      </c>
      <c r="T12" s="13" t="inlineStr">
        <is>
          <t>Progress Claim 03</t>
        </is>
      </c>
    </row>
    <row r="13" ht="15" customHeight="1">
      <c r="A13" s="13" t="inlineStr">
        <is>
          <t>25111203</t>
        </is>
      </c>
      <c r="B13" s="14">
        <f>IF(A13="","",IF(COUNTIF(lst_Jobs,A13&amp;"")&gt;0,"OK","CHECK"))</f>
        <v/>
      </c>
      <c r="C13" s="14">
        <f>IF(A13="","",IFERROR(INDEX(lst_JobName,MATCH(A13&amp;"",lst_Jobs,0)),""))</f>
        <v/>
      </c>
      <c r="D13" s="14">
        <f>IF(A13="","",IFERROR(INDEX(tbl_Finance[Client],MATCH(A13&amp;"",tbl_Finance[Job Number],0)),""))</f>
        <v/>
      </c>
      <c r="E13" s="44">
        <f>IF(A13="","",COUNTIFS(tbl_Finance[Job Number],A13&amp;"",tbl_Finance[Ex GST],"&lt;&gt;"))</f>
        <v/>
      </c>
      <c r="F13" s="16">
        <f>IF(A13="","",SUMIFS(tbl_Finance[Ex GST],tbl_Finance[Job Number],A13&amp;""))</f>
        <v/>
      </c>
      <c r="G13" s="14">
        <f>IF(A13="","",IFERROR(INDEX(tbl_Finance[Cost Centre],MATCH(A13&amp;"",tbl_Finance[Job Number],0)),"not invoiced yet"))</f>
        <v/>
      </c>
      <c r="H13" s="13" t="inlineStr">
        <is>
          <t>https://cts.qwilr.com/25111203-CoS-Proposal-v3-0-SyP1MwQ2TcKi</t>
        </is>
      </c>
      <c r="I13" s="13" t="n"/>
      <c r="J13" s="15" t="n"/>
      <c r="K13" s="15" t="n">
        <v>159150</v>
      </c>
      <c r="L13" s="15" t="n"/>
      <c r="M13" s="14">
        <f>IF(A13="","",IF(N(J13)+N(K13)+N(L13)=0,"Not split",IF(ROUND(N(J13)+N(K13)+N(L13),2)=ROUND(F13,2),"OK","MISMATCH")))</f>
        <v/>
      </c>
      <c r="N13" s="15" t="n"/>
      <c r="O13" s="15" t="n">
        <v>149604.26</v>
      </c>
      <c r="P13" s="15" t="n"/>
      <c r="Q13" s="16">
        <f>IF(A13="","",N(N13)+N(O13)+N(P13))</f>
        <v/>
      </c>
      <c r="R13" s="16">
        <f>IF(A13="","",F13-Q13)</f>
        <v/>
      </c>
      <c r="S13" s="46">
        <f>IFERROR(R13/F13,"")</f>
        <v/>
      </c>
      <c r="T13" s="13" t="n"/>
    </row>
    <row r="14" ht="15" customHeight="1">
      <c r="A14" s="13" t="inlineStr">
        <is>
          <t>26033003</t>
        </is>
      </c>
      <c r="B14" s="14">
        <f>IF(A14="","",IF(COUNTIF(lst_Jobs,A14&amp;"")&gt;0,"OK","CHECK"))</f>
        <v/>
      </c>
      <c r="C14" s="14">
        <f>IF(A14="","",IFERROR(INDEX(lst_JobName,MATCH(A14&amp;"",lst_Jobs,0)),""))</f>
        <v/>
      </c>
      <c r="D14" s="14">
        <f>IF(A14="","",IFERROR(INDEX(tbl_Finance[Client],MATCH(A14&amp;"",tbl_Finance[Job Number],0)),""))</f>
        <v/>
      </c>
      <c r="E14" s="44">
        <f>IF(A14="","",COUNTIFS(tbl_Finance[Job Number],A14&amp;"",tbl_Finance[Ex GST],"&lt;&gt;"))</f>
        <v/>
      </c>
      <c r="F14" s="16">
        <f>IF(A14="","",SUMIFS(tbl_Finance[Ex GST],tbl_Finance[Job Number],A14&amp;""))</f>
        <v/>
      </c>
      <c r="G14" s="14">
        <f>IF(A14="","",IFERROR(INDEX(tbl_Finance[Cost Centre],MATCH(A14&amp;"",tbl_Finance[Job Number],0)),"not invoiced yet"))</f>
        <v/>
      </c>
      <c r="H14" s="13" t="inlineStr">
        <is>
          <t>26033003-Deloitte-8PSQ-Dream-Big-Microphones-v1-0-E9jd4w9T62Y1</t>
        </is>
      </c>
      <c r="I14" s="13" t="n"/>
      <c r="J14" s="15" t="n">
        <v>5904</v>
      </c>
      <c r="K14" s="15" t="n">
        <v>21504</v>
      </c>
      <c r="L14" s="15" t="n"/>
      <c r="M14" s="14">
        <f>IF(A14="","",IF(N(J14)+N(K14)+N(L14)=0,"Not split",IF(ROUND(N(J14)+N(K14)+N(L14),2)=ROUND(F14,2),"OK","MISMATCH")))</f>
        <v/>
      </c>
      <c r="N14" s="15" t="n">
        <v>4840.8</v>
      </c>
      <c r="O14" s="15" t="n">
        <v>17621.2</v>
      </c>
      <c r="P14" s="15" t="n"/>
      <c r="Q14" s="16">
        <f>IF(A14="","",N(N14)+N(O14)+N(P14))</f>
        <v/>
      </c>
      <c r="R14" s="16">
        <f>IF(A14="","",F14-Q14)</f>
        <v/>
      </c>
      <c r="S14" s="46">
        <f>IFERROR(R14/F14,"")</f>
        <v/>
      </c>
      <c r="T14" s="13" t="inlineStr">
        <is>
          <t>Invoiced in DTTL Additionals</t>
        </is>
      </c>
    </row>
    <row r="15" ht="15" customHeight="1">
      <c r="A15" s="13" t="inlineStr">
        <is>
          <t>26033005</t>
        </is>
      </c>
      <c r="B15" s="14">
        <f>IF(A15="","",IF(COUNTIF(lst_Jobs,A15&amp;"")&gt;0,"OK","CHECK"))</f>
        <v/>
      </c>
      <c r="C15" s="14">
        <f>IF(A15="","",IFERROR(INDEX(lst_JobName,MATCH(A15&amp;"",lst_Jobs,0)),""))</f>
        <v/>
      </c>
      <c r="D15" s="14">
        <f>IF(A15="","",IFERROR(INDEX(tbl_Finance[Client],MATCH(A15&amp;"",tbl_Finance[Job Number],0)),""))</f>
        <v/>
      </c>
      <c r="E15" s="44">
        <f>IF(A15="","",COUNTIFS(tbl_Finance[Job Number],A15&amp;"",tbl_Finance[Ex GST],"&lt;&gt;"))</f>
        <v/>
      </c>
      <c r="F15" s="16">
        <f>IF(A15="","",SUMIFS(tbl_Finance[Ex GST],tbl_Finance[Job Number],A15&amp;""))</f>
        <v/>
      </c>
      <c r="G15" s="14">
        <f>IF(A15="","",IFERROR(INDEX(tbl_Finance[Cost Centre],MATCH(A15&amp;"",tbl_Finance[Job Number],0)),"not invoiced yet"))</f>
        <v/>
      </c>
      <c r="H15" s="13" t="inlineStr">
        <is>
          <t>26033005_Deloitte QQT &amp; 8PSQ_Crestron Connect Adaptor_v1.0</t>
        </is>
      </c>
      <c r="I15" s="13" t="n"/>
      <c r="J15" s="15" t="n">
        <v>4105</v>
      </c>
      <c r="K15" s="15" t="n">
        <v>16023</v>
      </c>
      <c r="L15" s="15" t="n"/>
      <c r="M15" s="14">
        <f>IF(A15="","",IF(N(J15)+N(K15)+N(L15)=0,"Not split",IF(ROUND(N(J15)+N(K15)+N(L15),2)=ROUND(F15,2),"OK","MISMATCH")))</f>
        <v/>
      </c>
      <c r="N15" s="15" t="n">
        <v>3013.72</v>
      </c>
      <c r="O15" s="15" t="n">
        <v>13493.15</v>
      </c>
      <c r="P15" s="15" t="n"/>
      <c r="Q15" s="16">
        <f>IF(A15="","",N(N15)+N(O15)+N(P15))</f>
        <v/>
      </c>
      <c r="R15" s="16">
        <f>IF(A15="","",F15-Q15)</f>
        <v/>
      </c>
      <c r="S15" s="46">
        <f>IFERROR(R15/F15,"")</f>
        <v/>
      </c>
      <c r="T15" s="13" t="n"/>
    </row>
    <row r="16" ht="15" customHeight="1">
      <c r="A16" s="13" t="inlineStr">
        <is>
          <t>26033006</t>
        </is>
      </c>
      <c r="B16" s="14">
        <f>IF(A16="","",IF(COUNTIF(lst_Jobs,A16&amp;"")&gt;0,"OK","CHECK"))</f>
        <v/>
      </c>
      <c r="C16" s="14">
        <f>IF(A16="","",IFERROR(INDEX(lst_JobName,MATCH(A16&amp;"",lst_Jobs,0)),""))</f>
        <v/>
      </c>
      <c r="D16" s="14">
        <f>IF(A16="","",IFERROR(INDEX(tbl_Finance[Client],MATCH(A16&amp;"",tbl_Finance[Job Number],0)),""))</f>
        <v/>
      </c>
      <c r="E16" s="44">
        <f>IF(A16="","",COUNTIFS(tbl_Finance[Job Number],A16&amp;"",tbl_Finance[Ex GST],"&lt;&gt;"))</f>
        <v/>
      </c>
      <c r="F16" s="16">
        <f>IF(A16="","",SUMIFS(tbl_Finance[Ex GST],tbl_Finance[Job Number],A16&amp;""))</f>
        <v/>
      </c>
      <c r="G16" s="14">
        <f>IF(A16="","",IFERROR(INDEX(tbl_Finance[Cost Centre],MATCH(A16&amp;"",tbl_Finance[Job Number],0)),"not invoiced yet"))</f>
        <v/>
      </c>
      <c r="H16" s="13" t="inlineStr">
        <is>
          <t>26033006_Deloitte 8PSQ_Bluetooth Audio_v1.0</t>
        </is>
      </c>
      <c r="I16" s="13" t="n"/>
      <c r="J16" s="15" t="n">
        <v>2578</v>
      </c>
      <c r="K16" s="15" t="n">
        <v>2487</v>
      </c>
      <c r="L16" s="15" t="n"/>
      <c r="M16" s="14">
        <f>IF(A16="","",IF(N(J16)+N(K16)+N(L16)=0,"Not split",IF(ROUND(N(J16)+N(K16)+N(L16),2)=ROUND(F16,2),"OK","MISMATCH")))</f>
        <v/>
      </c>
      <c r="N16" s="15" t="n">
        <v>2114</v>
      </c>
      <c r="O16" s="15" t="n">
        <v>2110</v>
      </c>
      <c r="P16" s="15" t="n"/>
      <c r="Q16" s="16">
        <f>IF(A16="","",N(N16)+N(O16)+N(P16))</f>
        <v/>
      </c>
      <c r="R16" s="16">
        <f>IF(A16="","",F16-Q16)</f>
        <v/>
      </c>
      <c r="S16" s="46">
        <f>IFERROR(R16/F16,"")</f>
        <v/>
      </c>
      <c r="T16" s="13" t="n"/>
    </row>
    <row r="17" ht="15" customHeight="1">
      <c r="A17" s="13" t="inlineStr">
        <is>
          <t>26033007</t>
        </is>
      </c>
      <c r="B17" s="14">
        <f>IF(A17="","",IF(COUNTIF(lst_Jobs,A17&amp;"")&gt;0,"OK","CHECK"))</f>
        <v/>
      </c>
      <c r="C17" s="14">
        <f>IF(A17="","",IFERROR(INDEX(lst_JobName,MATCH(A17&amp;"",lst_Jobs,0)),""))</f>
        <v/>
      </c>
      <c r="D17" s="14">
        <f>IF(A17="","",IFERROR(INDEX(tbl_Finance[Client],MATCH(A17&amp;"",tbl_Finance[Job Number],0)),""))</f>
        <v/>
      </c>
      <c r="E17" s="44">
        <f>IF(A17="","",COUNTIFS(tbl_Finance[Job Number],A17&amp;"",tbl_Finance[Ex GST],"&lt;&gt;"))</f>
        <v/>
      </c>
      <c r="F17" s="16">
        <f>IF(A17="","",SUMIFS(tbl_Finance[Ex GST],tbl_Finance[Job Number],A17&amp;""))</f>
        <v/>
      </c>
      <c r="G17" s="14">
        <f>IF(A17="","",IFERROR(INDEX(tbl_Finance[Cost Centre],MATCH(A17&amp;"",tbl_Finance[Job Number],0)),"not invoiced yet"))</f>
        <v/>
      </c>
      <c r="H17" s="13" t="inlineStr">
        <is>
          <t>26033007_Deloitte QQT_Lv45 Seminar-Wheels repair_v1.0</t>
        </is>
      </c>
      <c r="I17" s="13" t="n"/>
      <c r="J17" s="15" t="n"/>
      <c r="K17" s="15" t="n">
        <v>354</v>
      </c>
      <c r="L17" s="15" t="n"/>
      <c r="M17" s="14">
        <f>IF(A17="","",IF(N(J17)+N(K17)+N(L17)=0,"Not split",IF(ROUND(N(J17)+N(K17)+N(L17),2)=ROUND(F17,2),"OK","MISMATCH")))</f>
        <v/>
      </c>
      <c r="N17" s="15" t="n"/>
      <c r="O17" s="15" t="n">
        <v>289.42</v>
      </c>
      <c r="P17" s="15" t="n"/>
      <c r="Q17" s="16">
        <f>IF(A17="","",N(N17)+N(O17)+N(P17))</f>
        <v/>
      </c>
      <c r="R17" s="16">
        <f>IF(A17="","",F17-Q17)</f>
        <v/>
      </c>
      <c r="S17" s="46">
        <f>IFERROR(R17/F17,"")</f>
        <v/>
      </c>
      <c r="T17" s="13" t="n"/>
    </row>
    <row r="18" ht="15" customHeight="1">
      <c r="A18" s="13" t="inlineStr">
        <is>
          <t>26051301</t>
        </is>
      </c>
      <c r="B18" s="14">
        <f>IF(A18="","",IF(COUNTIF(lst_Jobs,A18&amp;"")&gt;0,"OK","CHECK"))</f>
        <v/>
      </c>
      <c r="C18" s="14">
        <f>IF(A18="","",IFERROR(INDEX(lst_JobName,MATCH(A18&amp;"",lst_Jobs,0)),""))</f>
        <v/>
      </c>
      <c r="D18" s="14">
        <f>IF(A18="","",IFERROR(INDEX(tbl_Finance[Client],MATCH(A18&amp;"",tbl_Finance[Job Number],0)),""))</f>
        <v/>
      </c>
      <c r="E18" s="44">
        <f>IF(A18="","",COUNTIFS(tbl_Finance[Job Number],A18&amp;"",tbl_Finance[Ex GST],"&lt;&gt;"))</f>
        <v/>
      </c>
      <c r="F18" s="16">
        <f>IF(A18="","",SUMIFS(tbl_Finance[Ex GST],tbl_Finance[Job Number],A18&amp;""))</f>
        <v/>
      </c>
      <c r="G18" s="14">
        <f>IF(A18="","",IFERROR(INDEX(tbl_Finance[Cost Centre],MATCH(A18&amp;"",tbl_Finance[Job Number],0)),"not invoiced yet"))</f>
        <v/>
      </c>
      <c r="H18" s="13" t="inlineStr">
        <is>
          <t>https://cts.qwilr.com/26051301-HP-BAE-PhoneMod-v1-0-nL48O1eQt25h</t>
        </is>
      </c>
      <c r="I18" s="13" t="n"/>
      <c r="J18" s="15" t="n">
        <v>552</v>
      </c>
      <c r="K18" s="15" t="n">
        <v>609</v>
      </c>
      <c r="L18" s="15" t="n"/>
      <c r="M18" s="14">
        <f>IF(A18="","",IF(N(J18)+N(K18)+N(L18)=0,"Not split",IF(ROUND(N(J18)+N(K18)+N(L18),2)=ROUND(F18,2),"OK","MISMATCH")))</f>
        <v/>
      </c>
      <c r="N18" s="15" t="n">
        <v>486</v>
      </c>
      <c r="O18" s="15" t="n">
        <v>402</v>
      </c>
      <c r="P18" s="15" t="n"/>
      <c r="Q18" s="16">
        <f>IF(A18="","",N(N18)+N(O18)+N(P18))</f>
        <v/>
      </c>
      <c r="R18" s="16">
        <f>IF(A18="","",F18-Q18)</f>
        <v/>
      </c>
      <c r="S18" s="46">
        <f>IFERROR(R18/F18,"")</f>
        <v/>
      </c>
      <c r="T18" s="13" t="n"/>
    </row>
    <row r="19" ht="15" customHeight="1">
      <c r="A19" s="13" t="inlineStr">
        <is>
          <t>26061501</t>
        </is>
      </c>
      <c r="B19" s="14">
        <f>IF(A19="","",IF(COUNTIF(lst_Jobs,A19&amp;"")&gt;0,"OK","CHECK"))</f>
        <v/>
      </c>
      <c r="C19" s="14">
        <f>IF(A19="","",IFERROR(INDEX(lst_JobName,MATCH(A19&amp;"",lst_Jobs,0)),""))</f>
        <v/>
      </c>
      <c r="D19" s="14">
        <f>IF(A19="","",IFERROR(INDEX(tbl_Finance[Client],MATCH(A19&amp;"",tbl_Finance[Job Number],0)),""))</f>
        <v/>
      </c>
      <c r="E19" s="44">
        <f>IF(A19="","",COUNTIFS(tbl_Finance[Job Number],A19&amp;"",tbl_Finance[Ex GST],"&lt;&gt;"))</f>
        <v/>
      </c>
      <c r="F19" s="16">
        <f>IF(A19="","",SUMIFS(tbl_Finance[Ex GST],tbl_Finance[Job Number],A19&amp;""))</f>
        <v/>
      </c>
      <c r="G19" s="14">
        <f>IF(A19="","",IFERROR(INDEX(tbl_Finance[Cost Centre],MATCH(A19&amp;"",tbl_Finance[Job Number],0)),"not invoiced yet"))</f>
        <v/>
      </c>
      <c r="H19" s="13" t="inlineStr">
        <is>
          <t>https://cts.qwilr.com/26061501-DTTL-Costing-v1-0-3HdQMOES9eDo</t>
        </is>
      </c>
      <c r="I19" s="13" t="n"/>
      <c r="J19" s="15" t="n">
        <v>1639</v>
      </c>
      <c r="K19" s="15" t="n">
        <v>2251</v>
      </c>
      <c r="L19" s="15" t="n"/>
      <c r="M19" s="14">
        <f>IF(A19="","",IF(N(J19)+N(K19)+N(L19)=0,"Not split",IF(ROUND(N(J19)+N(K19)+N(L19),2)=ROUND(F19,2),"OK","MISMATCH")))</f>
        <v/>
      </c>
      <c r="N19" s="15" t="n">
        <v>1344.2</v>
      </c>
      <c r="O19" s="15" t="n">
        <v>1688.07</v>
      </c>
      <c r="P19" s="15" t="n"/>
      <c r="Q19" s="16">
        <f>IF(A19="","",N(N19)+N(O19)+N(P19))</f>
        <v/>
      </c>
      <c r="R19" s="16">
        <f>IF(A19="","",F19-Q19)</f>
        <v/>
      </c>
      <c r="S19" s="46">
        <f>IFERROR(R19/F19,"")</f>
        <v/>
      </c>
      <c r="T19" s="13" t="n"/>
    </row>
    <row r="20" ht="15" customHeight="1">
      <c r="A20" s="13" t="inlineStr">
        <is>
          <t>2605605</t>
        </is>
      </c>
      <c r="B20" s="14">
        <f>IF(A20="","",IF(COUNTIF(lst_Jobs,A20&amp;"")&gt;0,"OK","CHECK"))</f>
        <v/>
      </c>
      <c r="C20" s="14">
        <f>IF(A20="","",IFERROR(INDEX(lst_JobName,MATCH(A20&amp;"",lst_Jobs,0)),""))</f>
        <v/>
      </c>
      <c r="D20" s="14">
        <f>IF(A20="","",IFERROR(INDEX(tbl_Finance[Client],MATCH(A20&amp;"",tbl_Finance[Job Number],0)),""))</f>
        <v/>
      </c>
      <c r="E20" s="44">
        <f>IF(A20="","",COUNTIFS(tbl_Finance[Job Number],A20&amp;"",tbl_Finance[Ex GST],"&lt;&gt;"))</f>
        <v/>
      </c>
      <c r="F20" s="16">
        <f>IF(A20="","",SUMIFS(tbl_Finance[Ex GST],tbl_Finance[Job Number],A20&amp;""))</f>
        <v/>
      </c>
      <c r="G20" s="14">
        <f>IF(A20="","",IFERROR(INDEX(tbl_Finance[Cost Centre],MATCH(A20&amp;"",tbl_Finance[Job Number],0)),"not invoiced yet"))</f>
        <v/>
      </c>
      <c r="H20" s="13" t="inlineStr">
        <is>
          <t>https://cts.qwilr.com/2605605-DTTL-Hobart-v3-2-6eP2dgISRMec</t>
        </is>
      </c>
      <c r="I20" s="13" t="n"/>
      <c r="J20" s="15" t="n">
        <v>12985</v>
      </c>
      <c r="K20" s="15" t="n">
        <v>47362</v>
      </c>
      <c r="L20" s="15" t="n"/>
      <c r="M20" s="14">
        <f>IF(A20="","",IF(N(J20)+N(K20)+N(L20)=0,"Not split",IF(ROUND(N(J20)+N(K20)+N(L20),2)=ROUND(F20,2),"OK","MISMATCH")))</f>
        <v/>
      </c>
      <c r="N20" s="15" t="n">
        <v>10485</v>
      </c>
      <c r="O20" s="15" t="n">
        <v>25392</v>
      </c>
      <c r="P20" s="15" t="n"/>
      <c r="Q20" s="16">
        <f>IF(A20="","",N(N20)+N(O20)+N(P20))</f>
        <v/>
      </c>
      <c r="R20" s="16">
        <f>IF(A20="","",F20-Q20)</f>
        <v/>
      </c>
      <c r="S20" s="46">
        <f>IFERROR(R20/F20,"")</f>
        <v/>
      </c>
      <c r="T20" s="13" t="n"/>
    </row>
    <row r="21" ht="15" customHeight="1">
      <c r="A21" s="13" t="inlineStr">
        <is>
          <t>26072101</t>
        </is>
      </c>
      <c r="B21" s="14">
        <f>IF(A21="","",IF(COUNTIF(lst_Jobs,A21&amp;"")&gt;0,"OK","CHECK"))</f>
        <v/>
      </c>
      <c r="C21" s="14">
        <f>IF(A21="","",IFERROR(INDEX(lst_JobName,MATCH(A21&amp;"",lst_Jobs,0)),""))</f>
        <v/>
      </c>
      <c r="D21" s="14">
        <f>IF(A21="","",IFERROR(INDEX(tbl_Finance[Client],MATCH(A21&amp;"",tbl_Finance[Job Number],0)),""))</f>
        <v/>
      </c>
      <c r="E21" s="44">
        <f>IF(A21="","",COUNTIFS(tbl_Finance[Job Number],A21&amp;"",tbl_Finance[Ex GST],"&lt;&gt;"))</f>
        <v/>
      </c>
      <c r="F21" s="16">
        <f>IF(A21="","",SUMIFS(tbl_Finance[Ex GST],tbl_Finance[Job Number],A21&amp;""))</f>
        <v/>
      </c>
      <c r="G21" s="14">
        <f>IF(A21="","",IFERROR(INDEX(tbl_Finance[Cost Centre],MATCH(A21&amp;"",tbl_Finance[Job Number],0)),"not invoiced yet"))</f>
        <v/>
      </c>
      <c r="H21" s="13" t="inlineStr">
        <is>
          <t>https://corptechservices.sharepoint.com/:b:/s/TeamIntegration/IQBagqp7IMy9QaQ1UUIv4eRPASus3A84m0lYjrSHFwHEyt0?e=9PLTPA</t>
        </is>
      </c>
      <c r="I21" s="13" t="n"/>
      <c r="J21" s="15" t="n">
        <v>920</v>
      </c>
      <c r="K21" s="15" t="n">
        <v>5217</v>
      </c>
      <c r="L21" s="15" t="n"/>
      <c r="M21" s="14">
        <f>IF(A21="","",IF(N(J21)+N(K21)+N(L21)=0,"Not split",IF(ROUND(N(J21)+N(K21)+N(L21),2)=ROUND(F21,2),"OK","MISMATCH")))</f>
        <v/>
      </c>
      <c r="N21" s="15" t="n">
        <v>549</v>
      </c>
      <c r="O21" s="15" t="n">
        <v>3913</v>
      </c>
      <c r="P21" s="15" t="n"/>
      <c r="Q21" s="16">
        <f>IF(A21="","",N(N21)+N(O21)+N(P21))</f>
        <v/>
      </c>
      <c r="R21" s="16">
        <f>IF(A21="","",F21-Q21)</f>
        <v/>
      </c>
      <c r="S21" s="46">
        <f>IFERROR(R21/F21,"")</f>
        <v/>
      </c>
      <c r="T21" s="13" t="n"/>
    </row>
    <row r="22" ht="15" customHeight="1">
      <c r="A22" s="13" t="inlineStr">
        <is>
          <t>2606101</t>
        </is>
      </c>
      <c r="B22" s="14">
        <f>IF(A22="","",IF(COUNTIF(lst_Jobs,A22&amp;"")&gt;0,"OK","CHECK"))</f>
        <v/>
      </c>
      <c r="C22" s="14">
        <f>IF(A22="","",IFERROR(INDEX(lst_JobName,MATCH(A22&amp;"",lst_Jobs,0)),""))</f>
        <v/>
      </c>
      <c r="D22" s="14">
        <f>IF(A22="","",IFERROR(INDEX(tbl_Finance[Client],MATCH(A22&amp;"",tbl_Finance[Job Number],0)),""))</f>
        <v/>
      </c>
      <c r="E22" s="44">
        <f>IF(A22="","",COUNTIFS(tbl_Finance[Job Number],A22&amp;"",tbl_Finance[Ex GST],"&lt;&gt;"))</f>
        <v/>
      </c>
      <c r="F22" s="16">
        <f>IF(A22="","",SUMIFS(tbl_Finance[Ex GST],tbl_Finance[Job Number],A22&amp;""))</f>
        <v/>
      </c>
      <c r="G22" s="14">
        <f>IF(A22="","",IFERROR(INDEX(tbl_Finance[Cost Centre],MATCH(A22&amp;"",tbl_Finance[Job Number],0)),"not invoiced yet"))</f>
        <v/>
      </c>
      <c r="H22" s="13" t="inlineStr">
        <is>
          <t>https://cts.qwilr.com/2606101-APA-Quotation-v1-0-QyyRipuR5uzy</t>
        </is>
      </c>
      <c r="I22" s="13" t="n"/>
      <c r="J22" s="15" t="n"/>
      <c r="K22" s="15" t="n"/>
      <c r="L22" s="15" t="n">
        <v>4205</v>
      </c>
      <c r="M22" s="14">
        <f>IF(A22="","",IF(N(J22)+N(K22)+N(L22)=0,"Not split",IF(ROUND(N(J22)+N(K22)+N(L22),2)=ROUND(F22,2),"OK","MISMATCH")))</f>
        <v/>
      </c>
      <c r="N22" s="15" t="n"/>
      <c r="O22" s="15" t="n"/>
      <c r="P22" s="15" t="n">
        <v>3364</v>
      </c>
      <c r="Q22" s="16">
        <f>IF(A22="","",N(N22)+N(O22)+N(P22))</f>
        <v/>
      </c>
      <c r="R22" s="16">
        <f>IF(A22="","",F22-Q22)</f>
        <v/>
      </c>
      <c r="S22" s="46">
        <f>IFERROR(R22/F22,"")</f>
        <v/>
      </c>
      <c r="T22" s="13" t="inlineStr">
        <is>
          <t>01/03/2027 to 29/02/2028</t>
        </is>
      </c>
    </row>
    <row r="23" ht="15" customHeight="1">
      <c r="A23" s="13" t="inlineStr">
        <is>
          <t>26071304</t>
        </is>
      </c>
      <c r="B23" s="14">
        <f>IF(A23="","",IF(COUNTIF(lst_Jobs,A23&amp;"")&gt;0,"OK","CHECK"))</f>
        <v/>
      </c>
      <c r="C23" s="14">
        <f>IF(A23="","",IFERROR(INDEX(lst_JobName,MATCH(A23&amp;"",lst_Jobs,0)),""))</f>
        <v/>
      </c>
      <c r="D23" s="14">
        <f>IF(A23="","",IFERROR(INDEX(tbl_Finance[Client],MATCH(A23&amp;"",tbl_Finance[Job Number],0)),""))</f>
        <v/>
      </c>
      <c r="E23" s="44">
        <f>IF(A23="","",COUNTIFS(tbl_Finance[Job Number],A23&amp;"",tbl_Finance[Ex GST],"&lt;&gt;"))</f>
        <v/>
      </c>
      <c r="F23" s="16">
        <f>IF(A23="","",SUMIFS(tbl_Finance[Ex GST],tbl_Finance[Job Number],A23&amp;""))</f>
        <v/>
      </c>
      <c r="G23" s="14">
        <f>IF(A23="","",IFERROR(INDEX(tbl_Finance[Cost Centre],MATCH(A23&amp;"",tbl_Finance[Job Number],0)),"not invoiced yet"))</f>
        <v/>
      </c>
      <c r="H23" s="13" t="inlineStr">
        <is>
          <t>https://cts.qwilr.com/26071304-YSG-Costing-v1-0-FTAgpF5RoWQK</t>
        </is>
      </c>
      <c r="I23" s="13" t="n"/>
      <c r="J23" s="15" t="n">
        <v>4462</v>
      </c>
      <c r="K23" s="15" t="n">
        <v>4702</v>
      </c>
      <c r="L23" s="15" t="n"/>
      <c r="M23" s="14">
        <f>IF(A23="","",IF(N(J23)+N(K23)+N(L23)=0,"Not split",IF(ROUND(N(J23)+N(K23)+N(L23),2)=ROUND(F23,2),"OK","MISMATCH")))</f>
        <v/>
      </c>
      <c r="N23" s="15" t="n">
        <v>3659</v>
      </c>
      <c r="O23" s="15" t="n">
        <v>3327.49</v>
      </c>
      <c r="P23" s="15" t="n"/>
      <c r="Q23" s="16">
        <f>IF(A23="","",N(N23)+N(O23)+N(P23))</f>
        <v/>
      </c>
      <c r="R23" s="16">
        <f>IF(A23="","",F23-Q23)</f>
        <v/>
      </c>
      <c r="S23" s="46">
        <f>IFERROR(R23/F23,"")</f>
        <v/>
      </c>
      <c r="T23" s="13" t="inlineStr">
        <is>
          <t>Invoice 1/2 Equipment only</t>
        </is>
      </c>
    </row>
    <row r="24" ht="15" customHeight="1">
      <c r="A24" s="13" t="inlineStr">
        <is>
          <t>2604704</t>
        </is>
      </c>
      <c r="B24" s="14">
        <f>IF(A24="","",IF(COUNTIF(lst_Jobs,A24&amp;"")&gt;0,"OK","CHECK"))</f>
        <v/>
      </c>
      <c r="C24" s="14">
        <f>IF(A24="","",IFERROR(INDEX(lst_JobName,MATCH(A24&amp;"",lst_Jobs,0)),""))</f>
        <v/>
      </c>
      <c r="D24" s="14">
        <f>IF(A24="","",IFERROR(INDEX(tbl_Finance[Client],MATCH(A24&amp;"",tbl_Finance[Job Number],0)),""))</f>
        <v/>
      </c>
      <c r="E24" s="44">
        <f>IF(A24="","",COUNTIFS(tbl_Finance[Job Number],A24&amp;"",tbl_Finance[Ex GST],"&lt;&gt;"))</f>
        <v/>
      </c>
      <c r="F24" s="16">
        <f>IF(A24="","",SUMIFS(tbl_Finance[Ex GST],tbl_Finance[Job Number],A24&amp;""))</f>
        <v/>
      </c>
      <c r="G24" s="14">
        <f>IF(A24="","",IFERROR(INDEX(tbl_Finance[Cost Centre],MATCH(A24&amp;"",tbl_Finance[Job Number],0)),"not invoiced yet"))</f>
        <v/>
      </c>
      <c r="H24" s="13" t="inlineStr">
        <is>
          <t>https://cts.qwilr.com/2604704-AwareSuper-Proposal-v4-0-ilNUnNxKQIui</t>
        </is>
      </c>
      <c r="I24" s="13" t="n"/>
      <c r="J24" s="15" t="n"/>
      <c r="K24" s="15" t="n"/>
      <c r="L24" s="15" t="n"/>
      <c r="M24" s="14">
        <f>IF(A24="","",IF(N(J24)+N(K24)+N(L24)=0,"Not split",IF(ROUND(N(J24)+N(K24)+N(L24),2)=ROUND(F24,2),"OK","MISMATCH")))</f>
        <v/>
      </c>
      <c r="N24" s="15" t="n"/>
      <c r="O24" s="15" t="n">
        <v>177457.98</v>
      </c>
      <c r="P24" s="15" t="n"/>
      <c r="Q24" s="16">
        <f>IF(A24="","",N(N24)+N(O24)+N(P24))</f>
        <v/>
      </c>
      <c r="R24" s="16">
        <f>IF(A24="","",F24-Q24)</f>
        <v/>
      </c>
      <c r="S24" s="46">
        <f>IFERROR(R24/F24,"")</f>
        <v/>
      </c>
      <c r="T24" s="13" t="n"/>
    </row>
    <row r="25" ht="15" customHeight="1">
      <c r="A25" s="13" t="inlineStr">
        <is>
          <t>26052102</t>
        </is>
      </c>
      <c r="B25" s="14">
        <f>IF(A25="","",IF(COUNTIF(lst_Jobs,A25&amp;"")&gt;0,"OK","CHECK"))</f>
        <v/>
      </c>
      <c r="C25" s="14">
        <f>IF(A25="","",IFERROR(INDEX(lst_JobName,MATCH(A25&amp;"",lst_Jobs,0)),""))</f>
        <v/>
      </c>
      <c r="D25" s="14">
        <f>IF(A25="","",IFERROR(INDEX(tbl_Finance[Client],MATCH(A25&amp;"",tbl_Finance[Job Number],0)),""))</f>
        <v/>
      </c>
      <c r="E25" s="44">
        <f>IF(A25="","",COUNTIFS(tbl_Finance[Job Number],A25&amp;"",tbl_Finance[Ex GST],"&lt;&gt;"))</f>
        <v/>
      </c>
      <c r="F25" s="16">
        <f>IF(A25="","",SUMIFS(tbl_Finance[Ex GST],tbl_Finance[Job Number],A25&amp;""))</f>
        <v/>
      </c>
      <c r="G25" s="14">
        <f>IF(A25="","",IFERROR(INDEX(tbl_Finance[Cost Centre],MATCH(A25&amp;"",tbl_Finance[Job Number],0)),"not invoiced yet"))</f>
        <v/>
      </c>
      <c r="H25" s="13" t="inlineStr">
        <is>
          <t>https://cts.qwilr.com/26052102-HP-D3-AustracPhoneMod-v3-0-PO-Received-4b9uvVwXSiqQ</t>
        </is>
      </c>
      <c r="I25" s="13" t="n"/>
      <c r="J25" s="15" t="n">
        <v>8009</v>
      </c>
      <c r="K25" s="15" t="n">
        <v>37900</v>
      </c>
      <c r="L25" s="15" t="n"/>
      <c r="M25" s="14">
        <f>IF(A25="","",IF(N(J25)+N(K25)+N(L25)=0,"Not split",IF(ROUND(N(J25)+N(K25)+N(L25),2)=ROUND(F25,2),"OK","MISMATCH")))</f>
        <v/>
      </c>
      <c r="N25" s="15" t="n">
        <v>6567</v>
      </c>
      <c r="O25" s="15" t="n">
        <v>28409</v>
      </c>
      <c r="P25" s="15" t="n"/>
      <c r="Q25" s="16">
        <f>IF(A25="","",N(N25)+N(O25)+N(P25))</f>
        <v/>
      </c>
      <c r="R25" s="16">
        <f>IF(A25="","",F25-Q25)</f>
        <v/>
      </c>
      <c r="S25" s="46">
        <f>IFERROR(R25/F25,"")</f>
        <v/>
      </c>
      <c r="T25" s="13" t="n"/>
    </row>
    <row r="26" ht="15" customHeight="1">
      <c r="A26" s="13" t="inlineStr">
        <is>
          <t>26052701</t>
        </is>
      </c>
      <c r="B26" s="14">
        <f>IF(A26="","",IF(COUNTIF(lst_Jobs,A26&amp;"")&gt;0,"OK","CHECK"))</f>
        <v/>
      </c>
      <c r="C26" s="14">
        <f>IF(A26="","",IFERROR(INDEX(lst_JobName,MATCH(A26&amp;"",lst_Jobs,0)),""))</f>
        <v/>
      </c>
      <c r="D26" s="14">
        <f>IF(A26="","",IFERROR(INDEX(tbl_Finance[Client],MATCH(A26&amp;"",tbl_Finance[Job Number],0)),""))</f>
        <v/>
      </c>
      <c r="E26" s="44">
        <f>IF(A26="","",COUNTIFS(tbl_Finance[Job Number],A26&amp;"",tbl_Finance[Ex GST],"&lt;&gt;"))</f>
        <v/>
      </c>
      <c r="F26" s="16">
        <f>IF(A26="","",SUMIFS(tbl_Finance[Ex GST],tbl_Finance[Job Number],A26&amp;""))</f>
        <v/>
      </c>
      <c r="G26" s="14">
        <f>IF(A26="","",IFERROR(INDEX(tbl_Finance[Cost Centre],MATCH(A26&amp;"",tbl_Finance[Job Number],0)),"not invoiced yet"))</f>
        <v/>
      </c>
      <c r="H26" s="13" t="inlineStr">
        <is>
          <t>https://cts.qwilr.com/26052701-Aware-Costing-v5-0-CGHaKT8iSxmf</t>
        </is>
      </c>
      <c r="I26" s="13" t="n"/>
      <c r="J26" s="15" t="n"/>
      <c r="K26" s="15" t="n"/>
      <c r="L26" s="15" t="n"/>
      <c r="M26" s="14">
        <f>IF(A26="","",IF(N(J26)+N(K26)+N(L26)=0,"Not split",IF(ROUND(N(J26)+N(K26)+N(L26),2)=ROUND(F26,2),"OK","MISMATCH")))</f>
        <v/>
      </c>
      <c r="N26" s="15" t="n"/>
      <c r="O26" s="15" t="n">
        <v>8184.26</v>
      </c>
      <c r="P26" s="15" t="n"/>
      <c r="Q26" s="16">
        <f>IF(A26="","",N(N26)+N(O26)+N(P26))</f>
        <v/>
      </c>
      <c r="R26" s="16">
        <f>IF(A26="","",F26-Q26)</f>
        <v/>
      </c>
      <c r="S26" s="46">
        <f>IFERROR(R26/F26,"")</f>
        <v/>
      </c>
      <c r="T26" s="13" t="n"/>
    </row>
    <row r="27" ht="15" customHeight="1">
      <c r="A27" s="13" t="inlineStr">
        <is>
          <t>26062902</t>
        </is>
      </c>
      <c r="B27" s="14">
        <f>IF(A27="","",IF(COUNTIF(lst_Jobs,A27&amp;"")&gt;0,"OK","CHECK"))</f>
        <v/>
      </c>
      <c r="C27" s="14">
        <f>IF(A27="","",IFERROR(INDEX(lst_JobName,MATCH(A27&amp;"",lst_Jobs,0)),""))</f>
        <v/>
      </c>
      <c r="D27" s="14">
        <f>IF(A27="","",IFERROR(INDEX(tbl_Finance[Client],MATCH(A27&amp;"",tbl_Finance[Job Number],0)),""))</f>
        <v/>
      </c>
      <c r="E27" s="44">
        <f>IF(A27="","",COUNTIFS(tbl_Finance[Job Number],A27&amp;"",tbl_Finance[Ex GST],"&lt;&gt;"))</f>
        <v/>
      </c>
      <c r="F27" s="16">
        <f>IF(A27="","",SUMIFS(tbl_Finance[Ex GST],tbl_Finance[Job Number],A27&amp;""))</f>
        <v/>
      </c>
      <c r="G27" s="14">
        <f>IF(A27="","",IFERROR(INDEX(tbl_Finance[Cost Centre],MATCH(A27&amp;"",tbl_Finance[Job Number],0)),"not invoiced yet"))</f>
        <v/>
      </c>
      <c r="H27" s="13" t="inlineStr">
        <is>
          <t>https://cts.qwilr.com/26062902-Aware-Costing-v2-0-Accepted-PDF-wrF7KzoUT8OK</t>
        </is>
      </c>
      <c r="I27" s="13" t="n"/>
      <c r="J27" s="15" t="n">
        <v>2707</v>
      </c>
      <c r="K27" s="15" t="n">
        <v>3489</v>
      </c>
      <c r="L27" s="15" t="n"/>
      <c r="M27" s="14">
        <f>IF(A27="","",IF(N(J27)+N(K27)+N(L27)=0,"Not split",IF(ROUND(N(J27)+N(K27)+N(L27),2)=ROUND(F27,2),"OK","MISMATCH")))</f>
        <v/>
      </c>
      <c r="N27" s="15" t="n">
        <v>2140</v>
      </c>
      <c r="O27" s="15" t="n">
        <v>2604.9</v>
      </c>
      <c r="P27" s="15" t="n"/>
      <c r="Q27" s="16">
        <f>IF(A27="","",N(N27)+N(O27)+N(P27))</f>
        <v/>
      </c>
      <c r="R27" s="16">
        <f>IF(A27="","",F27-Q27)</f>
        <v/>
      </c>
      <c r="S27" s="46">
        <f>IFERROR(R27/F27,"")</f>
        <v/>
      </c>
      <c r="T27" s="13" t="inlineStr">
        <is>
          <t>Invoice 1/2 Equipment only</t>
        </is>
      </c>
    </row>
    <row r="28" ht="15" customHeight="1">
      <c r="A28" s="13" t="inlineStr">
        <is>
          <t>26062901</t>
        </is>
      </c>
      <c r="B28" s="14">
        <f>IF(A28="","",IF(COUNTIF(lst_Jobs,A28&amp;"")&gt;0,"OK","CHECK"))</f>
        <v/>
      </c>
      <c r="C28" s="14">
        <f>IF(A28="","",IFERROR(INDEX(lst_JobName,MATCH(A28&amp;"",lst_Jobs,0)),""))</f>
        <v/>
      </c>
      <c r="D28" s="14">
        <f>IF(A28="","",IFERROR(INDEX(tbl_Finance[Client],MATCH(A28&amp;"",tbl_Finance[Job Number],0)),""))</f>
        <v/>
      </c>
      <c r="E28" s="44">
        <f>IF(A28="","",COUNTIFS(tbl_Finance[Job Number],A28&amp;"",tbl_Finance[Ex GST],"&lt;&gt;"))</f>
        <v/>
      </c>
      <c r="F28" s="16">
        <f>IF(A28="","",SUMIFS(tbl_Finance[Ex GST],tbl_Finance[Job Number],A28&amp;""))</f>
        <v/>
      </c>
      <c r="G28" s="14">
        <f>IF(A28="","",IFERROR(INDEX(tbl_Finance[Cost Centre],MATCH(A28&amp;"",tbl_Finance[Job Number],0)),"not invoiced yet"))</f>
        <v/>
      </c>
      <c r="H28" s="13" t="inlineStr">
        <is>
          <t>https://corptechservices.sharepoint.com/:b:/s/TeamIntegration/IQAz4MvaxJkBRIexJJi1p2LTAVDk9PznGqnT-q1tS0i5o00?e=BH3DeT</t>
        </is>
      </c>
      <c r="I28" s="13" t="n"/>
      <c r="J28" s="15" t="n">
        <v>4631</v>
      </c>
      <c r="K28" s="15" t="n"/>
      <c r="L28" s="15" t="n"/>
      <c r="M28" s="14">
        <f>IF(A28="","",IF(N(J28)+N(K28)+N(L28)=0,"Not split",IF(ROUND(N(J28)+N(K28)+N(L28),2)=ROUND(F28,2),"OK","MISMATCH")))</f>
        <v/>
      </c>
      <c r="N28" s="15" t="n">
        <v>3775.2</v>
      </c>
      <c r="O28" s="15" t="n"/>
      <c r="P28" s="15" t="n"/>
      <c r="Q28" s="16">
        <f>IF(A28="","",N(N28)+N(O28)+N(P28))</f>
        <v/>
      </c>
      <c r="R28" s="16">
        <f>IF(A28="","",F28-Q28)</f>
        <v/>
      </c>
      <c r="S28" s="46">
        <f>IFERROR(R28/F28,"")</f>
        <v/>
      </c>
      <c r="T28" s="13" t="n"/>
    </row>
    <row r="29" ht="15" customHeight="1">
      <c r="A29" s="13" t="inlineStr">
        <is>
          <t>26081901</t>
        </is>
      </c>
      <c r="B29" s="14">
        <f>IF(A29="","",IF(COUNTIF(lst_Jobs,A29&amp;"")&gt;0,"OK","CHECK"))</f>
        <v/>
      </c>
      <c r="C29" s="14">
        <f>IF(A29="","",IFERROR(INDEX(lst_JobName,MATCH(A29&amp;"",lst_Jobs,0)),""))</f>
        <v/>
      </c>
      <c r="D29" s="14">
        <f>IF(A29="","",IFERROR(INDEX(tbl_Finance[Client],MATCH(A29&amp;"",tbl_Finance[Job Number],0)),""))</f>
        <v/>
      </c>
      <c r="E29" s="44">
        <f>IF(A29="","",COUNTIFS(tbl_Finance[Job Number],A29&amp;"",tbl_Finance[Ex GST],"&lt;&gt;"))</f>
        <v/>
      </c>
      <c r="F29" s="16">
        <f>IF(A29="","",SUMIFS(tbl_Finance[Ex GST],tbl_Finance[Job Number],A29&amp;""))</f>
        <v/>
      </c>
      <c r="G29" s="14">
        <f>IF(A29="","",IFERROR(INDEX(tbl_Finance[Cost Centre],MATCH(A29&amp;"",tbl_Finance[Job Number],0)),"not invoiced yet"))</f>
        <v/>
      </c>
      <c r="H29" s="13" t="inlineStr">
        <is>
          <t>https://cts.qwilr.com/26081901-AusPayNet-Quotation-v1-0-3RSgmysoSnit</t>
        </is>
      </c>
      <c r="I29" s="13" t="n"/>
      <c r="J29" s="15" t="n"/>
      <c r="K29" s="15" t="n"/>
      <c r="L29" s="15" t="n">
        <v>993</v>
      </c>
      <c r="M29" s="14">
        <f>IF(A29="","",IF(N(J29)+N(K29)+N(L29)=0,"Not split",IF(ROUND(N(J29)+N(K29)+N(L29),2)=ROUND(F29,2),"OK","MISMATCH")))</f>
        <v/>
      </c>
      <c r="N29" s="15" t="n"/>
      <c r="O29" s="15" t="n">
        <v>745</v>
      </c>
      <c r="P29" s="15" t="n"/>
      <c r="Q29" s="16">
        <f>IF(A29="","",N(N29)+N(O29)+N(P29))</f>
        <v/>
      </c>
      <c r="R29" s="16">
        <f>IF(A29="","",F29-Q29)</f>
        <v/>
      </c>
      <c r="S29" s="46">
        <f>IFERROR(R29/F29,"")</f>
        <v/>
      </c>
      <c r="T29" s="13" t="n"/>
    </row>
    <row r="30" ht="15" customHeight="1">
      <c r="A30" s="13" t="inlineStr">
        <is>
          <t>26071601</t>
        </is>
      </c>
      <c r="B30" s="14">
        <f>IF(A30="","",IF(COUNTIF(lst_Jobs,A30&amp;"")&gt;0,"OK","CHECK"))</f>
        <v/>
      </c>
      <c r="C30" s="14">
        <f>IF(A30="","",IFERROR(INDEX(lst_JobName,MATCH(A30&amp;"",lst_Jobs,0)),""))</f>
        <v/>
      </c>
      <c r="D30" s="14">
        <f>IF(A30="","",IFERROR(INDEX(tbl_Finance[Client],MATCH(A30&amp;"",tbl_Finance[Job Number],0)),""))</f>
        <v/>
      </c>
      <c r="E30" s="44">
        <f>IF(A30="","",COUNTIFS(tbl_Finance[Job Number],A30&amp;"",tbl_Finance[Ex GST],"&lt;&gt;"))</f>
        <v/>
      </c>
      <c r="F30" s="16">
        <f>IF(A30="","",SUMIFS(tbl_Finance[Ex GST],tbl_Finance[Job Number],A30&amp;""))</f>
        <v/>
      </c>
      <c r="G30" s="14">
        <f>IF(A30="","",IFERROR(INDEX(tbl_Finance[Cost Centre],MATCH(A30&amp;"",tbl_Finance[Job Number],0)),"not invoiced yet"))</f>
        <v/>
      </c>
      <c r="H30" s="13" t="inlineStr">
        <is>
          <t>https://cts.qwilr.com/26071601-Aware-Costing-v1-0-bOvhpPx4TTut</t>
        </is>
      </c>
      <c r="I30" s="13" t="n"/>
      <c r="J30" s="15" t="n">
        <v>903</v>
      </c>
      <c r="K30" s="15" t="n">
        <v>2054</v>
      </c>
      <c r="L30" s="15" t="n"/>
      <c r="M30" s="14">
        <f>IF(A30="","",IF(N(J30)+N(K30)+N(L30)=0,"Not split",IF(ROUND(N(J30)+N(K30)+N(L30),2)=ROUND(F30,2),"OK","MISMATCH")))</f>
        <v/>
      </c>
      <c r="N30" s="15" t="n">
        <v>740</v>
      </c>
      <c r="O30" s="15" t="n">
        <v>1540</v>
      </c>
      <c r="P30" s="15" t="n"/>
      <c r="Q30" s="16">
        <f>IF(A30="","",N(N30)+N(O30)+N(P30))</f>
        <v/>
      </c>
      <c r="R30" s="16">
        <f>IF(A30="","",F30-Q30)</f>
        <v/>
      </c>
      <c r="S30" s="46">
        <f>IFERROR(R30/F30,"")</f>
        <v/>
      </c>
      <c r="T30" s="13" t="n"/>
    </row>
    <row r="31" ht="15" customHeight="1">
      <c r="A31" s="13" t="inlineStr">
        <is>
          <t>26062503</t>
        </is>
      </c>
      <c r="B31" s="14">
        <f>IF(A31="","",IF(COUNTIF(lst_Jobs,A31&amp;"")&gt;0,"OK","CHECK"))</f>
        <v/>
      </c>
      <c r="C31" s="14">
        <f>IF(A31="","",IFERROR(INDEX(lst_JobName,MATCH(A31&amp;"",lst_Jobs,0)),""))</f>
        <v/>
      </c>
      <c r="D31" s="14">
        <f>IF(A31="","",IFERROR(INDEX(tbl_Finance[Client],MATCH(A31&amp;"",tbl_Finance[Job Number],0)),""))</f>
        <v/>
      </c>
      <c r="E31" s="44">
        <f>IF(A31="","",COUNTIFS(tbl_Finance[Job Number],A31&amp;"",tbl_Finance[Ex GST],"&lt;&gt;"))</f>
        <v/>
      </c>
      <c r="F31" s="16">
        <f>IF(A31="","",SUMIFS(tbl_Finance[Ex GST],tbl_Finance[Job Number],A31&amp;""))</f>
        <v/>
      </c>
      <c r="G31" s="14">
        <f>IF(A31="","",IFERROR(INDEX(tbl_Finance[Cost Centre],MATCH(A31&amp;"",tbl_Finance[Job Number],0)),"not invoiced yet"))</f>
        <v/>
      </c>
      <c r="H31" s="13" t="inlineStr">
        <is>
          <t>CTS order form - 24.16 UC Engine Reimaging</t>
        </is>
      </c>
      <c r="I31" s="13" t="n"/>
      <c r="J31" s="15" t="n">
        <v>500</v>
      </c>
      <c r="K31" s="15" t="n"/>
      <c r="L31" s="15" t="n"/>
      <c r="M31" s="14">
        <f>IF(A31="","",IF(N(J31)+N(K31)+N(L31)=0,"Not split",IF(ROUND(N(J31)+N(K31)+N(L31),2)=ROUND(F31,2),"OK","MISMATCH")))</f>
        <v/>
      </c>
      <c r="N31" s="15" t="n"/>
      <c r="O31" s="15" t="n"/>
      <c r="P31" s="15" t="n"/>
      <c r="Q31" s="16">
        <f>IF(A31="","",N(N31)+N(O31)+N(P31))</f>
        <v/>
      </c>
      <c r="R31" s="16">
        <f>IF(A31="","",F31-Q31)</f>
        <v/>
      </c>
      <c r="S31" s="46">
        <f>IFERROR(R31/F31,"")</f>
        <v/>
      </c>
      <c r="T31" s="13" t="n"/>
    </row>
    <row r="32" ht="15" customHeight="1">
      <c r="A32" s="13" t="inlineStr">
        <is>
          <t>25070702</t>
        </is>
      </c>
      <c r="B32" s="14">
        <f>IF(A32="","",IF(COUNTIF(lst_Jobs,A32&amp;"")&gt;0,"OK","CHECK"))</f>
        <v/>
      </c>
      <c r="C32" s="14">
        <f>IF(A32="","",IFERROR(INDEX(lst_JobName,MATCH(A32&amp;"",lst_Jobs,0)),""))</f>
        <v/>
      </c>
      <c r="D32" s="14">
        <f>IF(A32="","",IFERROR(INDEX(tbl_Finance[Client],MATCH(A32&amp;"",tbl_Finance[Job Number],0)),""))</f>
        <v/>
      </c>
      <c r="E32" s="44">
        <f>IF(A32="","",COUNTIFS(tbl_Finance[Job Number],A32&amp;"",tbl_Finance[Ex GST],"&lt;&gt;"))</f>
        <v/>
      </c>
      <c r="F32" s="16">
        <f>IF(A32="","",SUMIFS(tbl_Finance[Ex GST],tbl_Finance[Job Number],A32&amp;""))</f>
        <v/>
      </c>
      <c r="G32" s="14">
        <f>IF(A32="","",IFERROR(INDEX(tbl_Finance[Cost Centre],MATCH(A32&amp;"",tbl_Finance[Job Number],0)),"not invoiced yet"))</f>
        <v/>
      </c>
      <c r="H32" s="13"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I32" s="13" t="n"/>
      <c r="J32" s="15" t="n"/>
      <c r="K32" s="15" t="n"/>
      <c r="L32" s="15" t="n"/>
      <c r="M32" s="14">
        <f>IF(A32="","",IF(N(J32)+N(K32)+N(L32)=0,"Not split",IF(ROUND(N(J32)+N(K32)+N(L32),2)=ROUND(F32,2),"OK","MISMATCH")))</f>
        <v/>
      </c>
      <c r="N32" s="15" t="n"/>
      <c r="O32" s="15" t="n">
        <v>3297.31</v>
      </c>
      <c r="P32" s="15" t="n"/>
      <c r="Q32" s="16">
        <f>IF(A32="","",N(N32)+N(O32)+N(P32))</f>
        <v/>
      </c>
      <c r="R32" s="16">
        <f>IF(A32="","",F32-Q32)</f>
        <v/>
      </c>
      <c r="S32" s="46">
        <f>IFERROR(R32/F32,"")</f>
        <v/>
      </c>
      <c r="T32" s="13" t="n"/>
    </row>
    <row r="33" ht="15" customHeight="1">
      <c r="A33" s="13" t="n"/>
      <c r="B33" s="14">
        <f>IF(A33="","",IF(COUNTIF(lst_Jobs,A33&amp;"")&gt;0,"OK","CHECK"))</f>
        <v/>
      </c>
      <c r="C33" s="14">
        <f>IF(A33="","",IFERROR(INDEX(lst_JobName,MATCH(A33&amp;"",lst_Jobs,0)),""))</f>
        <v/>
      </c>
      <c r="D33" s="14">
        <f>IF(A33="","",IFERROR(INDEX(tbl_Finance[Client],MATCH(A33&amp;"",tbl_Finance[Job Number],0)),""))</f>
        <v/>
      </c>
      <c r="E33" s="44">
        <f>IF(A33="","",COUNTIFS(tbl_Finance[Job Number],A33&amp;"",tbl_Finance[Ex GST],"&lt;&gt;"))</f>
        <v/>
      </c>
      <c r="F33" s="16">
        <f>IF(A33="","",SUMIFS(tbl_Finance[Ex GST],tbl_Finance[Job Number],A33&amp;""))</f>
        <v/>
      </c>
      <c r="G33" s="14">
        <f>IF(A33="","",IFERROR(INDEX(tbl_Finance[Cost Centre],MATCH(A33&amp;"",tbl_Finance[Job Number],0)),"not invoiced yet"))</f>
        <v/>
      </c>
      <c r="H33" s="13" t="n"/>
      <c r="I33" s="13" t="n"/>
      <c r="J33" s="15" t="n"/>
      <c r="K33" s="15" t="n"/>
      <c r="L33" s="15" t="n"/>
      <c r="M33" s="14">
        <f>IF(A33="","",IF(N(J33)+N(K33)+N(L33)=0,"Not split",IF(ROUND(N(J33)+N(K33)+N(L33),2)=ROUND(F33,2),"OK","MISMATCH")))</f>
        <v/>
      </c>
      <c r="N33" s="15" t="n"/>
      <c r="O33" s="15" t="n"/>
      <c r="P33" s="15" t="n"/>
      <c r="Q33" s="16">
        <f>IF(A33="","",N(N33)+N(O33)+N(P33))</f>
        <v/>
      </c>
      <c r="R33" s="16">
        <f>IF(A33="","",F33-Q33)</f>
        <v/>
      </c>
      <c r="S33" s="46">
        <f>IFERROR(R33/F33,"")</f>
        <v/>
      </c>
      <c r="T33" s="13" t="n"/>
    </row>
    <row r="34" ht="15" customHeight="1">
      <c r="A34" s="13" t="n"/>
      <c r="B34" s="14">
        <f>IF(A34="","",IF(COUNTIF(lst_Jobs,A34&amp;"")&gt;0,"OK","CHECK"))</f>
        <v/>
      </c>
      <c r="C34" s="14">
        <f>IF(A34="","",IFERROR(INDEX(lst_JobName,MATCH(A34&amp;"",lst_Jobs,0)),""))</f>
        <v/>
      </c>
      <c r="D34" s="14">
        <f>IF(A34="","",IFERROR(INDEX(tbl_Finance[Client],MATCH(A34&amp;"",tbl_Finance[Job Number],0)),""))</f>
        <v/>
      </c>
      <c r="E34" s="44">
        <f>IF(A34="","",COUNTIFS(tbl_Finance[Job Number],A34&amp;"",tbl_Finance[Ex GST],"&lt;&gt;"))</f>
        <v/>
      </c>
      <c r="F34" s="16">
        <f>IF(A34="","",SUMIFS(tbl_Finance[Ex GST],tbl_Finance[Job Number],A34&amp;""))</f>
        <v/>
      </c>
      <c r="G34" s="14">
        <f>IF(A34="","",IFERROR(INDEX(tbl_Finance[Cost Centre],MATCH(A34&amp;"",tbl_Finance[Job Number],0)),"not invoiced yet"))</f>
        <v/>
      </c>
      <c r="H34" s="13" t="n"/>
      <c r="I34" s="13" t="n"/>
      <c r="J34" s="15" t="n"/>
      <c r="K34" s="15" t="n"/>
      <c r="L34" s="15" t="n"/>
      <c r="M34" s="14">
        <f>IF(A34="","",IF(N(J34)+N(K34)+N(L34)=0,"Not split",IF(ROUND(N(J34)+N(K34)+N(L34),2)=ROUND(F34,2),"OK","MISMATCH")))</f>
        <v/>
      </c>
      <c r="N34" s="15" t="n"/>
      <c r="O34" s="15" t="n"/>
      <c r="P34" s="15" t="n"/>
      <c r="Q34" s="16">
        <f>IF(A34="","",N(N34)+N(O34)+N(P34))</f>
        <v/>
      </c>
      <c r="R34" s="16">
        <f>IF(A34="","",F34-Q34)</f>
        <v/>
      </c>
      <c r="S34" s="46">
        <f>IFERROR(R34/F34,"")</f>
        <v/>
      </c>
      <c r="T34" s="13" t="n"/>
    </row>
    <row r="35" ht="15" customHeight="1">
      <c r="A35" s="13" t="n"/>
      <c r="B35" s="14">
        <f>IF(A35="","",IF(COUNTIF(lst_Jobs,A35&amp;"")&gt;0,"OK","CHECK"))</f>
        <v/>
      </c>
      <c r="C35" s="14">
        <f>IF(A35="","",IFERROR(INDEX(lst_JobName,MATCH(A35&amp;"",lst_Jobs,0)),""))</f>
        <v/>
      </c>
      <c r="D35" s="14">
        <f>IF(A35="","",IFERROR(INDEX(tbl_Finance[Client],MATCH(A35&amp;"",tbl_Finance[Job Number],0)),""))</f>
        <v/>
      </c>
      <c r="E35" s="44">
        <f>IF(A35="","",COUNTIFS(tbl_Finance[Job Number],A35&amp;"",tbl_Finance[Ex GST],"&lt;&gt;"))</f>
        <v/>
      </c>
      <c r="F35" s="16">
        <f>IF(A35="","",SUMIFS(tbl_Finance[Ex GST],tbl_Finance[Job Number],A35&amp;""))</f>
        <v/>
      </c>
      <c r="G35" s="14">
        <f>IF(A35="","",IFERROR(INDEX(tbl_Finance[Cost Centre],MATCH(A35&amp;"",tbl_Finance[Job Number],0)),"not invoiced yet"))</f>
        <v/>
      </c>
      <c r="H35" s="13" t="n"/>
      <c r="I35" s="13" t="n"/>
      <c r="J35" s="15" t="n"/>
      <c r="K35" s="15" t="n"/>
      <c r="L35" s="15" t="n"/>
      <c r="M35" s="14">
        <f>IF(A35="","",IF(N(J35)+N(K35)+N(L35)=0,"Not split",IF(ROUND(N(J35)+N(K35)+N(L35),2)=ROUND(F35,2),"OK","MISMATCH")))</f>
        <v/>
      </c>
      <c r="N35" s="15" t="n"/>
      <c r="O35" s="15" t="n"/>
      <c r="P35" s="15" t="n"/>
      <c r="Q35" s="16">
        <f>IF(A35="","",N(N35)+N(O35)+N(P35))</f>
        <v/>
      </c>
      <c r="R35" s="16">
        <f>IF(A35="","",F35-Q35)</f>
        <v/>
      </c>
      <c r="S35" s="46">
        <f>IFERROR(R35/F35,"")</f>
        <v/>
      </c>
      <c r="T35" s="13" t="n"/>
    </row>
    <row r="36" ht="15" customHeight="1">
      <c r="A36" s="13" t="n"/>
      <c r="B36" s="14">
        <f>IF(A36="","",IF(COUNTIF(lst_Jobs,A36&amp;"")&gt;0,"OK","CHECK"))</f>
        <v/>
      </c>
      <c r="C36" s="14">
        <f>IF(A36="","",IFERROR(INDEX(lst_JobName,MATCH(A36&amp;"",lst_Jobs,0)),""))</f>
        <v/>
      </c>
      <c r="D36" s="14">
        <f>IF(A36="","",IFERROR(INDEX(tbl_Finance[Client],MATCH(A36&amp;"",tbl_Finance[Job Number],0)),""))</f>
        <v/>
      </c>
      <c r="E36" s="44">
        <f>IF(A36="","",COUNTIFS(tbl_Finance[Job Number],A36&amp;"",tbl_Finance[Ex GST],"&lt;&gt;"))</f>
        <v/>
      </c>
      <c r="F36" s="16">
        <f>IF(A36="","",SUMIFS(tbl_Finance[Ex GST],tbl_Finance[Job Number],A36&amp;""))</f>
        <v/>
      </c>
      <c r="G36" s="14">
        <f>IF(A36="","",IFERROR(INDEX(tbl_Finance[Cost Centre],MATCH(A36&amp;"",tbl_Finance[Job Number],0)),"not invoiced yet"))</f>
        <v/>
      </c>
      <c r="H36" s="13" t="n"/>
      <c r="I36" s="13" t="n"/>
      <c r="J36" s="15" t="n"/>
      <c r="K36" s="15" t="n"/>
      <c r="L36" s="15" t="n"/>
      <c r="M36" s="14">
        <f>IF(A36="","",IF(N(J36)+N(K36)+N(L36)=0,"Not split",IF(ROUND(N(J36)+N(K36)+N(L36),2)=ROUND(F36,2),"OK","MISMATCH")))</f>
        <v/>
      </c>
      <c r="N36" s="15" t="n"/>
      <c r="O36" s="15" t="n"/>
      <c r="P36" s="15" t="n"/>
      <c r="Q36" s="16">
        <f>IF(A36="","",N(N36)+N(O36)+N(P36))</f>
        <v/>
      </c>
      <c r="R36" s="16">
        <f>IF(A36="","",F36-Q36)</f>
        <v/>
      </c>
      <c r="S36" s="46">
        <f>IFERROR(R36/F36,"")</f>
        <v/>
      </c>
      <c r="T36" s="13" t="n"/>
    </row>
    <row r="37" ht="15" customHeight="1">
      <c r="A37" s="13" t="n"/>
      <c r="B37" s="14">
        <f>IF(A37="","",IF(COUNTIF(lst_Jobs,A37&amp;"")&gt;0,"OK","CHECK"))</f>
        <v/>
      </c>
      <c r="C37" s="14">
        <f>IF(A37="","",IFERROR(INDEX(lst_JobName,MATCH(A37&amp;"",lst_Jobs,0)),""))</f>
        <v/>
      </c>
      <c r="D37" s="14">
        <f>IF(A37="","",IFERROR(INDEX(tbl_Finance[Client],MATCH(A37&amp;"",tbl_Finance[Job Number],0)),""))</f>
        <v/>
      </c>
      <c r="E37" s="44">
        <f>IF(A37="","",COUNTIFS(tbl_Finance[Job Number],A37&amp;"",tbl_Finance[Ex GST],"&lt;&gt;"))</f>
        <v/>
      </c>
      <c r="F37" s="16">
        <f>IF(A37="","",SUMIFS(tbl_Finance[Ex GST],tbl_Finance[Job Number],A37&amp;""))</f>
        <v/>
      </c>
      <c r="G37" s="14">
        <f>IF(A37="","",IFERROR(INDEX(tbl_Finance[Cost Centre],MATCH(A37&amp;"",tbl_Finance[Job Number],0)),"not invoiced yet"))</f>
        <v/>
      </c>
      <c r="H37" s="13" t="n"/>
      <c r="I37" s="13" t="n"/>
      <c r="J37" s="15" t="n"/>
      <c r="K37" s="15" t="n"/>
      <c r="L37" s="15" t="n"/>
      <c r="M37" s="14">
        <f>IF(A37="","",IF(N(J37)+N(K37)+N(L37)=0,"Not split",IF(ROUND(N(J37)+N(K37)+N(L37),2)=ROUND(F37,2),"OK","MISMATCH")))</f>
        <v/>
      </c>
      <c r="N37" s="15" t="n"/>
      <c r="O37" s="15" t="n"/>
      <c r="P37" s="15" t="n"/>
      <c r="Q37" s="16">
        <f>IF(A37="","",N(N37)+N(O37)+N(P37))</f>
        <v/>
      </c>
      <c r="R37" s="16">
        <f>IF(A37="","",F37-Q37)</f>
        <v/>
      </c>
      <c r="S37" s="46">
        <f>IFERROR(R37/F37,"")</f>
        <v/>
      </c>
      <c r="T37" s="13" t="n"/>
    </row>
    <row r="38" ht="15" customHeight="1">
      <c r="A38" s="13" t="n"/>
      <c r="B38" s="14">
        <f>IF(A38="","",IF(COUNTIF(lst_Jobs,A38&amp;"")&gt;0,"OK","CHECK"))</f>
        <v/>
      </c>
      <c r="C38" s="14">
        <f>IF(A38="","",IFERROR(INDEX(lst_JobName,MATCH(A38&amp;"",lst_Jobs,0)),""))</f>
        <v/>
      </c>
      <c r="D38" s="14">
        <f>IF(A38="","",IFERROR(INDEX(tbl_Finance[Client],MATCH(A38&amp;"",tbl_Finance[Job Number],0)),""))</f>
        <v/>
      </c>
      <c r="E38" s="44">
        <f>IF(A38="","",COUNTIFS(tbl_Finance[Job Number],A38&amp;"",tbl_Finance[Ex GST],"&lt;&gt;"))</f>
        <v/>
      </c>
      <c r="F38" s="16">
        <f>IF(A38="","",SUMIFS(tbl_Finance[Ex GST],tbl_Finance[Job Number],A38&amp;""))</f>
        <v/>
      </c>
      <c r="G38" s="14">
        <f>IF(A38="","",IFERROR(INDEX(tbl_Finance[Cost Centre],MATCH(A38&amp;"",tbl_Finance[Job Number],0)),"not invoiced yet"))</f>
        <v/>
      </c>
      <c r="H38" s="13" t="n"/>
      <c r="I38" s="13" t="n"/>
      <c r="J38" s="15" t="n"/>
      <c r="K38" s="15" t="n"/>
      <c r="L38" s="15" t="n"/>
      <c r="M38" s="14">
        <f>IF(A38="","",IF(N(J38)+N(K38)+N(L38)=0,"Not split",IF(ROUND(N(J38)+N(K38)+N(L38),2)=ROUND(F38,2),"OK","MISMATCH")))</f>
        <v/>
      </c>
      <c r="N38" s="15" t="n"/>
      <c r="O38" s="15" t="n"/>
      <c r="P38" s="15" t="n"/>
      <c r="Q38" s="16">
        <f>IF(A38="","",N(N38)+N(O38)+N(P38))</f>
        <v/>
      </c>
      <c r="R38" s="16">
        <f>IF(A38="","",F38-Q38)</f>
        <v/>
      </c>
      <c r="S38" s="46">
        <f>IFERROR(R38/F38,"")</f>
        <v/>
      </c>
      <c r="T38" s="13" t="n"/>
    </row>
    <row r="39" ht="15" customHeight="1">
      <c r="A39" s="13" t="n"/>
      <c r="B39" s="14">
        <f>IF(A39="","",IF(COUNTIF(lst_Jobs,A39&amp;"")&gt;0,"OK","CHECK"))</f>
        <v/>
      </c>
      <c r="C39" s="14">
        <f>IF(A39="","",IFERROR(INDEX(lst_JobName,MATCH(A39&amp;"",lst_Jobs,0)),""))</f>
        <v/>
      </c>
      <c r="D39" s="14">
        <f>IF(A39="","",IFERROR(INDEX(tbl_Finance[Client],MATCH(A39&amp;"",tbl_Finance[Job Number],0)),""))</f>
        <v/>
      </c>
      <c r="E39" s="44">
        <f>IF(A39="","",COUNTIFS(tbl_Finance[Job Number],A39&amp;"",tbl_Finance[Ex GST],"&lt;&gt;"))</f>
        <v/>
      </c>
      <c r="F39" s="16">
        <f>IF(A39="","",SUMIFS(tbl_Finance[Ex GST],tbl_Finance[Job Number],A39&amp;""))</f>
        <v/>
      </c>
      <c r="G39" s="14">
        <f>IF(A39="","",IFERROR(INDEX(tbl_Finance[Cost Centre],MATCH(A39&amp;"",tbl_Finance[Job Number],0)),"not invoiced yet"))</f>
        <v/>
      </c>
      <c r="H39" s="13" t="n"/>
      <c r="I39" s="13" t="n"/>
      <c r="J39" s="15" t="n"/>
      <c r="K39" s="15" t="n"/>
      <c r="L39" s="15" t="n"/>
      <c r="M39" s="14">
        <f>IF(A39="","",IF(N(J39)+N(K39)+N(L39)=0,"Not split",IF(ROUND(N(J39)+N(K39)+N(L39),2)=ROUND(F39,2),"OK","MISMATCH")))</f>
        <v/>
      </c>
      <c r="N39" s="15" t="n"/>
      <c r="O39" s="15" t="n"/>
      <c r="P39" s="15" t="n"/>
      <c r="Q39" s="16">
        <f>IF(A39="","",N(N39)+N(O39)+N(P39))</f>
        <v/>
      </c>
      <c r="R39" s="16">
        <f>IF(A39="","",F39-Q39)</f>
        <v/>
      </c>
      <c r="S39" s="46">
        <f>IFERROR(R39/F39,"")</f>
        <v/>
      </c>
      <c r="T39" s="13" t="n"/>
    </row>
    <row r="40" ht="15" customHeight="1">
      <c r="A40" s="13" t="n"/>
      <c r="B40" s="14">
        <f>IF(A40="","",IF(COUNTIF(lst_Jobs,A40&amp;"")&gt;0,"OK","CHECK"))</f>
        <v/>
      </c>
      <c r="C40" s="14">
        <f>IF(A40="","",IFERROR(INDEX(lst_JobName,MATCH(A40&amp;"",lst_Jobs,0)),""))</f>
        <v/>
      </c>
      <c r="D40" s="14">
        <f>IF(A40="","",IFERROR(INDEX(tbl_Finance[Client],MATCH(A40&amp;"",tbl_Finance[Job Number],0)),""))</f>
        <v/>
      </c>
      <c r="E40" s="44">
        <f>IF(A40="","",COUNTIFS(tbl_Finance[Job Number],A40&amp;"",tbl_Finance[Ex GST],"&lt;&gt;"))</f>
        <v/>
      </c>
      <c r="F40" s="16">
        <f>IF(A40="","",SUMIFS(tbl_Finance[Ex GST],tbl_Finance[Job Number],A40&amp;""))</f>
        <v/>
      </c>
      <c r="G40" s="14">
        <f>IF(A40="","",IFERROR(INDEX(tbl_Finance[Cost Centre],MATCH(A40&amp;"",tbl_Finance[Job Number],0)),"not invoiced yet"))</f>
        <v/>
      </c>
      <c r="H40" s="13" t="n"/>
      <c r="I40" s="13" t="n"/>
      <c r="J40" s="15" t="n"/>
      <c r="K40" s="15" t="n"/>
      <c r="L40" s="15" t="n"/>
      <c r="M40" s="14">
        <f>IF(A40="","",IF(N(J40)+N(K40)+N(L40)=0,"Not split",IF(ROUND(N(J40)+N(K40)+N(L40),2)=ROUND(F40,2),"OK","MISMATCH")))</f>
        <v/>
      </c>
      <c r="N40" s="15" t="n"/>
      <c r="O40" s="15" t="n"/>
      <c r="P40" s="15" t="n"/>
      <c r="Q40" s="16">
        <f>IF(A40="","",N(N40)+N(O40)+N(P40))</f>
        <v/>
      </c>
      <c r="R40" s="16">
        <f>IF(A40="","",F40-Q40)</f>
        <v/>
      </c>
      <c r="S40" s="46">
        <f>IFERROR(R40/F40,"")</f>
        <v/>
      </c>
      <c r="T40" s="13" t="n"/>
    </row>
    <row r="41" ht="15" customHeight="1">
      <c r="A41" s="13" t="n"/>
      <c r="B41" s="14">
        <f>IF(A41="","",IF(COUNTIF(lst_Jobs,A41&amp;"")&gt;0,"OK","CHECK"))</f>
        <v/>
      </c>
      <c r="C41" s="14">
        <f>IF(A41="","",IFERROR(INDEX(lst_JobName,MATCH(A41&amp;"",lst_Jobs,0)),""))</f>
        <v/>
      </c>
      <c r="D41" s="14">
        <f>IF(A41="","",IFERROR(INDEX(tbl_Finance[Client],MATCH(A41&amp;"",tbl_Finance[Job Number],0)),""))</f>
        <v/>
      </c>
      <c r="E41" s="44">
        <f>IF(A41="","",COUNTIFS(tbl_Finance[Job Number],A41&amp;"",tbl_Finance[Ex GST],"&lt;&gt;"))</f>
        <v/>
      </c>
      <c r="F41" s="16">
        <f>IF(A41="","",SUMIFS(tbl_Finance[Ex GST],tbl_Finance[Job Number],A41&amp;""))</f>
        <v/>
      </c>
      <c r="G41" s="14">
        <f>IF(A41="","",IFERROR(INDEX(tbl_Finance[Cost Centre],MATCH(A41&amp;"",tbl_Finance[Job Number],0)),"not invoiced yet"))</f>
        <v/>
      </c>
      <c r="H41" s="13" t="n"/>
      <c r="I41" s="13" t="n"/>
      <c r="J41" s="15" t="n"/>
      <c r="K41" s="15" t="n"/>
      <c r="L41" s="15" t="n"/>
      <c r="M41" s="14">
        <f>IF(A41="","",IF(N(J41)+N(K41)+N(L41)=0,"Not split",IF(ROUND(N(J41)+N(K41)+N(L41),2)=ROUND(F41,2),"OK","MISMATCH")))</f>
        <v/>
      </c>
      <c r="N41" s="15" t="n"/>
      <c r="O41" s="15" t="n"/>
      <c r="P41" s="15" t="n"/>
      <c r="Q41" s="16">
        <f>IF(A41="","",N(N41)+N(O41)+N(P41))</f>
        <v/>
      </c>
      <c r="R41" s="16">
        <f>IF(A41="","",F41-Q41)</f>
        <v/>
      </c>
      <c r="S41" s="46">
        <f>IFERROR(R41/F41,"")</f>
        <v/>
      </c>
      <c r="T41" s="13" t="n"/>
    </row>
    <row r="42" ht="15" customHeight="1">
      <c r="A42" s="13" t="n"/>
      <c r="B42" s="14">
        <f>IF(A42="","",IF(COUNTIF(lst_Jobs,A42&amp;"")&gt;0,"OK","CHECK"))</f>
        <v/>
      </c>
      <c r="C42" s="14">
        <f>IF(A42="","",IFERROR(INDEX(lst_JobName,MATCH(A42&amp;"",lst_Jobs,0)),""))</f>
        <v/>
      </c>
      <c r="D42" s="14">
        <f>IF(A42="","",IFERROR(INDEX(tbl_Finance[Client],MATCH(A42&amp;"",tbl_Finance[Job Number],0)),""))</f>
        <v/>
      </c>
      <c r="E42" s="44">
        <f>IF(A42="","",COUNTIFS(tbl_Finance[Job Number],A42&amp;"",tbl_Finance[Ex GST],"&lt;&gt;"))</f>
        <v/>
      </c>
      <c r="F42" s="16">
        <f>IF(A42="","",SUMIFS(tbl_Finance[Ex GST],tbl_Finance[Job Number],A42&amp;""))</f>
        <v/>
      </c>
      <c r="G42" s="14">
        <f>IF(A42="","",IFERROR(INDEX(tbl_Finance[Cost Centre],MATCH(A42&amp;"",tbl_Finance[Job Number],0)),"not invoiced yet"))</f>
        <v/>
      </c>
      <c r="H42" s="13" t="n"/>
      <c r="I42" s="13" t="n"/>
      <c r="J42" s="15" t="n"/>
      <c r="K42" s="15" t="n"/>
      <c r="L42" s="15" t="n"/>
      <c r="M42" s="14">
        <f>IF(A42="","",IF(N(J42)+N(K42)+N(L42)=0,"Not split",IF(ROUND(N(J42)+N(K42)+N(L42),2)=ROUND(F42,2),"OK","MISMATCH")))</f>
        <v/>
      </c>
      <c r="N42" s="15" t="n"/>
      <c r="O42" s="15" t="n"/>
      <c r="P42" s="15" t="n"/>
      <c r="Q42" s="16">
        <f>IF(A42="","",N(N42)+N(O42)+N(P42))</f>
        <v/>
      </c>
      <c r="R42" s="16">
        <f>IF(A42="","",F42-Q42)</f>
        <v/>
      </c>
      <c r="S42" s="46">
        <f>IFERROR(R42/F42,"")</f>
        <v/>
      </c>
      <c r="T42" s="13" t="n"/>
    </row>
    <row r="43" ht="15" customHeight="1">
      <c r="A43" s="13" t="n"/>
      <c r="B43" s="14">
        <f>IF(A43="","",IF(COUNTIF(lst_Jobs,A43&amp;"")&gt;0,"OK","CHECK"))</f>
        <v/>
      </c>
      <c r="C43" s="14">
        <f>IF(A43="","",IFERROR(INDEX(lst_JobName,MATCH(A43&amp;"",lst_Jobs,0)),""))</f>
        <v/>
      </c>
      <c r="D43" s="14">
        <f>IF(A43="","",IFERROR(INDEX(tbl_Finance[Client],MATCH(A43&amp;"",tbl_Finance[Job Number],0)),""))</f>
        <v/>
      </c>
      <c r="E43" s="44">
        <f>IF(A43="","",COUNTIFS(tbl_Finance[Job Number],A43&amp;"",tbl_Finance[Ex GST],"&lt;&gt;"))</f>
        <v/>
      </c>
      <c r="F43" s="16">
        <f>IF(A43="","",SUMIFS(tbl_Finance[Ex GST],tbl_Finance[Job Number],A43&amp;""))</f>
        <v/>
      </c>
      <c r="G43" s="14">
        <f>IF(A43="","",IFERROR(INDEX(tbl_Finance[Cost Centre],MATCH(A43&amp;"",tbl_Finance[Job Number],0)),"not invoiced yet"))</f>
        <v/>
      </c>
      <c r="H43" s="13" t="n"/>
      <c r="I43" s="13" t="n"/>
      <c r="J43" s="15" t="n"/>
      <c r="K43" s="15" t="n"/>
      <c r="L43" s="15" t="n"/>
      <c r="M43" s="14">
        <f>IF(A43="","",IF(N(J43)+N(K43)+N(L43)=0,"Not split",IF(ROUND(N(J43)+N(K43)+N(L43),2)=ROUND(F43,2),"OK","MISMATCH")))</f>
        <v/>
      </c>
      <c r="N43" s="15" t="n"/>
      <c r="O43" s="15" t="n"/>
      <c r="P43" s="15" t="n"/>
      <c r="Q43" s="16">
        <f>IF(A43="","",N(N43)+N(O43)+N(P43))</f>
        <v/>
      </c>
      <c r="R43" s="16">
        <f>IF(A43="","",F43-Q43)</f>
        <v/>
      </c>
      <c r="S43" s="46">
        <f>IFERROR(R43/F43,"")</f>
        <v/>
      </c>
      <c r="T43" s="13" t="n"/>
    </row>
    <row r="44" ht="15" customHeight="1">
      <c r="A44" s="13" t="n"/>
      <c r="B44" s="14">
        <f>IF(A44="","",IF(COUNTIF(lst_Jobs,A44&amp;"")&gt;0,"OK","CHECK"))</f>
        <v/>
      </c>
      <c r="C44" s="14">
        <f>IF(A44="","",IFERROR(INDEX(lst_JobName,MATCH(A44&amp;"",lst_Jobs,0)),""))</f>
        <v/>
      </c>
      <c r="D44" s="14">
        <f>IF(A44="","",IFERROR(INDEX(tbl_Finance[Client],MATCH(A44&amp;"",tbl_Finance[Job Number],0)),""))</f>
        <v/>
      </c>
      <c r="E44" s="44">
        <f>IF(A44="","",COUNTIFS(tbl_Finance[Job Number],A44&amp;"",tbl_Finance[Ex GST],"&lt;&gt;"))</f>
        <v/>
      </c>
      <c r="F44" s="16">
        <f>IF(A44="","",SUMIFS(tbl_Finance[Ex GST],tbl_Finance[Job Number],A44&amp;""))</f>
        <v/>
      </c>
      <c r="G44" s="14">
        <f>IF(A44="","",IFERROR(INDEX(tbl_Finance[Cost Centre],MATCH(A44&amp;"",tbl_Finance[Job Number],0)),"not invoiced yet"))</f>
        <v/>
      </c>
      <c r="H44" s="13" t="n"/>
      <c r="I44" s="13" t="n"/>
      <c r="J44" s="15" t="n"/>
      <c r="K44" s="15" t="n"/>
      <c r="L44" s="15" t="n"/>
      <c r="M44" s="14">
        <f>IF(A44="","",IF(N(J44)+N(K44)+N(L44)=0,"Not split",IF(ROUND(N(J44)+N(K44)+N(L44),2)=ROUND(F44,2),"OK","MISMATCH")))</f>
        <v/>
      </c>
      <c r="N44" s="15" t="n"/>
      <c r="O44" s="15" t="n"/>
      <c r="P44" s="15" t="n"/>
      <c r="Q44" s="16">
        <f>IF(A44="","",N(N44)+N(O44)+N(P44))</f>
        <v/>
      </c>
      <c r="R44" s="16">
        <f>IF(A44="","",F44-Q44)</f>
        <v/>
      </c>
      <c r="S44" s="46">
        <f>IFERROR(R44/F44,"")</f>
        <v/>
      </c>
      <c r="T44" s="13" t="n"/>
    </row>
    <row r="45" ht="15" customHeight="1">
      <c r="A45" s="13" t="n"/>
      <c r="B45" s="14">
        <f>IF(A45="","",IF(COUNTIF(lst_Jobs,A45&amp;"")&gt;0,"OK","CHECK"))</f>
        <v/>
      </c>
      <c r="C45" s="14">
        <f>IF(A45="","",IFERROR(INDEX(lst_JobName,MATCH(A45&amp;"",lst_Jobs,0)),""))</f>
        <v/>
      </c>
      <c r="D45" s="14">
        <f>IF(A45="","",IFERROR(INDEX(tbl_Finance[Client],MATCH(A45&amp;"",tbl_Finance[Job Number],0)),""))</f>
        <v/>
      </c>
      <c r="E45" s="44">
        <f>IF(A45="","",COUNTIFS(tbl_Finance[Job Number],A45&amp;"",tbl_Finance[Ex GST],"&lt;&gt;"))</f>
        <v/>
      </c>
      <c r="F45" s="16">
        <f>IF(A45="","",SUMIFS(tbl_Finance[Ex GST],tbl_Finance[Job Number],A45&amp;""))</f>
        <v/>
      </c>
      <c r="G45" s="14">
        <f>IF(A45="","",IFERROR(INDEX(tbl_Finance[Cost Centre],MATCH(A45&amp;"",tbl_Finance[Job Number],0)),"not invoiced yet"))</f>
        <v/>
      </c>
      <c r="H45" s="13" t="n"/>
      <c r="I45" s="13" t="n"/>
      <c r="J45" s="15" t="n"/>
      <c r="K45" s="15" t="n"/>
      <c r="L45" s="15" t="n"/>
      <c r="M45" s="14">
        <f>IF(A45="","",IF(N(J45)+N(K45)+N(L45)=0,"Not split",IF(ROUND(N(J45)+N(K45)+N(L45),2)=ROUND(F45,2),"OK","MISMATCH")))</f>
        <v/>
      </c>
      <c r="N45" s="15" t="n"/>
      <c r="O45" s="15" t="n"/>
      <c r="P45" s="15" t="n"/>
      <c r="Q45" s="16">
        <f>IF(A45="","",N(N45)+N(O45)+N(P45))</f>
        <v/>
      </c>
      <c r="R45" s="16">
        <f>IF(A45="","",F45-Q45)</f>
        <v/>
      </c>
      <c r="S45" s="46">
        <f>IFERROR(R45/F45,"")</f>
        <v/>
      </c>
      <c r="T45" s="13" t="n"/>
    </row>
    <row r="46" ht="15" customHeight="1">
      <c r="A46" s="13" t="n"/>
      <c r="B46" s="14">
        <f>IF(A46="","",IF(COUNTIF(lst_Jobs,A46&amp;"")&gt;0,"OK","CHECK"))</f>
        <v/>
      </c>
      <c r="C46" s="14">
        <f>IF(A46="","",IFERROR(INDEX(lst_JobName,MATCH(A46&amp;"",lst_Jobs,0)),""))</f>
        <v/>
      </c>
      <c r="D46" s="14">
        <f>IF(A46="","",IFERROR(INDEX(tbl_Finance[Client],MATCH(A46&amp;"",tbl_Finance[Job Number],0)),""))</f>
        <v/>
      </c>
      <c r="E46" s="44">
        <f>IF(A46="","",COUNTIFS(tbl_Finance[Job Number],A46&amp;"",tbl_Finance[Ex GST],"&lt;&gt;"))</f>
        <v/>
      </c>
      <c r="F46" s="16">
        <f>IF(A46="","",SUMIFS(tbl_Finance[Ex GST],tbl_Finance[Job Number],A46&amp;""))</f>
        <v/>
      </c>
      <c r="G46" s="14">
        <f>IF(A46="","",IFERROR(INDEX(tbl_Finance[Cost Centre],MATCH(A46&amp;"",tbl_Finance[Job Number],0)),"not invoiced yet"))</f>
        <v/>
      </c>
      <c r="H46" s="13" t="n"/>
      <c r="I46" s="13" t="n"/>
      <c r="J46" s="15" t="n"/>
      <c r="K46" s="15" t="n"/>
      <c r="L46" s="15" t="n"/>
      <c r="M46" s="14">
        <f>IF(A46="","",IF(N(J46)+N(K46)+N(L46)=0,"Not split",IF(ROUND(N(J46)+N(K46)+N(L46),2)=ROUND(F46,2),"OK","MISMATCH")))</f>
        <v/>
      </c>
      <c r="N46" s="15" t="n"/>
      <c r="O46" s="15" t="n"/>
      <c r="P46" s="15" t="n"/>
      <c r="Q46" s="16">
        <f>IF(A46="","",N(N46)+N(O46)+N(P46))</f>
        <v/>
      </c>
      <c r="R46" s="16">
        <f>IF(A46="","",F46-Q46)</f>
        <v/>
      </c>
      <c r="S46" s="46">
        <f>IFERROR(R46/F46,"")</f>
        <v/>
      </c>
      <c r="T46" s="13" t="n"/>
    </row>
    <row r="47" ht="15" customHeight="1">
      <c r="A47" s="13" t="n"/>
      <c r="B47" s="14">
        <f>IF(A47="","",IF(COUNTIF(lst_Jobs,A47&amp;"")&gt;0,"OK","CHECK"))</f>
        <v/>
      </c>
      <c r="C47" s="14">
        <f>IF(A47="","",IFERROR(INDEX(lst_JobName,MATCH(A47&amp;"",lst_Jobs,0)),""))</f>
        <v/>
      </c>
      <c r="D47" s="14">
        <f>IF(A47="","",IFERROR(INDEX(tbl_Finance[Client],MATCH(A47&amp;"",tbl_Finance[Job Number],0)),""))</f>
        <v/>
      </c>
      <c r="E47" s="44">
        <f>IF(A47="","",COUNTIFS(tbl_Finance[Job Number],A47&amp;"",tbl_Finance[Ex GST],"&lt;&gt;"))</f>
        <v/>
      </c>
      <c r="F47" s="16">
        <f>IF(A47="","",SUMIFS(tbl_Finance[Ex GST],tbl_Finance[Job Number],A47&amp;""))</f>
        <v/>
      </c>
      <c r="G47" s="14">
        <f>IF(A47="","",IFERROR(INDEX(tbl_Finance[Cost Centre],MATCH(A47&amp;"",tbl_Finance[Job Number],0)),"not invoiced yet"))</f>
        <v/>
      </c>
      <c r="H47" s="13" t="n"/>
      <c r="I47" s="13" t="n"/>
      <c r="J47" s="15" t="n"/>
      <c r="K47" s="15" t="n"/>
      <c r="L47" s="15" t="n"/>
      <c r="M47" s="14">
        <f>IF(A47="","",IF(N(J47)+N(K47)+N(L47)=0,"Not split",IF(ROUND(N(J47)+N(K47)+N(L47),2)=ROUND(F47,2),"OK","MISMATCH")))</f>
        <v/>
      </c>
      <c r="N47" s="15" t="n"/>
      <c r="O47" s="15" t="n"/>
      <c r="P47" s="15" t="n"/>
      <c r="Q47" s="16">
        <f>IF(A47="","",N(N47)+N(O47)+N(P47))</f>
        <v/>
      </c>
      <c r="R47" s="16">
        <f>IF(A47="","",F47-Q47)</f>
        <v/>
      </c>
      <c r="S47" s="46">
        <f>IFERROR(R47/F47,"")</f>
        <v/>
      </c>
      <c r="T47" s="13" t="n"/>
    </row>
    <row r="48" ht="15" customHeight="1">
      <c r="A48" s="13" t="n"/>
      <c r="B48" s="14">
        <f>IF(A48="","",IF(COUNTIF(lst_Jobs,A48&amp;"")&gt;0,"OK","CHECK"))</f>
        <v/>
      </c>
      <c r="C48" s="14">
        <f>IF(A48="","",IFERROR(INDEX(lst_JobName,MATCH(A48&amp;"",lst_Jobs,0)),""))</f>
        <v/>
      </c>
      <c r="D48" s="14">
        <f>IF(A48="","",IFERROR(INDEX(tbl_Finance[Client],MATCH(A48&amp;"",tbl_Finance[Job Number],0)),""))</f>
        <v/>
      </c>
      <c r="E48" s="44">
        <f>IF(A48="","",COUNTIFS(tbl_Finance[Job Number],A48&amp;"",tbl_Finance[Ex GST],"&lt;&gt;"))</f>
        <v/>
      </c>
      <c r="F48" s="16">
        <f>IF(A48="","",SUMIFS(tbl_Finance[Ex GST],tbl_Finance[Job Number],A48&amp;""))</f>
        <v/>
      </c>
      <c r="G48" s="14">
        <f>IF(A48="","",IFERROR(INDEX(tbl_Finance[Cost Centre],MATCH(A48&amp;"",tbl_Finance[Job Number],0)),"not invoiced yet"))</f>
        <v/>
      </c>
      <c r="H48" s="13" t="n"/>
      <c r="I48" s="13" t="n"/>
      <c r="J48" s="15" t="n"/>
      <c r="K48" s="15" t="n"/>
      <c r="L48" s="15" t="n"/>
      <c r="M48" s="14">
        <f>IF(A48="","",IF(N(J48)+N(K48)+N(L48)=0,"Not split",IF(ROUND(N(J48)+N(K48)+N(L48),2)=ROUND(F48,2),"OK","MISMATCH")))</f>
        <v/>
      </c>
      <c r="N48" s="15" t="n"/>
      <c r="O48" s="15" t="n"/>
      <c r="P48" s="15" t="n"/>
      <c r="Q48" s="16">
        <f>IF(A48="","",N(N48)+N(O48)+N(P48))</f>
        <v/>
      </c>
      <c r="R48" s="16">
        <f>IF(A48="","",F48-Q48)</f>
        <v/>
      </c>
      <c r="S48" s="46">
        <f>IFERROR(R48/F48,"")</f>
        <v/>
      </c>
      <c r="T48" s="13" t="n"/>
    </row>
    <row r="49" ht="15" customHeight="1">
      <c r="A49" s="13" t="n"/>
      <c r="B49" s="14">
        <f>IF(A49="","",IF(COUNTIF(lst_Jobs,A49&amp;"")&gt;0,"OK","CHECK"))</f>
        <v/>
      </c>
      <c r="C49" s="14">
        <f>IF(A49="","",IFERROR(INDEX(lst_JobName,MATCH(A49&amp;"",lst_Jobs,0)),""))</f>
        <v/>
      </c>
      <c r="D49" s="14">
        <f>IF(A49="","",IFERROR(INDEX(tbl_Finance[Client],MATCH(A49&amp;"",tbl_Finance[Job Number],0)),""))</f>
        <v/>
      </c>
      <c r="E49" s="44">
        <f>IF(A49="","",COUNTIFS(tbl_Finance[Job Number],A49&amp;"",tbl_Finance[Ex GST],"&lt;&gt;"))</f>
        <v/>
      </c>
      <c r="F49" s="16">
        <f>IF(A49="","",SUMIFS(tbl_Finance[Ex GST],tbl_Finance[Job Number],A49&amp;""))</f>
        <v/>
      </c>
      <c r="G49" s="14">
        <f>IF(A49="","",IFERROR(INDEX(tbl_Finance[Cost Centre],MATCH(A49&amp;"",tbl_Finance[Job Number],0)),"not invoiced yet"))</f>
        <v/>
      </c>
      <c r="H49" s="13" t="n"/>
      <c r="I49" s="13" t="n"/>
      <c r="J49" s="15" t="n"/>
      <c r="K49" s="15" t="n"/>
      <c r="L49" s="15" t="n"/>
      <c r="M49" s="14">
        <f>IF(A49="","",IF(N(J49)+N(K49)+N(L49)=0,"Not split",IF(ROUND(N(J49)+N(K49)+N(L49),2)=ROUND(F49,2),"OK","MISMATCH")))</f>
        <v/>
      </c>
      <c r="N49" s="15" t="n"/>
      <c r="O49" s="15" t="n"/>
      <c r="P49" s="15" t="n"/>
      <c r="Q49" s="16">
        <f>IF(A49="","",N(N49)+N(O49)+N(P49))</f>
        <v/>
      </c>
      <c r="R49" s="16">
        <f>IF(A49="","",F49-Q49)</f>
        <v/>
      </c>
      <c r="S49" s="46">
        <f>IFERROR(R49/F49,"")</f>
        <v/>
      </c>
      <c r="T49" s="13" t="n"/>
    </row>
    <row r="50" ht="15" customHeight="1">
      <c r="A50" s="13" t="n"/>
      <c r="B50" s="14">
        <f>IF(A50="","",IF(COUNTIF(lst_Jobs,A50&amp;"")&gt;0,"OK","CHECK"))</f>
        <v/>
      </c>
      <c r="C50" s="14">
        <f>IF(A50="","",IFERROR(INDEX(lst_JobName,MATCH(A50&amp;"",lst_Jobs,0)),""))</f>
        <v/>
      </c>
      <c r="D50" s="14">
        <f>IF(A50="","",IFERROR(INDEX(tbl_Finance[Client],MATCH(A50&amp;"",tbl_Finance[Job Number],0)),""))</f>
        <v/>
      </c>
      <c r="E50" s="44">
        <f>IF(A50="","",COUNTIFS(tbl_Finance[Job Number],A50&amp;"",tbl_Finance[Ex GST],"&lt;&gt;"))</f>
        <v/>
      </c>
      <c r="F50" s="16">
        <f>IF(A50="","",SUMIFS(tbl_Finance[Ex GST],tbl_Finance[Job Number],A50&amp;""))</f>
        <v/>
      </c>
      <c r="G50" s="14">
        <f>IF(A50="","",IFERROR(INDEX(tbl_Finance[Cost Centre],MATCH(A50&amp;"",tbl_Finance[Job Number],0)),"not invoiced yet"))</f>
        <v/>
      </c>
      <c r="H50" s="13" t="n"/>
      <c r="I50" s="13" t="n"/>
      <c r="J50" s="15" t="n"/>
      <c r="K50" s="15" t="n"/>
      <c r="L50" s="15" t="n"/>
      <c r="M50" s="14">
        <f>IF(A50="","",IF(N(J50)+N(K50)+N(L50)=0,"Not split",IF(ROUND(N(J50)+N(K50)+N(L50),2)=ROUND(F50,2),"OK","MISMATCH")))</f>
        <v/>
      </c>
      <c r="N50" s="15" t="n"/>
      <c r="O50" s="15" t="n"/>
      <c r="P50" s="15" t="n"/>
      <c r="Q50" s="16">
        <f>IF(A50="","",N(N50)+N(O50)+N(P50))</f>
        <v/>
      </c>
      <c r="R50" s="16">
        <f>IF(A50="","",F50-Q50)</f>
        <v/>
      </c>
      <c r="S50" s="46">
        <f>IFERROR(R50/F50,"")</f>
        <v/>
      </c>
      <c r="T50" s="13" t="n"/>
    </row>
    <row r="51" ht="15" customHeight="1">
      <c r="A51" s="13" t="n"/>
      <c r="B51" s="14">
        <f>IF(A51="","",IF(COUNTIF(lst_Jobs,A51&amp;"")&gt;0,"OK","CHECK"))</f>
        <v/>
      </c>
      <c r="C51" s="14">
        <f>IF(A51="","",IFERROR(INDEX(lst_JobName,MATCH(A51&amp;"",lst_Jobs,0)),""))</f>
        <v/>
      </c>
      <c r="D51" s="14">
        <f>IF(A51="","",IFERROR(INDEX(tbl_Finance[Client],MATCH(A51&amp;"",tbl_Finance[Job Number],0)),""))</f>
        <v/>
      </c>
      <c r="E51" s="44">
        <f>IF(A51="","",COUNTIFS(tbl_Finance[Job Number],A51&amp;"",tbl_Finance[Ex GST],"&lt;&gt;"))</f>
        <v/>
      </c>
      <c r="F51" s="16">
        <f>IF(A51="","",SUMIFS(tbl_Finance[Ex GST],tbl_Finance[Job Number],A51&amp;""))</f>
        <v/>
      </c>
      <c r="G51" s="14">
        <f>IF(A51="","",IFERROR(INDEX(tbl_Finance[Cost Centre],MATCH(A51&amp;"",tbl_Finance[Job Number],0)),"not invoiced yet"))</f>
        <v/>
      </c>
      <c r="H51" s="13" t="n"/>
      <c r="I51" s="13" t="n"/>
      <c r="J51" s="15" t="n"/>
      <c r="K51" s="15" t="n"/>
      <c r="L51" s="15" t="n"/>
      <c r="M51" s="14">
        <f>IF(A51="","",IF(N(J51)+N(K51)+N(L51)=0,"Not split",IF(ROUND(N(J51)+N(K51)+N(L51),2)=ROUND(F51,2),"OK","MISMATCH")))</f>
        <v/>
      </c>
      <c r="N51" s="15" t="n"/>
      <c r="O51" s="15" t="n"/>
      <c r="P51" s="15" t="n"/>
      <c r="Q51" s="16">
        <f>IF(A51="","",N(N51)+N(O51)+N(P51))</f>
        <v/>
      </c>
      <c r="R51" s="16">
        <f>IF(A51="","",F51-Q51)</f>
        <v/>
      </c>
      <c r="S51" s="46">
        <f>IFERROR(R51/F51,"")</f>
        <v/>
      </c>
      <c r="T51" s="13" t="n"/>
    </row>
    <row r="52" ht="15" customHeight="1">
      <c r="A52" s="13" t="n"/>
      <c r="B52" s="14">
        <f>IF(A52="","",IF(COUNTIF(lst_Jobs,A52&amp;"")&gt;0,"OK","CHECK"))</f>
        <v/>
      </c>
      <c r="C52" s="14">
        <f>IF(A52="","",IFERROR(INDEX(lst_JobName,MATCH(A52&amp;"",lst_Jobs,0)),""))</f>
        <v/>
      </c>
      <c r="D52" s="14">
        <f>IF(A52="","",IFERROR(INDEX(tbl_Finance[Client],MATCH(A52&amp;"",tbl_Finance[Job Number],0)),""))</f>
        <v/>
      </c>
      <c r="E52" s="44">
        <f>IF(A52="","",COUNTIFS(tbl_Finance[Job Number],A52&amp;"",tbl_Finance[Ex GST],"&lt;&gt;"))</f>
        <v/>
      </c>
      <c r="F52" s="16">
        <f>IF(A52="","",SUMIFS(tbl_Finance[Ex GST],tbl_Finance[Job Number],A52&amp;""))</f>
        <v/>
      </c>
      <c r="G52" s="14">
        <f>IF(A52="","",IFERROR(INDEX(tbl_Finance[Cost Centre],MATCH(A52&amp;"",tbl_Finance[Job Number],0)),"not invoiced yet"))</f>
        <v/>
      </c>
      <c r="H52" s="13" t="n"/>
      <c r="I52" s="13" t="n"/>
      <c r="J52" s="15" t="n"/>
      <c r="K52" s="15" t="n"/>
      <c r="L52" s="15" t="n"/>
      <c r="M52" s="14">
        <f>IF(A52="","",IF(N(J52)+N(K52)+N(L52)=0,"Not split",IF(ROUND(N(J52)+N(K52)+N(L52),2)=ROUND(F52,2),"OK","MISMATCH")))</f>
        <v/>
      </c>
      <c r="N52" s="15" t="n"/>
      <c r="O52" s="15" t="n"/>
      <c r="P52" s="15" t="n"/>
      <c r="Q52" s="16">
        <f>IF(A52="","",N(N52)+N(O52)+N(P52))</f>
        <v/>
      </c>
      <c r="R52" s="16">
        <f>IF(A52="","",F52-Q52)</f>
        <v/>
      </c>
      <c r="S52" s="46">
        <f>IFERROR(R52/F52,"")</f>
        <v/>
      </c>
      <c r="T52" s="13" t="n"/>
    </row>
    <row r="53" ht="15" customHeight="1">
      <c r="A53" s="13" t="n"/>
      <c r="B53" s="14">
        <f>IF(A53="","",IF(COUNTIF(lst_Jobs,A53&amp;"")&gt;0,"OK","CHECK"))</f>
        <v/>
      </c>
      <c r="C53" s="14">
        <f>IF(A53="","",IFERROR(INDEX(lst_JobName,MATCH(A53&amp;"",lst_Jobs,0)),""))</f>
        <v/>
      </c>
      <c r="D53" s="14">
        <f>IF(A53="","",IFERROR(INDEX(tbl_Finance[Client],MATCH(A53&amp;"",tbl_Finance[Job Number],0)),""))</f>
        <v/>
      </c>
      <c r="E53" s="44">
        <f>IF(A53="","",COUNTIFS(tbl_Finance[Job Number],A53&amp;"",tbl_Finance[Ex GST],"&lt;&gt;"))</f>
        <v/>
      </c>
      <c r="F53" s="16">
        <f>IF(A53="","",SUMIFS(tbl_Finance[Ex GST],tbl_Finance[Job Number],A53&amp;""))</f>
        <v/>
      </c>
      <c r="G53" s="14">
        <f>IF(A53="","",IFERROR(INDEX(tbl_Finance[Cost Centre],MATCH(A53&amp;"",tbl_Finance[Job Number],0)),"not invoiced yet"))</f>
        <v/>
      </c>
      <c r="H53" s="13" t="n"/>
      <c r="I53" s="13" t="n"/>
      <c r="J53" s="15" t="n"/>
      <c r="K53" s="15" t="n"/>
      <c r="L53" s="15" t="n"/>
      <c r="M53" s="14">
        <f>IF(A53="","",IF(N(J53)+N(K53)+N(L53)=0,"Not split",IF(ROUND(N(J53)+N(K53)+N(L53),2)=ROUND(F53,2),"OK","MISMATCH")))</f>
        <v/>
      </c>
      <c r="N53" s="15" t="n"/>
      <c r="O53" s="15" t="n"/>
      <c r="P53" s="15" t="n"/>
      <c r="Q53" s="16">
        <f>IF(A53="","",N(N53)+N(O53)+N(P53))</f>
        <v/>
      </c>
      <c r="R53" s="16">
        <f>IF(A53="","",F53-Q53)</f>
        <v/>
      </c>
      <c r="S53" s="46">
        <f>IFERROR(R53/F53,"")</f>
        <v/>
      </c>
      <c r="T53" s="13" t="n"/>
    </row>
    <row r="54" ht="15" customHeight="1">
      <c r="A54" s="13" t="n"/>
      <c r="B54" s="14">
        <f>IF(A54="","",IF(COUNTIF(lst_Jobs,A54&amp;"")&gt;0,"OK","CHECK"))</f>
        <v/>
      </c>
      <c r="C54" s="14">
        <f>IF(A54="","",IFERROR(INDEX(lst_JobName,MATCH(A54&amp;"",lst_Jobs,0)),""))</f>
        <v/>
      </c>
      <c r="D54" s="14">
        <f>IF(A54="","",IFERROR(INDEX(tbl_Finance[Client],MATCH(A54&amp;"",tbl_Finance[Job Number],0)),""))</f>
        <v/>
      </c>
      <c r="E54" s="44">
        <f>IF(A54="","",COUNTIFS(tbl_Finance[Job Number],A54&amp;"",tbl_Finance[Ex GST],"&lt;&gt;"))</f>
        <v/>
      </c>
      <c r="F54" s="16">
        <f>IF(A54="","",SUMIFS(tbl_Finance[Ex GST],tbl_Finance[Job Number],A54&amp;""))</f>
        <v/>
      </c>
      <c r="G54" s="14">
        <f>IF(A54="","",IFERROR(INDEX(tbl_Finance[Cost Centre],MATCH(A54&amp;"",tbl_Finance[Job Number],0)),"not invoiced yet"))</f>
        <v/>
      </c>
      <c r="H54" s="13" t="n"/>
      <c r="I54" s="13" t="n"/>
      <c r="J54" s="15" t="n"/>
      <c r="K54" s="15" t="n"/>
      <c r="L54" s="15" t="n"/>
      <c r="M54" s="14">
        <f>IF(A54="","",IF(N(J54)+N(K54)+N(L54)=0,"Not split",IF(ROUND(N(J54)+N(K54)+N(L54),2)=ROUND(F54,2),"OK","MISMATCH")))</f>
        <v/>
      </c>
      <c r="N54" s="15" t="n"/>
      <c r="O54" s="15" t="n"/>
      <c r="P54" s="15" t="n"/>
      <c r="Q54" s="16">
        <f>IF(A54="","",N(N54)+N(O54)+N(P54))</f>
        <v/>
      </c>
      <c r="R54" s="16">
        <f>IF(A54="","",F54-Q54)</f>
        <v/>
      </c>
      <c r="S54" s="46">
        <f>IFERROR(R54/F54,"")</f>
        <v/>
      </c>
      <c r="T54" s="13" t="n"/>
    </row>
    <row r="55" ht="15" customHeight="1">
      <c r="A55" s="13" t="n"/>
      <c r="B55" s="14">
        <f>IF(A55="","",IF(COUNTIF(lst_Jobs,A55&amp;"")&gt;0,"OK","CHECK"))</f>
        <v/>
      </c>
      <c r="C55" s="14">
        <f>IF(A55="","",IFERROR(INDEX(lst_JobName,MATCH(A55&amp;"",lst_Jobs,0)),""))</f>
        <v/>
      </c>
      <c r="D55" s="14">
        <f>IF(A55="","",IFERROR(INDEX(tbl_Finance[Client],MATCH(A55&amp;"",tbl_Finance[Job Number],0)),""))</f>
        <v/>
      </c>
      <c r="E55" s="44">
        <f>IF(A55="","",COUNTIFS(tbl_Finance[Job Number],A55&amp;"",tbl_Finance[Ex GST],"&lt;&gt;"))</f>
        <v/>
      </c>
      <c r="F55" s="16">
        <f>IF(A55="","",SUMIFS(tbl_Finance[Ex GST],tbl_Finance[Job Number],A55&amp;""))</f>
        <v/>
      </c>
      <c r="G55" s="14">
        <f>IF(A55="","",IFERROR(INDEX(tbl_Finance[Cost Centre],MATCH(A55&amp;"",tbl_Finance[Job Number],0)),"not invoiced yet"))</f>
        <v/>
      </c>
      <c r="H55" s="13" t="n"/>
      <c r="I55" s="13" t="n"/>
      <c r="J55" s="15" t="n"/>
      <c r="K55" s="15" t="n"/>
      <c r="L55" s="15" t="n"/>
      <c r="M55" s="14">
        <f>IF(A55="","",IF(N(J55)+N(K55)+N(L55)=0,"Not split",IF(ROUND(N(J55)+N(K55)+N(L55),2)=ROUND(F55,2),"OK","MISMATCH")))</f>
        <v/>
      </c>
      <c r="N55" s="15" t="n"/>
      <c r="O55" s="15" t="n"/>
      <c r="P55" s="15" t="n"/>
      <c r="Q55" s="16">
        <f>IF(A55="","",N(N55)+N(O55)+N(P55))</f>
        <v/>
      </c>
      <c r="R55" s="16">
        <f>IF(A55="","",F55-Q55)</f>
        <v/>
      </c>
      <c r="S55" s="46">
        <f>IFERROR(R55/F55,"")</f>
        <v/>
      </c>
      <c r="T55" s="13" t="n"/>
    </row>
    <row r="56" ht="15" customHeight="1">
      <c r="A56" s="13" t="n"/>
      <c r="B56" s="14">
        <f>IF(A56="","",IF(COUNTIF(lst_Jobs,A56&amp;"")&gt;0,"OK","CHECK"))</f>
        <v/>
      </c>
      <c r="C56" s="14">
        <f>IF(A56="","",IFERROR(INDEX(lst_JobName,MATCH(A56&amp;"",lst_Jobs,0)),""))</f>
        <v/>
      </c>
      <c r="D56" s="14">
        <f>IF(A56="","",IFERROR(INDEX(tbl_Finance[Client],MATCH(A56&amp;"",tbl_Finance[Job Number],0)),""))</f>
        <v/>
      </c>
      <c r="E56" s="44">
        <f>IF(A56="","",COUNTIFS(tbl_Finance[Job Number],A56&amp;"",tbl_Finance[Ex GST],"&lt;&gt;"))</f>
        <v/>
      </c>
      <c r="F56" s="16">
        <f>IF(A56="","",SUMIFS(tbl_Finance[Ex GST],tbl_Finance[Job Number],A56&amp;""))</f>
        <v/>
      </c>
      <c r="G56" s="14">
        <f>IF(A56="","",IFERROR(INDEX(tbl_Finance[Cost Centre],MATCH(A56&amp;"",tbl_Finance[Job Number],0)),"not invoiced yet"))</f>
        <v/>
      </c>
      <c r="H56" s="13" t="n"/>
      <c r="I56" s="13" t="n"/>
      <c r="J56" s="15" t="n"/>
      <c r="K56" s="15" t="n"/>
      <c r="L56" s="15" t="n"/>
      <c r="M56" s="14">
        <f>IF(A56="","",IF(N(J56)+N(K56)+N(L56)=0,"Not split",IF(ROUND(N(J56)+N(K56)+N(L56),2)=ROUND(F56,2),"OK","MISMATCH")))</f>
        <v/>
      </c>
      <c r="N56" s="15" t="n"/>
      <c r="O56" s="15" t="n"/>
      <c r="P56" s="15" t="n"/>
      <c r="Q56" s="16">
        <f>IF(A56="","",N(N56)+N(O56)+N(P56))</f>
        <v/>
      </c>
      <c r="R56" s="16">
        <f>IF(A56="","",F56-Q56)</f>
        <v/>
      </c>
      <c r="S56" s="46">
        <f>IFERROR(R56/F56,"")</f>
        <v/>
      </c>
      <c r="T56" s="13" t="n"/>
    </row>
    <row r="57" ht="15" customHeight="1">
      <c r="A57" s="13" t="n"/>
      <c r="B57" s="14">
        <f>IF(A57="","",IF(COUNTIF(lst_Jobs,A57&amp;"")&gt;0,"OK","CHECK"))</f>
        <v/>
      </c>
      <c r="C57" s="14">
        <f>IF(A57="","",IFERROR(INDEX(lst_JobName,MATCH(A57&amp;"",lst_Jobs,0)),""))</f>
        <v/>
      </c>
      <c r="D57" s="14">
        <f>IF(A57="","",IFERROR(INDEX(tbl_Finance[Client],MATCH(A57&amp;"",tbl_Finance[Job Number],0)),""))</f>
        <v/>
      </c>
      <c r="E57" s="44">
        <f>IF(A57="","",COUNTIFS(tbl_Finance[Job Number],A57&amp;"",tbl_Finance[Ex GST],"&lt;&gt;"))</f>
        <v/>
      </c>
      <c r="F57" s="16">
        <f>IF(A57="","",SUMIFS(tbl_Finance[Ex GST],tbl_Finance[Job Number],A57&amp;""))</f>
        <v/>
      </c>
      <c r="G57" s="14">
        <f>IF(A57="","",IFERROR(INDEX(tbl_Finance[Cost Centre],MATCH(A57&amp;"",tbl_Finance[Job Number],0)),"not invoiced yet"))</f>
        <v/>
      </c>
      <c r="H57" s="13" t="n"/>
      <c r="I57" s="13" t="n"/>
      <c r="J57" s="15" t="n"/>
      <c r="K57" s="15" t="n"/>
      <c r="L57" s="15" t="n"/>
      <c r="M57" s="14">
        <f>IF(A57="","",IF(N(J57)+N(K57)+N(L57)=0,"Not split",IF(ROUND(N(J57)+N(K57)+N(L57),2)=ROUND(F57,2),"OK","MISMATCH")))</f>
        <v/>
      </c>
      <c r="N57" s="15" t="n"/>
      <c r="O57" s="15" t="n"/>
      <c r="P57" s="15" t="n"/>
      <c r="Q57" s="16">
        <f>IF(A57="","",N(N57)+N(O57)+N(P57))</f>
        <v/>
      </c>
      <c r="R57" s="16">
        <f>IF(A57="","",F57-Q57)</f>
        <v/>
      </c>
      <c r="S57" s="46">
        <f>IFERROR(R57/F57,"")</f>
        <v/>
      </c>
      <c r="T57" s="13" t="n"/>
    </row>
    <row r="58" ht="15" customHeight="1">
      <c r="A58" s="13" t="n"/>
      <c r="B58" s="14">
        <f>IF(A58="","",IF(COUNTIF(lst_Jobs,A58&amp;"")&gt;0,"OK","CHECK"))</f>
        <v/>
      </c>
      <c r="C58" s="14">
        <f>IF(A58="","",IFERROR(INDEX(lst_JobName,MATCH(A58&amp;"",lst_Jobs,0)),""))</f>
        <v/>
      </c>
      <c r="D58" s="14">
        <f>IF(A58="","",IFERROR(INDEX(tbl_Finance[Client],MATCH(A58&amp;"",tbl_Finance[Job Number],0)),""))</f>
        <v/>
      </c>
      <c r="E58" s="44">
        <f>IF(A58="","",COUNTIFS(tbl_Finance[Job Number],A58&amp;"",tbl_Finance[Ex GST],"&lt;&gt;"))</f>
        <v/>
      </c>
      <c r="F58" s="16">
        <f>IF(A58="","",SUMIFS(tbl_Finance[Ex GST],tbl_Finance[Job Number],A58&amp;""))</f>
        <v/>
      </c>
      <c r="G58" s="14">
        <f>IF(A58="","",IFERROR(INDEX(tbl_Finance[Cost Centre],MATCH(A58&amp;"",tbl_Finance[Job Number],0)),"not invoiced yet"))</f>
        <v/>
      </c>
      <c r="H58" s="13" t="n"/>
      <c r="I58" s="13" t="n"/>
      <c r="J58" s="15" t="n"/>
      <c r="K58" s="15" t="n"/>
      <c r="L58" s="15" t="n"/>
      <c r="M58" s="14">
        <f>IF(A58="","",IF(N(J58)+N(K58)+N(L58)=0,"Not split",IF(ROUND(N(J58)+N(K58)+N(L58),2)=ROUND(F58,2),"OK","MISMATCH")))</f>
        <v/>
      </c>
      <c r="N58" s="15" t="n"/>
      <c r="O58" s="15" t="n"/>
      <c r="P58" s="15" t="n"/>
      <c r="Q58" s="16">
        <f>IF(A58="","",N(N58)+N(O58)+N(P58))</f>
        <v/>
      </c>
      <c r="R58" s="16">
        <f>IF(A58="","",F58-Q58)</f>
        <v/>
      </c>
      <c r="S58" s="46">
        <f>IFERROR(R58/F58,"")</f>
        <v/>
      </c>
      <c r="T58" s="13" t="n"/>
    </row>
    <row r="59" ht="15" customHeight="1">
      <c r="A59" s="13" t="n"/>
      <c r="B59" s="14">
        <f>IF(A59="","",IF(COUNTIF(lst_Jobs,A59&amp;"")&gt;0,"OK","CHECK"))</f>
        <v/>
      </c>
      <c r="C59" s="14">
        <f>IF(A59="","",IFERROR(INDEX(lst_JobName,MATCH(A59&amp;"",lst_Jobs,0)),""))</f>
        <v/>
      </c>
      <c r="D59" s="14">
        <f>IF(A59="","",IFERROR(INDEX(tbl_Finance[Client],MATCH(A59&amp;"",tbl_Finance[Job Number],0)),""))</f>
        <v/>
      </c>
      <c r="E59" s="44">
        <f>IF(A59="","",COUNTIFS(tbl_Finance[Job Number],A59&amp;"",tbl_Finance[Ex GST],"&lt;&gt;"))</f>
        <v/>
      </c>
      <c r="F59" s="16">
        <f>IF(A59="","",SUMIFS(tbl_Finance[Ex GST],tbl_Finance[Job Number],A59&amp;""))</f>
        <v/>
      </c>
      <c r="G59" s="14">
        <f>IF(A59="","",IFERROR(INDEX(tbl_Finance[Cost Centre],MATCH(A59&amp;"",tbl_Finance[Job Number],0)),"not invoiced yet"))</f>
        <v/>
      </c>
      <c r="H59" s="13" t="n"/>
      <c r="I59" s="13" t="n"/>
      <c r="J59" s="15" t="n"/>
      <c r="K59" s="15" t="n"/>
      <c r="L59" s="15" t="n"/>
      <c r="M59" s="14">
        <f>IF(A59="","",IF(N(J59)+N(K59)+N(L59)=0,"Not split",IF(ROUND(N(J59)+N(K59)+N(L59),2)=ROUND(F59,2),"OK","MISMATCH")))</f>
        <v/>
      </c>
      <c r="N59" s="15" t="n"/>
      <c r="O59" s="15" t="n"/>
      <c r="P59" s="15" t="n"/>
      <c r="Q59" s="16">
        <f>IF(A59="","",N(N59)+N(O59)+N(P59))</f>
        <v/>
      </c>
      <c r="R59" s="16">
        <f>IF(A59="","",F59-Q59)</f>
        <v/>
      </c>
      <c r="S59" s="46">
        <f>IFERROR(R59/F59,"")</f>
        <v/>
      </c>
      <c r="T59" s="13" t="n"/>
    </row>
    <row r="60" ht="15" customHeight="1">
      <c r="A60" s="13" t="n"/>
      <c r="B60" s="14">
        <f>IF(A60="","",IF(COUNTIF(lst_Jobs,A60&amp;"")&gt;0,"OK","CHECK"))</f>
        <v/>
      </c>
      <c r="C60" s="14">
        <f>IF(A60="","",IFERROR(INDEX(lst_JobName,MATCH(A60&amp;"",lst_Jobs,0)),""))</f>
        <v/>
      </c>
      <c r="D60" s="14">
        <f>IF(A60="","",IFERROR(INDEX(tbl_Finance[Client],MATCH(A60&amp;"",tbl_Finance[Job Number],0)),""))</f>
        <v/>
      </c>
      <c r="E60" s="44">
        <f>IF(A60="","",COUNTIFS(tbl_Finance[Job Number],A60&amp;"",tbl_Finance[Ex GST],"&lt;&gt;"))</f>
        <v/>
      </c>
      <c r="F60" s="16">
        <f>IF(A60="","",SUMIFS(tbl_Finance[Ex GST],tbl_Finance[Job Number],A60&amp;""))</f>
        <v/>
      </c>
      <c r="G60" s="14">
        <f>IF(A60="","",IFERROR(INDEX(tbl_Finance[Cost Centre],MATCH(A60&amp;"",tbl_Finance[Job Number],0)),"not invoiced yet"))</f>
        <v/>
      </c>
      <c r="H60" s="13" t="n"/>
      <c r="I60" s="13" t="n"/>
      <c r="J60" s="15" t="n"/>
      <c r="K60" s="15" t="n"/>
      <c r="L60" s="15" t="n"/>
      <c r="M60" s="14">
        <f>IF(A60="","",IF(N(J60)+N(K60)+N(L60)=0,"Not split",IF(ROUND(N(J60)+N(K60)+N(L60),2)=ROUND(F60,2),"OK","MISMATCH")))</f>
        <v/>
      </c>
      <c r="N60" s="15" t="n"/>
      <c r="O60" s="15" t="n"/>
      <c r="P60" s="15" t="n"/>
      <c r="Q60" s="16">
        <f>IF(A60="","",N(N60)+N(O60)+N(P60))</f>
        <v/>
      </c>
      <c r="R60" s="16">
        <f>IF(A60="","",F60-Q60)</f>
        <v/>
      </c>
      <c r="S60" s="46">
        <f>IFERROR(R60/F60,"")</f>
        <v/>
      </c>
      <c r="T60" s="13" t="n"/>
    </row>
    <row r="61" ht="15" customHeight="1">
      <c r="A61" s="13" t="n"/>
      <c r="B61" s="14">
        <f>IF(A61="","",IF(COUNTIF(lst_Jobs,A61&amp;"")&gt;0,"OK","CHECK"))</f>
        <v/>
      </c>
      <c r="C61" s="14">
        <f>IF(A61="","",IFERROR(INDEX(lst_JobName,MATCH(A61&amp;"",lst_Jobs,0)),""))</f>
        <v/>
      </c>
      <c r="D61" s="14">
        <f>IF(A61="","",IFERROR(INDEX(tbl_Finance[Client],MATCH(A61&amp;"",tbl_Finance[Job Number],0)),""))</f>
        <v/>
      </c>
      <c r="E61" s="44">
        <f>IF(A61="","",COUNTIFS(tbl_Finance[Job Number],A61&amp;"",tbl_Finance[Ex GST],"&lt;&gt;"))</f>
        <v/>
      </c>
      <c r="F61" s="16">
        <f>IF(A61="","",SUMIFS(tbl_Finance[Ex GST],tbl_Finance[Job Number],A61&amp;""))</f>
        <v/>
      </c>
      <c r="G61" s="14">
        <f>IF(A61="","",IFERROR(INDEX(tbl_Finance[Cost Centre],MATCH(A61&amp;"",tbl_Finance[Job Number],0)),"not invoiced yet"))</f>
        <v/>
      </c>
      <c r="H61" s="13" t="n"/>
      <c r="I61" s="13" t="n"/>
      <c r="J61" s="15" t="n"/>
      <c r="K61" s="15" t="n"/>
      <c r="L61" s="15" t="n"/>
      <c r="M61" s="14">
        <f>IF(A61="","",IF(N(J61)+N(K61)+N(L61)=0,"Not split",IF(ROUND(N(J61)+N(K61)+N(L61),2)=ROUND(F61,2),"OK","MISMATCH")))</f>
        <v/>
      </c>
      <c r="N61" s="15" t="n"/>
      <c r="O61" s="15" t="n"/>
      <c r="P61" s="15" t="n"/>
      <c r="Q61" s="16">
        <f>IF(A61="","",N(N61)+N(O61)+N(P61))</f>
        <v/>
      </c>
      <c r="R61" s="16">
        <f>IF(A61="","",F61-Q61)</f>
        <v/>
      </c>
      <c r="S61" s="46">
        <f>IFERROR(R61/F61,"")</f>
        <v/>
      </c>
      <c r="T61" s="13" t="n"/>
    </row>
    <row r="62" ht="15" customHeight="1">
      <c r="A62" s="13" t="n"/>
      <c r="B62" s="14">
        <f>IF(A62="","",IF(COUNTIF(lst_Jobs,A62&amp;"")&gt;0,"OK","CHECK"))</f>
        <v/>
      </c>
      <c r="C62" s="14">
        <f>IF(A62="","",IFERROR(INDEX(lst_JobName,MATCH(A62&amp;"",lst_Jobs,0)),""))</f>
        <v/>
      </c>
      <c r="D62" s="14">
        <f>IF(A62="","",IFERROR(INDEX(tbl_Finance[Client],MATCH(A62&amp;"",tbl_Finance[Job Number],0)),""))</f>
        <v/>
      </c>
      <c r="E62" s="44">
        <f>IF(A62="","",COUNTIFS(tbl_Finance[Job Number],A62&amp;"",tbl_Finance[Ex GST],"&lt;&gt;"))</f>
        <v/>
      </c>
      <c r="F62" s="16">
        <f>IF(A62="","",SUMIFS(tbl_Finance[Ex GST],tbl_Finance[Job Number],A62&amp;""))</f>
        <v/>
      </c>
      <c r="G62" s="14">
        <f>IF(A62="","",IFERROR(INDEX(tbl_Finance[Cost Centre],MATCH(A62&amp;"",tbl_Finance[Job Number],0)),"not invoiced yet"))</f>
        <v/>
      </c>
      <c r="H62" s="13" t="n"/>
      <c r="I62" s="13" t="n"/>
      <c r="J62" s="15" t="n"/>
      <c r="K62" s="15" t="n"/>
      <c r="L62" s="15" t="n"/>
      <c r="M62" s="14">
        <f>IF(A62="","",IF(N(J62)+N(K62)+N(L62)=0,"Not split",IF(ROUND(N(J62)+N(K62)+N(L62),2)=ROUND(F62,2),"OK","MISMATCH")))</f>
        <v/>
      </c>
      <c r="N62" s="15" t="n"/>
      <c r="O62" s="15" t="n"/>
      <c r="P62" s="15" t="n"/>
      <c r="Q62" s="16">
        <f>IF(A62="","",N(N62)+N(O62)+N(P62))</f>
        <v/>
      </c>
      <c r="R62" s="16">
        <f>IF(A62="","",F62-Q62)</f>
        <v/>
      </c>
      <c r="S62" s="46">
        <f>IFERROR(R62/F62,"")</f>
        <v/>
      </c>
      <c r="T62" s="13" t="n"/>
    </row>
    <row r="63" ht="15" customHeight="1">
      <c r="A63" s="13" t="n"/>
      <c r="B63" s="14">
        <f>IF(A63="","",IF(COUNTIF(lst_Jobs,A63&amp;"")&gt;0,"OK","CHECK"))</f>
        <v/>
      </c>
      <c r="C63" s="14">
        <f>IF(A63="","",IFERROR(INDEX(lst_JobName,MATCH(A63&amp;"",lst_Jobs,0)),""))</f>
        <v/>
      </c>
      <c r="D63" s="14">
        <f>IF(A63="","",IFERROR(INDEX(tbl_Finance[Client],MATCH(A63&amp;"",tbl_Finance[Job Number],0)),""))</f>
        <v/>
      </c>
      <c r="E63" s="44">
        <f>IF(A63="","",COUNTIFS(tbl_Finance[Job Number],A63&amp;"",tbl_Finance[Ex GST],"&lt;&gt;"))</f>
        <v/>
      </c>
      <c r="F63" s="16">
        <f>IF(A63="","",SUMIFS(tbl_Finance[Ex GST],tbl_Finance[Job Number],A63&amp;""))</f>
        <v/>
      </c>
      <c r="G63" s="14">
        <f>IF(A63="","",IFERROR(INDEX(tbl_Finance[Cost Centre],MATCH(A63&amp;"",tbl_Finance[Job Number],0)),"not invoiced yet"))</f>
        <v/>
      </c>
      <c r="H63" s="13" t="n"/>
      <c r="I63" s="13" t="n"/>
      <c r="J63" s="15" t="n"/>
      <c r="K63" s="15" t="n"/>
      <c r="L63" s="15" t="n"/>
      <c r="M63" s="14">
        <f>IF(A63="","",IF(N(J63)+N(K63)+N(L63)=0,"Not split",IF(ROUND(N(J63)+N(K63)+N(L63),2)=ROUND(F63,2),"OK","MISMATCH")))</f>
        <v/>
      </c>
      <c r="N63" s="15" t="n"/>
      <c r="O63" s="15" t="n"/>
      <c r="P63" s="15" t="n"/>
      <c r="Q63" s="16">
        <f>IF(A63="","",N(N63)+N(O63)+N(P63))</f>
        <v/>
      </c>
      <c r="R63" s="16">
        <f>IF(A63="","",F63-Q63)</f>
        <v/>
      </c>
      <c r="S63" s="46">
        <f>IFERROR(R63/F63,"")</f>
        <v/>
      </c>
      <c r="T63" s="13" t="n"/>
    </row>
    <row r="64" ht="15" customHeight="1">
      <c r="A64" s="13" t="n"/>
      <c r="B64" s="14">
        <f>IF(A64="","",IF(COUNTIF(lst_Jobs,A64&amp;"")&gt;0,"OK","CHECK"))</f>
        <v/>
      </c>
      <c r="C64" s="14">
        <f>IF(A64="","",IFERROR(INDEX(lst_JobName,MATCH(A64&amp;"",lst_Jobs,0)),""))</f>
        <v/>
      </c>
      <c r="D64" s="14">
        <f>IF(A64="","",IFERROR(INDEX(tbl_Finance[Client],MATCH(A64&amp;"",tbl_Finance[Job Number],0)),""))</f>
        <v/>
      </c>
      <c r="E64" s="44">
        <f>IF(A64="","",COUNTIFS(tbl_Finance[Job Number],A64&amp;"",tbl_Finance[Ex GST],"&lt;&gt;"))</f>
        <v/>
      </c>
      <c r="F64" s="16">
        <f>IF(A64="","",SUMIFS(tbl_Finance[Ex GST],tbl_Finance[Job Number],A64&amp;""))</f>
        <v/>
      </c>
      <c r="G64" s="14">
        <f>IF(A64="","",IFERROR(INDEX(tbl_Finance[Cost Centre],MATCH(A64&amp;"",tbl_Finance[Job Number],0)),"not invoiced yet"))</f>
        <v/>
      </c>
      <c r="H64" s="13" t="n"/>
      <c r="I64" s="13" t="n"/>
      <c r="J64" s="15" t="n"/>
      <c r="K64" s="15" t="n"/>
      <c r="L64" s="15" t="n"/>
      <c r="M64" s="14">
        <f>IF(A64="","",IF(N(J64)+N(K64)+N(L64)=0,"Not split",IF(ROUND(N(J64)+N(K64)+N(L64),2)=ROUND(F64,2),"OK","MISMATCH")))</f>
        <v/>
      </c>
      <c r="N64" s="15" t="n"/>
      <c r="O64" s="15" t="n"/>
      <c r="P64" s="15" t="n"/>
      <c r="Q64" s="16">
        <f>IF(A64="","",N(N64)+N(O64)+N(P64))</f>
        <v/>
      </c>
      <c r="R64" s="16">
        <f>IF(A64="","",F64-Q64)</f>
        <v/>
      </c>
      <c r="S64" s="46">
        <f>IFERROR(R64/F64,"")</f>
        <v/>
      </c>
      <c r="T64" s="13" t="n"/>
    </row>
    <row r="65" ht="15" customHeight="1">
      <c r="A65" s="13" t="n"/>
      <c r="B65" s="14">
        <f>IF(A65="","",IF(COUNTIF(lst_Jobs,A65&amp;"")&gt;0,"OK","CHECK"))</f>
        <v/>
      </c>
      <c r="C65" s="14">
        <f>IF(A65="","",IFERROR(INDEX(lst_JobName,MATCH(A65&amp;"",lst_Jobs,0)),""))</f>
        <v/>
      </c>
      <c r="D65" s="14">
        <f>IF(A65="","",IFERROR(INDEX(tbl_Finance[Client],MATCH(A65&amp;"",tbl_Finance[Job Number],0)),""))</f>
        <v/>
      </c>
      <c r="E65" s="44">
        <f>IF(A65="","",COUNTIFS(tbl_Finance[Job Number],A65&amp;"",tbl_Finance[Ex GST],"&lt;&gt;"))</f>
        <v/>
      </c>
      <c r="F65" s="16">
        <f>IF(A65="","",SUMIFS(tbl_Finance[Ex GST],tbl_Finance[Job Number],A65&amp;""))</f>
        <v/>
      </c>
      <c r="G65" s="14">
        <f>IF(A65="","",IFERROR(INDEX(tbl_Finance[Cost Centre],MATCH(A65&amp;"",tbl_Finance[Job Number],0)),"not invoiced yet"))</f>
        <v/>
      </c>
      <c r="H65" s="13" t="n"/>
      <c r="I65" s="13" t="n"/>
      <c r="J65" s="15" t="n"/>
      <c r="K65" s="15" t="n"/>
      <c r="L65" s="15" t="n"/>
      <c r="M65" s="14">
        <f>IF(A65="","",IF(N(J65)+N(K65)+N(L65)=0,"Not split",IF(ROUND(N(J65)+N(K65)+N(L65),2)=ROUND(F65,2),"OK","MISMATCH")))</f>
        <v/>
      </c>
      <c r="N65" s="15" t="n"/>
      <c r="O65" s="15" t="n"/>
      <c r="P65" s="15" t="n"/>
      <c r="Q65" s="16">
        <f>IF(A65="","",N(N65)+N(O65)+N(P65))</f>
        <v/>
      </c>
      <c r="R65" s="16">
        <f>IF(A65="","",F65-Q65)</f>
        <v/>
      </c>
      <c r="S65" s="46">
        <f>IFERROR(R65/F65,"")</f>
        <v/>
      </c>
      <c r="T65" s="13" t="n"/>
    </row>
    <row r="66" ht="15" customHeight="1">
      <c r="A66" s="13" t="n"/>
      <c r="B66" s="14">
        <f>IF(A66="","",IF(COUNTIF(lst_Jobs,A66&amp;"")&gt;0,"OK","CHECK"))</f>
        <v/>
      </c>
      <c r="C66" s="14">
        <f>IF(A66="","",IFERROR(INDEX(lst_JobName,MATCH(A66&amp;"",lst_Jobs,0)),""))</f>
        <v/>
      </c>
      <c r="D66" s="14">
        <f>IF(A66="","",IFERROR(INDEX(tbl_Finance[Client],MATCH(A66&amp;"",tbl_Finance[Job Number],0)),""))</f>
        <v/>
      </c>
      <c r="E66" s="44">
        <f>IF(A66="","",COUNTIFS(tbl_Finance[Job Number],A66&amp;"",tbl_Finance[Ex GST],"&lt;&gt;"))</f>
        <v/>
      </c>
      <c r="F66" s="16">
        <f>IF(A66="","",SUMIFS(tbl_Finance[Ex GST],tbl_Finance[Job Number],A66&amp;""))</f>
        <v/>
      </c>
      <c r="G66" s="14">
        <f>IF(A66="","",IFERROR(INDEX(tbl_Finance[Cost Centre],MATCH(A66&amp;"",tbl_Finance[Job Number],0)),"not invoiced yet"))</f>
        <v/>
      </c>
      <c r="H66" s="13" t="n"/>
      <c r="I66" s="13" t="n"/>
      <c r="J66" s="15" t="n"/>
      <c r="K66" s="15" t="n"/>
      <c r="L66" s="15" t="n"/>
      <c r="M66" s="14">
        <f>IF(A66="","",IF(N(J66)+N(K66)+N(L66)=0,"Not split",IF(ROUND(N(J66)+N(K66)+N(L66),2)=ROUND(F66,2),"OK","MISMATCH")))</f>
        <v/>
      </c>
      <c r="N66" s="15" t="n"/>
      <c r="O66" s="15" t="n"/>
      <c r="P66" s="15" t="n"/>
      <c r="Q66" s="16">
        <f>IF(A66="","",N(N66)+N(O66)+N(P66))</f>
        <v/>
      </c>
      <c r="R66" s="16">
        <f>IF(A66="","",F66-Q66)</f>
        <v/>
      </c>
      <c r="S66" s="46">
        <f>IFERROR(R66/F66,"")</f>
        <v/>
      </c>
      <c r="T66" s="13" t="n"/>
    </row>
    <row r="67" ht="15" customHeight="1">
      <c r="A67" s="13" t="n"/>
      <c r="B67" s="14">
        <f>IF(A67="","",IF(COUNTIF(lst_Jobs,A67&amp;"")&gt;0,"OK","CHECK"))</f>
        <v/>
      </c>
      <c r="C67" s="14">
        <f>IF(A67="","",IFERROR(INDEX(lst_JobName,MATCH(A67&amp;"",lst_Jobs,0)),""))</f>
        <v/>
      </c>
      <c r="D67" s="14">
        <f>IF(A67="","",IFERROR(INDEX(tbl_Finance[Client],MATCH(A67&amp;"",tbl_Finance[Job Number],0)),""))</f>
        <v/>
      </c>
      <c r="E67" s="44">
        <f>IF(A67="","",COUNTIFS(tbl_Finance[Job Number],A67&amp;"",tbl_Finance[Ex GST],"&lt;&gt;"))</f>
        <v/>
      </c>
      <c r="F67" s="16">
        <f>IF(A67="","",SUMIFS(tbl_Finance[Ex GST],tbl_Finance[Job Number],A67&amp;""))</f>
        <v/>
      </c>
      <c r="G67" s="14">
        <f>IF(A67="","",IFERROR(INDEX(tbl_Finance[Cost Centre],MATCH(A67&amp;"",tbl_Finance[Job Number],0)),"not invoiced yet"))</f>
        <v/>
      </c>
      <c r="H67" s="13" t="n"/>
      <c r="I67" s="13" t="n"/>
      <c r="J67" s="15" t="n"/>
      <c r="K67" s="15" t="n"/>
      <c r="L67" s="15" t="n"/>
      <c r="M67" s="14">
        <f>IF(A67="","",IF(N(J67)+N(K67)+N(L67)=0,"Not split",IF(ROUND(N(J67)+N(K67)+N(L67),2)=ROUND(F67,2),"OK","MISMATCH")))</f>
        <v/>
      </c>
      <c r="N67" s="15" t="n"/>
      <c r="O67" s="15" t="n"/>
      <c r="P67" s="15" t="n"/>
      <c r="Q67" s="16">
        <f>IF(A67="","",N(N67)+N(O67)+N(P67))</f>
        <v/>
      </c>
      <c r="R67" s="16">
        <f>IF(A67="","",F67-Q67)</f>
        <v/>
      </c>
      <c r="S67" s="46">
        <f>IFERROR(R67/F67,"")</f>
        <v/>
      </c>
      <c r="T67" s="13" t="n"/>
    </row>
    <row r="68" ht="15" customHeight="1">
      <c r="A68" s="13" t="n"/>
      <c r="B68" s="14">
        <f>IF(A68="","",IF(COUNTIF(lst_Jobs,A68&amp;"")&gt;0,"OK","CHECK"))</f>
        <v/>
      </c>
      <c r="C68" s="14">
        <f>IF(A68="","",IFERROR(INDEX(lst_JobName,MATCH(A68&amp;"",lst_Jobs,0)),""))</f>
        <v/>
      </c>
      <c r="D68" s="14">
        <f>IF(A68="","",IFERROR(INDEX(tbl_Finance[Client],MATCH(A68&amp;"",tbl_Finance[Job Number],0)),""))</f>
        <v/>
      </c>
      <c r="E68" s="44">
        <f>IF(A68="","",COUNTIFS(tbl_Finance[Job Number],A68&amp;"",tbl_Finance[Ex GST],"&lt;&gt;"))</f>
        <v/>
      </c>
      <c r="F68" s="16">
        <f>IF(A68="","",SUMIFS(tbl_Finance[Ex GST],tbl_Finance[Job Number],A68&amp;""))</f>
        <v/>
      </c>
      <c r="G68" s="14">
        <f>IF(A68="","",IFERROR(INDEX(tbl_Finance[Cost Centre],MATCH(A68&amp;"",tbl_Finance[Job Number],0)),"not invoiced yet"))</f>
        <v/>
      </c>
      <c r="H68" s="13" t="n"/>
      <c r="I68" s="13" t="n"/>
      <c r="J68" s="15" t="n"/>
      <c r="K68" s="15" t="n"/>
      <c r="L68" s="15" t="n"/>
      <c r="M68" s="14">
        <f>IF(A68="","",IF(N(J68)+N(K68)+N(L68)=0,"Not split",IF(ROUND(N(J68)+N(K68)+N(L68),2)=ROUND(F68,2),"OK","MISMATCH")))</f>
        <v/>
      </c>
      <c r="N68" s="15" t="n"/>
      <c r="O68" s="15" t="n"/>
      <c r="P68" s="15" t="n"/>
      <c r="Q68" s="16">
        <f>IF(A68="","",N(N68)+N(O68)+N(P68))</f>
        <v/>
      </c>
      <c r="R68" s="16">
        <f>IF(A68="","",F68-Q68)</f>
        <v/>
      </c>
      <c r="S68" s="46">
        <f>IFERROR(R68/F68,"")</f>
        <v/>
      </c>
      <c r="T68" s="13" t="n"/>
    </row>
    <row r="69" ht="15" customHeight="1">
      <c r="A69" s="13" t="n"/>
      <c r="B69" s="14">
        <f>IF(A69="","",IF(COUNTIF(lst_Jobs,A69&amp;"")&gt;0,"OK","CHECK"))</f>
        <v/>
      </c>
      <c r="C69" s="14">
        <f>IF(A69="","",IFERROR(INDEX(lst_JobName,MATCH(A69&amp;"",lst_Jobs,0)),""))</f>
        <v/>
      </c>
      <c r="D69" s="14">
        <f>IF(A69="","",IFERROR(INDEX(tbl_Finance[Client],MATCH(A69&amp;"",tbl_Finance[Job Number],0)),""))</f>
        <v/>
      </c>
      <c r="E69" s="44">
        <f>IF(A69="","",COUNTIFS(tbl_Finance[Job Number],A69&amp;"",tbl_Finance[Ex GST],"&lt;&gt;"))</f>
        <v/>
      </c>
      <c r="F69" s="16">
        <f>IF(A69="","",SUMIFS(tbl_Finance[Ex GST],tbl_Finance[Job Number],A69&amp;""))</f>
        <v/>
      </c>
      <c r="G69" s="14">
        <f>IF(A69="","",IFERROR(INDEX(tbl_Finance[Cost Centre],MATCH(A69&amp;"",tbl_Finance[Job Number],0)),"not invoiced yet"))</f>
        <v/>
      </c>
      <c r="H69" s="13" t="n"/>
      <c r="I69" s="13" t="n"/>
      <c r="J69" s="15" t="n"/>
      <c r="K69" s="15" t="n"/>
      <c r="L69" s="15" t="n"/>
      <c r="M69" s="14">
        <f>IF(A69="","",IF(N(J69)+N(K69)+N(L69)=0,"Not split",IF(ROUND(N(J69)+N(K69)+N(L69),2)=ROUND(F69,2),"OK","MISMATCH")))</f>
        <v/>
      </c>
      <c r="N69" s="15" t="n"/>
      <c r="O69" s="15" t="n"/>
      <c r="P69" s="15" t="n"/>
      <c r="Q69" s="16">
        <f>IF(A69="","",N(N69)+N(O69)+N(P69))</f>
        <v/>
      </c>
      <c r="R69" s="16">
        <f>IF(A69="","",F69-Q69)</f>
        <v/>
      </c>
      <c r="S69" s="46">
        <f>IFERROR(R69/F69,"")</f>
        <v/>
      </c>
      <c r="T69" s="13" t="n"/>
    </row>
    <row r="70" ht="15" customHeight="1">
      <c r="A70" s="13" t="n"/>
      <c r="B70" s="14">
        <f>IF(A70="","",IF(COUNTIF(lst_Jobs,A70&amp;"")&gt;0,"OK","CHECK"))</f>
        <v/>
      </c>
      <c r="C70" s="14">
        <f>IF(A70="","",IFERROR(INDEX(lst_JobName,MATCH(A70&amp;"",lst_Jobs,0)),""))</f>
        <v/>
      </c>
      <c r="D70" s="14">
        <f>IF(A70="","",IFERROR(INDEX(tbl_Finance[Client],MATCH(A70&amp;"",tbl_Finance[Job Number],0)),""))</f>
        <v/>
      </c>
      <c r="E70" s="44">
        <f>IF(A70="","",COUNTIFS(tbl_Finance[Job Number],A70&amp;"",tbl_Finance[Ex GST],"&lt;&gt;"))</f>
        <v/>
      </c>
      <c r="F70" s="16">
        <f>IF(A70="","",SUMIFS(tbl_Finance[Ex GST],tbl_Finance[Job Number],A70&amp;""))</f>
        <v/>
      </c>
      <c r="G70" s="14">
        <f>IF(A70="","",IFERROR(INDEX(tbl_Finance[Cost Centre],MATCH(A70&amp;"",tbl_Finance[Job Number],0)),"not invoiced yet"))</f>
        <v/>
      </c>
      <c r="H70" s="13" t="n"/>
      <c r="I70" s="13" t="n"/>
      <c r="J70" s="15" t="n"/>
      <c r="K70" s="15" t="n"/>
      <c r="L70" s="15" t="n"/>
      <c r="M70" s="14">
        <f>IF(A70="","",IF(N(J70)+N(K70)+N(L70)=0,"Not split",IF(ROUND(N(J70)+N(K70)+N(L70),2)=ROUND(F70,2),"OK","MISMATCH")))</f>
        <v/>
      </c>
      <c r="N70" s="15" t="n"/>
      <c r="O70" s="15" t="n"/>
      <c r="P70" s="15" t="n"/>
      <c r="Q70" s="16">
        <f>IF(A70="","",N(N70)+N(O70)+N(P70))</f>
        <v/>
      </c>
      <c r="R70" s="16">
        <f>IF(A70="","",F70-Q70)</f>
        <v/>
      </c>
      <c r="S70" s="46">
        <f>IFERROR(R70/F70,"")</f>
        <v/>
      </c>
      <c r="T70" s="13" t="n"/>
    </row>
    <row r="71" ht="15" customHeight="1">
      <c r="A71" s="13" t="n"/>
      <c r="B71" s="14">
        <f>IF(A71="","",IF(COUNTIF(lst_Jobs,A71&amp;"")&gt;0,"OK","CHECK"))</f>
        <v/>
      </c>
      <c r="C71" s="14">
        <f>IF(A71="","",IFERROR(INDEX(lst_JobName,MATCH(A71&amp;"",lst_Jobs,0)),""))</f>
        <v/>
      </c>
      <c r="D71" s="14">
        <f>IF(A71="","",IFERROR(INDEX(tbl_Finance[Client],MATCH(A71&amp;"",tbl_Finance[Job Number],0)),""))</f>
        <v/>
      </c>
      <c r="E71" s="44">
        <f>IF(A71="","",COUNTIFS(tbl_Finance[Job Number],A71&amp;"",tbl_Finance[Ex GST],"&lt;&gt;"))</f>
        <v/>
      </c>
      <c r="F71" s="16">
        <f>IF(A71="","",SUMIFS(tbl_Finance[Ex GST],tbl_Finance[Job Number],A71&amp;""))</f>
        <v/>
      </c>
      <c r="G71" s="14">
        <f>IF(A71="","",IFERROR(INDEX(tbl_Finance[Cost Centre],MATCH(A71&amp;"",tbl_Finance[Job Number],0)),"not invoiced yet"))</f>
        <v/>
      </c>
      <c r="H71" s="13" t="n"/>
      <c r="I71" s="13" t="n"/>
      <c r="J71" s="15" t="n"/>
      <c r="K71" s="15" t="n"/>
      <c r="L71" s="15" t="n"/>
      <c r="M71" s="14">
        <f>IF(A71="","",IF(N(J71)+N(K71)+N(L71)=0,"Not split",IF(ROUND(N(J71)+N(K71)+N(L71),2)=ROUND(F71,2),"OK","MISMATCH")))</f>
        <v/>
      </c>
      <c r="N71" s="15" t="n"/>
      <c r="O71" s="15" t="n"/>
      <c r="P71" s="15" t="n"/>
      <c r="Q71" s="16">
        <f>IF(A71="","",N(N71)+N(O71)+N(P71))</f>
        <v/>
      </c>
      <c r="R71" s="16">
        <f>IF(A71="","",F71-Q71)</f>
        <v/>
      </c>
      <c r="S71" s="46">
        <f>IFERROR(R71/F71,"")</f>
        <v/>
      </c>
      <c r="T71" s="13" t="n"/>
    </row>
    <row r="72" ht="15" customHeight="1">
      <c r="A72" s="13" t="n"/>
      <c r="B72" s="14">
        <f>IF(A72="","",IF(COUNTIF(lst_Jobs,A72&amp;"")&gt;0,"OK","CHECK"))</f>
        <v/>
      </c>
      <c r="C72" s="14">
        <f>IF(A72="","",IFERROR(INDEX(lst_JobName,MATCH(A72&amp;"",lst_Jobs,0)),""))</f>
        <v/>
      </c>
      <c r="D72" s="14">
        <f>IF(A72="","",IFERROR(INDEX(tbl_Finance[Client],MATCH(A72&amp;"",tbl_Finance[Job Number],0)),""))</f>
        <v/>
      </c>
      <c r="E72" s="44">
        <f>IF(A72="","",COUNTIFS(tbl_Finance[Job Number],A72&amp;"",tbl_Finance[Ex GST],"&lt;&gt;"))</f>
        <v/>
      </c>
      <c r="F72" s="16">
        <f>IF(A72="","",SUMIFS(tbl_Finance[Ex GST],tbl_Finance[Job Number],A72&amp;""))</f>
        <v/>
      </c>
      <c r="G72" s="14">
        <f>IF(A72="","",IFERROR(INDEX(tbl_Finance[Cost Centre],MATCH(A72&amp;"",tbl_Finance[Job Number],0)),"not invoiced yet"))</f>
        <v/>
      </c>
      <c r="H72" s="13" t="n"/>
      <c r="I72" s="13" t="n"/>
      <c r="J72" s="15" t="n"/>
      <c r="K72" s="15" t="n"/>
      <c r="L72" s="15" t="n"/>
      <c r="M72" s="14">
        <f>IF(A72="","",IF(N(J72)+N(K72)+N(L72)=0,"Not split",IF(ROUND(N(J72)+N(K72)+N(L72),2)=ROUND(F72,2),"OK","MISMATCH")))</f>
        <v/>
      </c>
      <c r="N72" s="15" t="n"/>
      <c r="O72" s="15" t="n"/>
      <c r="P72" s="15" t="n"/>
      <c r="Q72" s="16">
        <f>IF(A72="","",N(N72)+N(O72)+N(P72))</f>
        <v/>
      </c>
      <c r="R72" s="16">
        <f>IF(A72="","",F72-Q72)</f>
        <v/>
      </c>
      <c r="S72" s="46">
        <f>IFERROR(R72/F72,"")</f>
        <v/>
      </c>
      <c r="T72" s="13" t="n"/>
    </row>
    <row r="73" ht="15" customHeight="1">
      <c r="A73" s="13" t="n"/>
      <c r="B73" s="14">
        <f>IF(A73="","",IF(COUNTIF(lst_Jobs,A73&amp;"")&gt;0,"OK","CHECK"))</f>
        <v/>
      </c>
      <c r="C73" s="14">
        <f>IF(A73="","",IFERROR(INDEX(lst_JobName,MATCH(A73&amp;"",lst_Jobs,0)),""))</f>
        <v/>
      </c>
      <c r="D73" s="14">
        <f>IF(A73="","",IFERROR(INDEX(tbl_Finance[Client],MATCH(A73&amp;"",tbl_Finance[Job Number],0)),""))</f>
        <v/>
      </c>
      <c r="E73" s="44">
        <f>IF(A73="","",COUNTIFS(tbl_Finance[Job Number],A73&amp;"",tbl_Finance[Ex GST],"&lt;&gt;"))</f>
        <v/>
      </c>
      <c r="F73" s="16">
        <f>IF(A73="","",SUMIFS(tbl_Finance[Ex GST],tbl_Finance[Job Number],A73&amp;""))</f>
        <v/>
      </c>
      <c r="G73" s="14">
        <f>IF(A73="","",IFERROR(INDEX(tbl_Finance[Cost Centre],MATCH(A73&amp;"",tbl_Finance[Job Number],0)),"not invoiced yet"))</f>
        <v/>
      </c>
      <c r="H73" s="13" t="n"/>
      <c r="I73" s="13" t="n"/>
      <c r="J73" s="15" t="n"/>
      <c r="K73" s="15" t="n"/>
      <c r="L73" s="15" t="n"/>
      <c r="M73" s="14">
        <f>IF(A73="","",IF(N(J73)+N(K73)+N(L73)=0,"Not split",IF(ROUND(N(J73)+N(K73)+N(L73),2)=ROUND(F73,2),"OK","MISMATCH")))</f>
        <v/>
      </c>
      <c r="N73" s="15" t="n"/>
      <c r="O73" s="15" t="n"/>
      <c r="P73" s="15" t="n"/>
      <c r="Q73" s="16">
        <f>IF(A73="","",N(N73)+N(O73)+N(P73))</f>
        <v/>
      </c>
      <c r="R73" s="16">
        <f>IF(A73="","",F73-Q73)</f>
        <v/>
      </c>
      <c r="S73" s="46">
        <f>IFERROR(R73/F73,"")</f>
        <v/>
      </c>
      <c r="T73" s="13" t="n"/>
    </row>
    <row r="74" ht="15" customHeight="1">
      <c r="A74" s="13" t="n"/>
      <c r="B74" s="14">
        <f>IF(A74="","",IF(COUNTIF(lst_Jobs,A74&amp;"")&gt;0,"OK","CHECK"))</f>
        <v/>
      </c>
      <c r="C74" s="14">
        <f>IF(A74="","",IFERROR(INDEX(lst_JobName,MATCH(A74&amp;"",lst_Jobs,0)),""))</f>
        <v/>
      </c>
      <c r="D74" s="14">
        <f>IF(A74="","",IFERROR(INDEX(tbl_Finance[Client],MATCH(A74&amp;"",tbl_Finance[Job Number],0)),""))</f>
        <v/>
      </c>
      <c r="E74" s="44">
        <f>IF(A74="","",COUNTIFS(tbl_Finance[Job Number],A74&amp;"",tbl_Finance[Ex GST],"&lt;&gt;"))</f>
        <v/>
      </c>
      <c r="F74" s="16">
        <f>IF(A74="","",SUMIFS(tbl_Finance[Ex GST],tbl_Finance[Job Number],A74&amp;""))</f>
        <v/>
      </c>
      <c r="G74" s="14">
        <f>IF(A74="","",IFERROR(INDEX(tbl_Finance[Cost Centre],MATCH(A74&amp;"",tbl_Finance[Job Number],0)),"not invoiced yet"))</f>
        <v/>
      </c>
      <c r="H74" s="13" t="n"/>
      <c r="I74" s="13" t="n"/>
      <c r="J74" s="15" t="n"/>
      <c r="K74" s="15" t="n"/>
      <c r="L74" s="15" t="n"/>
      <c r="M74" s="14">
        <f>IF(A74="","",IF(N(J74)+N(K74)+N(L74)=0,"Not split",IF(ROUND(N(J74)+N(K74)+N(L74),2)=ROUND(F74,2),"OK","MISMATCH")))</f>
        <v/>
      </c>
      <c r="N74" s="15" t="n"/>
      <c r="O74" s="15" t="n"/>
      <c r="P74" s="15" t="n"/>
      <c r="Q74" s="16">
        <f>IF(A74="","",N(N74)+N(O74)+N(P74))</f>
        <v/>
      </c>
      <c r="R74" s="16">
        <f>IF(A74="","",F74-Q74)</f>
        <v/>
      </c>
      <c r="S74" s="46">
        <f>IFERROR(R74/F74,"")</f>
        <v/>
      </c>
      <c r="T74" s="13" t="n"/>
    </row>
    <row r="75" ht="15" customHeight="1">
      <c r="A75" s="13" t="n"/>
      <c r="B75" s="14">
        <f>IF(A75="","",IF(COUNTIF(lst_Jobs,A75&amp;"")&gt;0,"OK","CHECK"))</f>
        <v/>
      </c>
      <c r="C75" s="14">
        <f>IF(A75="","",IFERROR(INDEX(lst_JobName,MATCH(A75&amp;"",lst_Jobs,0)),""))</f>
        <v/>
      </c>
      <c r="D75" s="14">
        <f>IF(A75="","",IFERROR(INDEX(tbl_Finance[Client],MATCH(A75&amp;"",tbl_Finance[Job Number],0)),""))</f>
        <v/>
      </c>
      <c r="E75" s="44">
        <f>IF(A75="","",COUNTIFS(tbl_Finance[Job Number],A75&amp;"",tbl_Finance[Ex GST],"&lt;&gt;"))</f>
        <v/>
      </c>
      <c r="F75" s="16">
        <f>IF(A75="","",SUMIFS(tbl_Finance[Ex GST],tbl_Finance[Job Number],A75&amp;""))</f>
        <v/>
      </c>
      <c r="G75" s="14">
        <f>IF(A75="","",IFERROR(INDEX(tbl_Finance[Cost Centre],MATCH(A75&amp;"",tbl_Finance[Job Number],0)),"not invoiced yet"))</f>
        <v/>
      </c>
      <c r="H75" s="13" t="n"/>
      <c r="I75" s="13" t="n"/>
      <c r="J75" s="15" t="n"/>
      <c r="K75" s="15" t="n"/>
      <c r="L75" s="15" t="n"/>
      <c r="M75" s="14">
        <f>IF(A75="","",IF(N(J75)+N(K75)+N(L75)=0,"Not split",IF(ROUND(N(J75)+N(K75)+N(L75),2)=ROUND(F75,2),"OK","MISMATCH")))</f>
        <v/>
      </c>
      <c r="N75" s="15" t="n"/>
      <c r="O75" s="15" t="n"/>
      <c r="P75" s="15" t="n"/>
      <c r="Q75" s="16">
        <f>IF(A75="","",N(N75)+N(O75)+N(P75))</f>
        <v/>
      </c>
      <c r="R75" s="16">
        <f>IF(A75="","",F75-Q75)</f>
        <v/>
      </c>
      <c r="S75" s="46">
        <f>IFERROR(R75/F75,"")</f>
        <v/>
      </c>
      <c r="T75" s="13" t="n"/>
    </row>
    <row r="76" ht="15" customHeight="1">
      <c r="A76" s="13" t="n"/>
      <c r="B76" s="14">
        <f>IF(A76="","",IF(COUNTIF(lst_Jobs,A76&amp;"")&gt;0,"OK","CHECK"))</f>
        <v/>
      </c>
      <c r="C76" s="14">
        <f>IF(A76="","",IFERROR(INDEX(lst_JobName,MATCH(A76&amp;"",lst_Jobs,0)),""))</f>
        <v/>
      </c>
      <c r="D76" s="14">
        <f>IF(A76="","",IFERROR(INDEX(tbl_Finance[Client],MATCH(A76&amp;"",tbl_Finance[Job Number],0)),""))</f>
        <v/>
      </c>
      <c r="E76" s="44">
        <f>IF(A76="","",COUNTIFS(tbl_Finance[Job Number],A76&amp;"",tbl_Finance[Ex GST],"&lt;&gt;"))</f>
        <v/>
      </c>
      <c r="F76" s="16">
        <f>IF(A76="","",SUMIFS(tbl_Finance[Ex GST],tbl_Finance[Job Number],A76&amp;""))</f>
        <v/>
      </c>
      <c r="G76" s="14">
        <f>IF(A76="","",IFERROR(INDEX(tbl_Finance[Cost Centre],MATCH(A76&amp;"",tbl_Finance[Job Number],0)),"not invoiced yet"))</f>
        <v/>
      </c>
      <c r="H76" s="13" t="n"/>
      <c r="I76" s="13" t="n"/>
      <c r="J76" s="15" t="n"/>
      <c r="K76" s="15" t="n"/>
      <c r="L76" s="15" t="n"/>
      <c r="M76" s="14">
        <f>IF(A76="","",IF(N(J76)+N(K76)+N(L76)=0,"Not split",IF(ROUND(N(J76)+N(K76)+N(L76),2)=ROUND(F76,2),"OK","MISMATCH")))</f>
        <v/>
      </c>
      <c r="N76" s="15" t="n"/>
      <c r="O76" s="15" t="n"/>
      <c r="P76" s="15" t="n"/>
      <c r="Q76" s="16">
        <f>IF(A76="","",N(N76)+N(O76)+N(P76))</f>
        <v/>
      </c>
      <c r="R76" s="16">
        <f>IF(A76="","",F76-Q76)</f>
        <v/>
      </c>
      <c r="S76" s="46">
        <f>IFERROR(R76/F76,"")</f>
        <v/>
      </c>
      <c r="T76" s="13" t="n"/>
    </row>
    <row r="77" ht="15" customHeight="1">
      <c r="A77" s="13" t="n"/>
      <c r="B77" s="14">
        <f>IF(A77="","",IF(COUNTIF(lst_Jobs,A77&amp;"")&gt;0,"OK","CHECK"))</f>
        <v/>
      </c>
      <c r="C77" s="14">
        <f>IF(A77="","",IFERROR(INDEX(lst_JobName,MATCH(A77&amp;"",lst_Jobs,0)),""))</f>
        <v/>
      </c>
      <c r="D77" s="14">
        <f>IF(A77="","",IFERROR(INDEX(tbl_Finance[Client],MATCH(A77&amp;"",tbl_Finance[Job Number],0)),""))</f>
        <v/>
      </c>
      <c r="E77" s="44">
        <f>IF(A77="","",COUNTIFS(tbl_Finance[Job Number],A77&amp;"",tbl_Finance[Ex GST],"&lt;&gt;"))</f>
        <v/>
      </c>
      <c r="F77" s="16">
        <f>IF(A77="","",SUMIFS(tbl_Finance[Ex GST],tbl_Finance[Job Number],A77&amp;""))</f>
        <v/>
      </c>
      <c r="G77" s="14">
        <f>IF(A77="","",IFERROR(INDEX(tbl_Finance[Cost Centre],MATCH(A77&amp;"",tbl_Finance[Job Number],0)),"not invoiced yet"))</f>
        <v/>
      </c>
      <c r="H77" s="13" t="n"/>
      <c r="I77" s="13" t="n"/>
      <c r="J77" s="15" t="n"/>
      <c r="K77" s="15" t="n"/>
      <c r="L77" s="15" t="n"/>
      <c r="M77" s="14">
        <f>IF(A77="","",IF(N(J77)+N(K77)+N(L77)=0,"Not split",IF(ROUND(N(J77)+N(K77)+N(L77),2)=ROUND(F77,2),"OK","MISMATCH")))</f>
        <v/>
      </c>
      <c r="N77" s="15" t="n"/>
      <c r="O77" s="15" t="n"/>
      <c r="P77" s="15" t="n"/>
      <c r="Q77" s="16">
        <f>IF(A77="","",N(N77)+N(O77)+N(P77))</f>
        <v/>
      </c>
      <c r="R77" s="16">
        <f>IF(A77="","",F77-Q77)</f>
        <v/>
      </c>
      <c r="S77" s="46">
        <f>IFERROR(R77/F77,"")</f>
        <v/>
      </c>
      <c r="T77" s="13" t="n"/>
    </row>
    <row r="78" ht="15" customHeight="1">
      <c r="A78" s="13" t="n"/>
      <c r="B78" s="14">
        <f>IF(A78="","",IF(COUNTIF(lst_Jobs,A78&amp;"")&gt;0,"OK","CHECK"))</f>
        <v/>
      </c>
      <c r="C78" s="14">
        <f>IF(A78="","",IFERROR(INDEX(lst_JobName,MATCH(A78&amp;"",lst_Jobs,0)),""))</f>
        <v/>
      </c>
      <c r="D78" s="14">
        <f>IF(A78="","",IFERROR(INDEX(tbl_Finance[Client],MATCH(A78&amp;"",tbl_Finance[Job Number],0)),""))</f>
        <v/>
      </c>
      <c r="E78" s="44">
        <f>IF(A78="","",COUNTIFS(tbl_Finance[Job Number],A78&amp;"",tbl_Finance[Ex GST],"&lt;&gt;"))</f>
        <v/>
      </c>
      <c r="F78" s="16">
        <f>IF(A78="","",SUMIFS(tbl_Finance[Ex GST],tbl_Finance[Job Number],A78&amp;""))</f>
        <v/>
      </c>
      <c r="G78" s="14">
        <f>IF(A78="","",IFERROR(INDEX(tbl_Finance[Cost Centre],MATCH(A78&amp;"",tbl_Finance[Job Number],0)),"not invoiced yet"))</f>
        <v/>
      </c>
      <c r="H78" s="13" t="n"/>
      <c r="I78" s="13" t="n"/>
      <c r="J78" s="15" t="n"/>
      <c r="K78" s="15" t="n"/>
      <c r="L78" s="15" t="n"/>
      <c r="M78" s="14">
        <f>IF(A78="","",IF(N(J78)+N(K78)+N(L78)=0,"Not split",IF(ROUND(N(J78)+N(K78)+N(L78),2)=ROUND(F78,2),"OK","MISMATCH")))</f>
        <v/>
      </c>
      <c r="N78" s="15" t="n"/>
      <c r="O78" s="15" t="n"/>
      <c r="P78" s="15" t="n"/>
      <c r="Q78" s="16">
        <f>IF(A78="","",N(N78)+N(O78)+N(P78))</f>
        <v/>
      </c>
      <c r="R78" s="16">
        <f>IF(A78="","",F78-Q78)</f>
        <v/>
      </c>
      <c r="S78" s="46">
        <f>IFERROR(R78/F78,"")</f>
        <v/>
      </c>
      <c r="T78" s="13" t="n"/>
    </row>
    <row r="79" ht="15" customHeight="1">
      <c r="A79" s="13" t="n"/>
      <c r="B79" s="14">
        <f>IF(A79="","",IF(COUNTIF(lst_Jobs,A79&amp;"")&gt;0,"OK","CHECK"))</f>
        <v/>
      </c>
      <c r="C79" s="14">
        <f>IF(A79="","",IFERROR(INDEX(lst_JobName,MATCH(A79&amp;"",lst_Jobs,0)),""))</f>
        <v/>
      </c>
      <c r="D79" s="14">
        <f>IF(A79="","",IFERROR(INDEX(tbl_Finance[Client],MATCH(A79&amp;"",tbl_Finance[Job Number],0)),""))</f>
        <v/>
      </c>
      <c r="E79" s="44">
        <f>IF(A79="","",COUNTIFS(tbl_Finance[Job Number],A79&amp;"",tbl_Finance[Ex GST],"&lt;&gt;"))</f>
        <v/>
      </c>
      <c r="F79" s="16">
        <f>IF(A79="","",SUMIFS(tbl_Finance[Ex GST],tbl_Finance[Job Number],A79&amp;""))</f>
        <v/>
      </c>
      <c r="G79" s="14">
        <f>IF(A79="","",IFERROR(INDEX(tbl_Finance[Cost Centre],MATCH(A79&amp;"",tbl_Finance[Job Number],0)),"not invoiced yet"))</f>
        <v/>
      </c>
      <c r="H79" s="13" t="n"/>
      <c r="I79" s="13" t="n"/>
      <c r="J79" s="15" t="n"/>
      <c r="K79" s="15" t="n"/>
      <c r="L79" s="15" t="n"/>
      <c r="M79" s="14">
        <f>IF(A79="","",IF(N(J79)+N(K79)+N(L79)=0,"Not split",IF(ROUND(N(J79)+N(K79)+N(L79),2)=ROUND(F79,2),"OK","MISMATCH")))</f>
        <v/>
      </c>
      <c r="N79" s="15" t="n"/>
      <c r="O79" s="15" t="n"/>
      <c r="P79" s="15" t="n"/>
      <c r="Q79" s="16">
        <f>IF(A79="","",N(N79)+N(O79)+N(P79))</f>
        <v/>
      </c>
      <c r="R79" s="16">
        <f>IF(A79="","",F79-Q79)</f>
        <v/>
      </c>
      <c r="S79" s="46">
        <f>IFERROR(R79/F79,"")</f>
        <v/>
      </c>
      <c r="T79" s="13" t="n"/>
    </row>
    <row r="80" ht="15" customHeight="1">
      <c r="A80" s="13" t="n"/>
      <c r="B80" s="14">
        <f>IF(A80="","",IF(COUNTIF(lst_Jobs,A80&amp;"")&gt;0,"OK","CHECK"))</f>
        <v/>
      </c>
      <c r="C80" s="14">
        <f>IF(A80="","",IFERROR(INDEX(lst_JobName,MATCH(A80&amp;"",lst_Jobs,0)),""))</f>
        <v/>
      </c>
      <c r="D80" s="14">
        <f>IF(A80="","",IFERROR(INDEX(tbl_Finance[Client],MATCH(A80&amp;"",tbl_Finance[Job Number],0)),""))</f>
        <v/>
      </c>
      <c r="E80" s="44">
        <f>IF(A80="","",COUNTIFS(tbl_Finance[Job Number],A80&amp;"",tbl_Finance[Ex GST],"&lt;&gt;"))</f>
        <v/>
      </c>
      <c r="F80" s="16">
        <f>IF(A80="","",SUMIFS(tbl_Finance[Ex GST],tbl_Finance[Job Number],A80&amp;""))</f>
        <v/>
      </c>
      <c r="G80" s="14">
        <f>IF(A80="","",IFERROR(INDEX(tbl_Finance[Cost Centre],MATCH(A80&amp;"",tbl_Finance[Job Number],0)),"not invoiced yet"))</f>
        <v/>
      </c>
      <c r="H80" s="13" t="n"/>
      <c r="I80" s="13" t="n"/>
      <c r="J80" s="15" t="n"/>
      <c r="K80" s="15" t="n"/>
      <c r="L80" s="15" t="n"/>
      <c r="M80" s="14">
        <f>IF(A80="","",IF(N(J80)+N(K80)+N(L80)=0,"Not split",IF(ROUND(N(J80)+N(K80)+N(L80),2)=ROUND(F80,2),"OK","MISMATCH")))</f>
        <v/>
      </c>
      <c r="N80" s="15" t="n"/>
      <c r="O80" s="15" t="n"/>
      <c r="P80" s="15" t="n"/>
      <c r="Q80" s="16">
        <f>IF(A80="","",N(N80)+N(O80)+N(P80))</f>
        <v/>
      </c>
      <c r="R80" s="16">
        <f>IF(A80="","",F80-Q80)</f>
        <v/>
      </c>
      <c r="S80" s="46">
        <f>IFERROR(R80/F80,"")</f>
        <v/>
      </c>
      <c r="T80" s="13" t="n"/>
    </row>
    <row r="81" ht="15" customHeight="1">
      <c r="A81" s="13" t="n"/>
      <c r="B81" s="14">
        <f>IF(A81="","",IF(COUNTIF(lst_Jobs,A81&amp;"")&gt;0,"OK","CHECK"))</f>
        <v/>
      </c>
      <c r="C81" s="14">
        <f>IF(A81="","",IFERROR(INDEX(lst_JobName,MATCH(A81&amp;"",lst_Jobs,0)),""))</f>
        <v/>
      </c>
      <c r="D81" s="14">
        <f>IF(A81="","",IFERROR(INDEX(tbl_Finance[Client],MATCH(A81&amp;"",tbl_Finance[Job Number],0)),""))</f>
        <v/>
      </c>
      <c r="E81" s="44">
        <f>IF(A81="","",COUNTIFS(tbl_Finance[Job Number],A81&amp;"",tbl_Finance[Ex GST],"&lt;&gt;"))</f>
        <v/>
      </c>
      <c r="F81" s="16">
        <f>IF(A81="","",SUMIFS(tbl_Finance[Ex GST],tbl_Finance[Job Number],A81&amp;""))</f>
        <v/>
      </c>
      <c r="G81" s="14">
        <f>IF(A81="","",IFERROR(INDEX(tbl_Finance[Cost Centre],MATCH(A81&amp;"",tbl_Finance[Job Number],0)),"not invoiced yet"))</f>
        <v/>
      </c>
      <c r="H81" s="13" t="n"/>
      <c r="I81" s="13" t="n"/>
      <c r="J81" s="15" t="n"/>
      <c r="K81" s="15" t="n"/>
      <c r="L81" s="15" t="n"/>
      <c r="M81" s="14">
        <f>IF(A81="","",IF(N(J81)+N(K81)+N(L81)=0,"Not split",IF(ROUND(N(J81)+N(K81)+N(L81),2)=ROUND(F81,2),"OK","MISMATCH")))</f>
        <v/>
      </c>
      <c r="N81" s="15" t="n"/>
      <c r="O81" s="15" t="n"/>
      <c r="P81" s="15" t="n"/>
      <c r="Q81" s="16">
        <f>IF(A81="","",N(N81)+N(O81)+N(P81))</f>
        <v/>
      </c>
      <c r="R81" s="16">
        <f>IF(A81="","",F81-Q81)</f>
        <v/>
      </c>
      <c r="S81" s="46">
        <f>IFERROR(R81/F81,"")</f>
        <v/>
      </c>
      <c r="T81" s="13" t="n"/>
    </row>
    <row r="82" ht="15" customHeight="1">
      <c r="A82" s="13" t="n"/>
      <c r="B82" s="14">
        <f>IF(A82="","",IF(COUNTIF(lst_Jobs,A82&amp;"")&gt;0,"OK","CHECK"))</f>
        <v/>
      </c>
      <c r="C82" s="14">
        <f>IF(A82="","",IFERROR(INDEX(lst_JobName,MATCH(A82&amp;"",lst_Jobs,0)),""))</f>
        <v/>
      </c>
      <c r="D82" s="14">
        <f>IF(A82="","",IFERROR(INDEX(tbl_Finance[Client],MATCH(A82&amp;"",tbl_Finance[Job Number],0)),""))</f>
        <v/>
      </c>
      <c r="E82" s="44">
        <f>IF(A82="","",COUNTIFS(tbl_Finance[Job Number],A82&amp;"",tbl_Finance[Ex GST],"&lt;&gt;"))</f>
        <v/>
      </c>
      <c r="F82" s="16">
        <f>IF(A82="","",SUMIFS(tbl_Finance[Ex GST],tbl_Finance[Job Number],A82&amp;""))</f>
        <v/>
      </c>
      <c r="G82" s="14">
        <f>IF(A82="","",IFERROR(INDEX(tbl_Finance[Cost Centre],MATCH(A82&amp;"",tbl_Finance[Job Number],0)),"not invoiced yet"))</f>
        <v/>
      </c>
      <c r="H82" s="13" t="n"/>
      <c r="I82" s="13" t="n"/>
      <c r="J82" s="15" t="n"/>
      <c r="K82" s="15" t="n"/>
      <c r="L82" s="15" t="n"/>
      <c r="M82" s="14">
        <f>IF(A82="","",IF(N(J82)+N(K82)+N(L82)=0,"Not split",IF(ROUND(N(J82)+N(K82)+N(L82),2)=ROUND(F82,2),"OK","MISMATCH")))</f>
        <v/>
      </c>
      <c r="N82" s="15" t="n"/>
      <c r="O82" s="15" t="n"/>
      <c r="P82" s="15" t="n"/>
      <c r="Q82" s="16">
        <f>IF(A82="","",N(N82)+N(O82)+N(P82))</f>
        <v/>
      </c>
      <c r="R82" s="16">
        <f>IF(A82="","",F82-Q82)</f>
        <v/>
      </c>
      <c r="S82" s="46">
        <f>IFERROR(R82/F82,"")</f>
        <v/>
      </c>
      <c r="T82" s="13" t="n"/>
    </row>
    <row r="83" ht="15" customHeight="1">
      <c r="A83" s="13" t="n"/>
      <c r="B83" s="14">
        <f>IF(A83="","",IF(COUNTIF(lst_Jobs,A83&amp;"")&gt;0,"OK","CHECK"))</f>
        <v/>
      </c>
      <c r="C83" s="14">
        <f>IF(A83="","",IFERROR(INDEX(lst_JobName,MATCH(A83&amp;"",lst_Jobs,0)),""))</f>
        <v/>
      </c>
      <c r="D83" s="14">
        <f>IF(A83="","",IFERROR(INDEX(tbl_Finance[Client],MATCH(A83&amp;"",tbl_Finance[Job Number],0)),""))</f>
        <v/>
      </c>
      <c r="E83" s="44">
        <f>IF(A83="","",COUNTIFS(tbl_Finance[Job Number],A83&amp;"",tbl_Finance[Ex GST],"&lt;&gt;"))</f>
        <v/>
      </c>
      <c r="F83" s="16">
        <f>IF(A83="","",SUMIFS(tbl_Finance[Ex GST],tbl_Finance[Job Number],A83&amp;""))</f>
        <v/>
      </c>
      <c r="G83" s="14">
        <f>IF(A83="","",IFERROR(INDEX(tbl_Finance[Cost Centre],MATCH(A83&amp;"",tbl_Finance[Job Number],0)),"not invoiced yet"))</f>
        <v/>
      </c>
      <c r="H83" s="13" t="n"/>
      <c r="I83" s="13" t="n"/>
      <c r="J83" s="15" t="n"/>
      <c r="K83" s="15" t="n"/>
      <c r="L83" s="15" t="n"/>
      <c r="M83" s="14">
        <f>IF(A83="","",IF(N(J83)+N(K83)+N(L83)=0,"Not split",IF(ROUND(N(J83)+N(K83)+N(L83),2)=ROUND(F83,2),"OK","MISMATCH")))</f>
        <v/>
      </c>
      <c r="N83" s="15" t="n"/>
      <c r="O83" s="15" t="n"/>
      <c r="P83" s="15" t="n"/>
      <c r="Q83" s="16">
        <f>IF(A83="","",N(N83)+N(O83)+N(P83))</f>
        <v/>
      </c>
      <c r="R83" s="16">
        <f>IF(A83="","",F83-Q83)</f>
        <v/>
      </c>
      <c r="S83" s="46">
        <f>IFERROR(R83/F83,"")</f>
        <v/>
      </c>
      <c r="T83" s="13" t="n"/>
    </row>
    <row r="84" ht="15" customHeight="1">
      <c r="A84" s="13" t="n"/>
      <c r="B84" s="14">
        <f>IF(A84="","",IF(COUNTIF(lst_Jobs,A84&amp;"")&gt;0,"OK","CHECK"))</f>
        <v/>
      </c>
      <c r="C84" s="14">
        <f>IF(A84="","",IFERROR(INDEX(lst_JobName,MATCH(A84&amp;"",lst_Jobs,0)),""))</f>
        <v/>
      </c>
      <c r="D84" s="14">
        <f>IF(A84="","",IFERROR(INDEX(tbl_Finance[Client],MATCH(A84&amp;"",tbl_Finance[Job Number],0)),""))</f>
        <v/>
      </c>
      <c r="E84" s="44">
        <f>IF(A84="","",COUNTIFS(tbl_Finance[Job Number],A84&amp;"",tbl_Finance[Ex GST],"&lt;&gt;"))</f>
        <v/>
      </c>
      <c r="F84" s="16">
        <f>IF(A84="","",SUMIFS(tbl_Finance[Ex GST],tbl_Finance[Job Number],A84&amp;""))</f>
        <v/>
      </c>
      <c r="G84" s="14">
        <f>IF(A84="","",IFERROR(INDEX(tbl_Finance[Cost Centre],MATCH(A84&amp;"",tbl_Finance[Job Number],0)),"not invoiced yet"))</f>
        <v/>
      </c>
      <c r="H84" s="13" t="n"/>
      <c r="I84" s="13" t="n"/>
      <c r="J84" s="15" t="n"/>
      <c r="K84" s="15" t="n"/>
      <c r="L84" s="15" t="n"/>
      <c r="M84" s="14">
        <f>IF(A84="","",IF(N(J84)+N(K84)+N(L84)=0,"Not split",IF(ROUND(N(J84)+N(K84)+N(L84),2)=ROUND(F84,2),"OK","MISMATCH")))</f>
        <v/>
      </c>
      <c r="N84" s="15" t="n"/>
      <c r="O84" s="15" t="n"/>
      <c r="P84" s="15" t="n"/>
      <c r="Q84" s="16">
        <f>IF(A84="","",N(N84)+N(O84)+N(P84))</f>
        <v/>
      </c>
      <c r="R84" s="16">
        <f>IF(A84="","",F84-Q84)</f>
        <v/>
      </c>
      <c r="S84" s="46">
        <f>IFERROR(R84/F84,"")</f>
        <v/>
      </c>
      <c r="T84" s="13" t="n"/>
    </row>
    <row r="85" ht="15" customHeight="1">
      <c r="A85" s="13" t="n"/>
      <c r="B85" s="14">
        <f>IF(A85="","",IF(COUNTIF(lst_Jobs,A85&amp;"")&gt;0,"OK","CHECK"))</f>
        <v/>
      </c>
      <c r="C85" s="14">
        <f>IF(A85="","",IFERROR(INDEX(lst_JobName,MATCH(A85&amp;"",lst_Jobs,0)),""))</f>
        <v/>
      </c>
      <c r="D85" s="14">
        <f>IF(A85="","",IFERROR(INDEX(tbl_Finance[Client],MATCH(A85&amp;"",tbl_Finance[Job Number],0)),""))</f>
        <v/>
      </c>
      <c r="E85" s="44">
        <f>IF(A85="","",COUNTIFS(tbl_Finance[Job Number],A85&amp;"",tbl_Finance[Ex GST],"&lt;&gt;"))</f>
        <v/>
      </c>
      <c r="F85" s="16">
        <f>IF(A85="","",SUMIFS(tbl_Finance[Ex GST],tbl_Finance[Job Number],A85&amp;""))</f>
        <v/>
      </c>
      <c r="G85" s="14">
        <f>IF(A85="","",IFERROR(INDEX(tbl_Finance[Cost Centre],MATCH(A85&amp;"",tbl_Finance[Job Number],0)),"not invoiced yet"))</f>
        <v/>
      </c>
      <c r="H85" s="13" t="n"/>
      <c r="I85" s="13" t="n"/>
      <c r="J85" s="15" t="n"/>
      <c r="K85" s="15" t="n"/>
      <c r="L85" s="15" t="n"/>
      <c r="M85" s="14">
        <f>IF(A85="","",IF(N(J85)+N(K85)+N(L85)=0,"Not split",IF(ROUND(N(J85)+N(K85)+N(L85),2)=ROUND(F85,2),"OK","MISMATCH")))</f>
        <v/>
      </c>
      <c r="N85" s="15" t="n"/>
      <c r="O85" s="15" t="n"/>
      <c r="P85" s="15" t="n"/>
      <c r="Q85" s="16">
        <f>IF(A85="","",N(N85)+N(O85)+N(P85))</f>
        <v/>
      </c>
      <c r="R85" s="16">
        <f>IF(A85="","",F85-Q85)</f>
        <v/>
      </c>
      <c r="S85" s="46">
        <f>IFERROR(R85/F85,"")</f>
        <v/>
      </c>
      <c r="T85" s="13" t="n"/>
    </row>
    <row r="86" ht="15" customHeight="1">
      <c r="A86" s="13" t="n"/>
      <c r="B86" s="14">
        <f>IF(A86="","",IF(COUNTIF(lst_Jobs,A86&amp;"")&gt;0,"OK","CHECK"))</f>
        <v/>
      </c>
      <c r="C86" s="14">
        <f>IF(A86="","",IFERROR(INDEX(lst_JobName,MATCH(A86&amp;"",lst_Jobs,0)),""))</f>
        <v/>
      </c>
      <c r="D86" s="14">
        <f>IF(A86="","",IFERROR(INDEX(tbl_Finance[Client],MATCH(A86&amp;"",tbl_Finance[Job Number],0)),""))</f>
        <v/>
      </c>
      <c r="E86" s="44">
        <f>IF(A86="","",COUNTIFS(tbl_Finance[Job Number],A86&amp;"",tbl_Finance[Ex GST],"&lt;&gt;"))</f>
        <v/>
      </c>
      <c r="F86" s="16">
        <f>IF(A86="","",SUMIFS(tbl_Finance[Ex GST],tbl_Finance[Job Number],A86&amp;""))</f>
        <v/>
      </c>
      <c r="G86" s="14">
        <f>IF(A86="","",IFERROR(INDEX(tbl_Finance[Cost Centre],MATCH(A86&amp;"",tbl_Finance[Job Number],0)),"not invoiced yet"))</f>
        <v/>
      </c>
      <c r="H86" s="13" t="n"/>
      <c r="I86" s="13" t="n"/>
      <c r="J86" s="15" t="n"/>
      <c r="K86" s="15" t="n"/>
      <c r="L86" s="15" t="n"/>
      <c r="M86" s="14">
        <f>IF(A86="","",IF(N(J86)+N(K86)+N(L86)=0,"Not split",IF(ROUND(N(J86)+N(K86)+N(L86),2)=ROUND(F86,2),"OK","MISMATCH")))</f>
        <v/>
      </c>
      <c r="N86" s="15" t="n"/>
      <c r="O86" s="15" t="n"/>
      <c r="P86" s="15" t="n"/>
      <c r="Q86" s="16">
        <f>IF(A86="","",N(N86)+N(O86)+N(P86))</f>
        <v/>
      </c>
      <c r="R86" s="16">
        <f>IF(A86="","",F86-Q86)</f>
        <v/>
      </c>
      <c r="S86" s="46">
        <f>IFERROR(R86/F86,"")</f>
        <v/>
      </c>
      <c r="T86" s="13" t="n"/>
    </row>
    <row r="87" ht="15" customHeight="1">
      <c r="A87" s="13" t="n"/>
      <c r="B87" s="14">
        <f>IF(A87="","",IF(COUNTIF(lst_Jobs,A87&amp;"")&gt;0,"OK","CHECK"))</f>
        <v/>
      </c>
      <c r="C87" s="14">
        <f>IF(A87="","",IFERROR(INDEX(lst_JobName,MATCH(A87&amp;"",lst_Jobs,0)),""))</f>
        <v/>
      </c>
      <c r="D87" s="14">
        <f>IF(A87="","",IFERROR(INDEX(tbl_Finance[Client],MATCH(A87&amp;"",tbl_Finance[Job Number],0)),""))</f>
        <v/>
      </c>
      <c r="E87" s="44">
        <f>IF(A87="","",COUNTIFS(tbl_Finance[Job Number],A87&amp;"",tbl_Finance[Ex GST],"&lt;&gt;"))</f>
        <v/>
      </c>
      <c r="F87" s="16">
        <f>IF(A87="","",SUMIFS(tbl_Finance[Ex GST],tbl_Finance[Job Number],A87&amp;""))</f>
        <v/>
      </c>
      <c r="G87" s="14">
        <f>IF(A87="","",IFERROR(INDEX(tbl_Finance[Cost Centre],MATCH(A87&amp;"",tbl_Finance[Job Number],0)),"not invoiced yet"))</f>
        <v/>
      </c>
      <c r="H87" s="13" t="n"/>
      <c r="I87" s="13" t="n"/>
      <c r="J87" s="15" t="n"/>
      <c r="K87" s="15" t="n"/>
      <c r="L87" s="15" t="n"/>
      <c r="M87" s="14">
        <f>IF(A87="","",IF(N(J87)+N(K87)+N(L87)=0,"Not split",IF(ROUND(N(J87)+N(K87)+N(L87),2)=ROUND(F87,2),"OK","MISMATCH")))</f>
        <v/>
      </c>
      <c r="N87" s="15" t="n"/>
      <c r="O87" s="15" t="n"/>
      <c r="P87" s="15" t="n"/>
      <c r="Q87" s="16">
        <f>IF(A87="","",N(N87)+N(O87)+N(P87))</f>
        <v/>
      </c>
      <c r="R87" s="16">
        <f>IF(A87="","",F87-Q87)</f>
        <v/>
      </c>
      <c r="S87" s="46">
        <f>IFERROR(R87/F87,"")</f>
        <v/>
      </c>
      <c r="T87" s="13" t="n"/>
    </row>
    <row r="88" ht="15" customHeight="1">
      <c r="A88" s="13" t="n"/>
      <c r="B88" s="14">
        <f>IF(A88="","",IF(COUNTIF(lst_Jobs,A88&amp;"")&gt;0,"OK","CHECK"))</f>
        <v/>
      </c>
      <c r="C88" s="14">
        <f>IF(A88="","",IFERROR(INDEX(lst_JobName,MATCH(A88&amp;"",lst_Jobs,0)),""))</f>
        <v/>
      </c>
      <c r="D88" s="14">
        <f>IF(A88="","",IFERROR(INDEX(tbl_Finance[Client],MATCH(A88&amp;"",tbl_Finance[Job Number],0)),""))</f>
        <v/>
      </c>
      <c r="E88" s="44">
        <f>IF(A88="","",COUNTIFS(tbl_Finance[Job Number],A88&amp;"",tbl_Finance[Ex GST],"&lt;&gt;"))</f>
        <v/>
      </c>
      <c r="F88" s="16">
        <f>IF(A88="","",SUMIFS(tbl_Finance[Ex GST],tbl_Finance[Job Number],A88&amp;""))</f>
        <v/>
      </c>
      <c r="G88" s="14">
        <f>IF(A88="","",IFERROR(INDEX(tbl_Finance[Cost Centre],MATCH(A88&amp;"",tbl_Finance[Job Number],0)),"not invoiced yet"))</f>
        <v/>
      </c>
      <c r="H88" s="13" t="n"/>
      <c r="I88" s="13" t="n"/>
      <c r="J88" s="15" t="n"/>
      <c r="K88" s="15" t="n"/>
      <c r="L88" s="15" t="n"/>
      <c r="M88" s="14">
        <f>IF(A88="","",IF(N(J88)+N(K88)+N(L88)=0,"Not split",IF(ROUND(N(J88)+N(K88)+N(L88),2)=ROUND(F88,2),"OK","MISMATCH")))</f>
        <v/>
      </c>
      <c r="N88" s="15" t="n"/>
      <c r="O88" s="15" t="n"/>
      <c r="P88" s="15" t="n"/>
      <c r="Q88" s="16">
        <f>IF(A88="","",N(N88)+N(O88)+N(P88))</f>
        <v/>
      </c>
      <c r="R88" s="16">
        <f>IF(A88="","",F88-Q88)</f>
        <v/>
      </c>
      <c r="S88" s="46">
        <f>IFERROR(R88/F88,"")</f>
        <v/>
      </c>
      <c r="T88" s="13" t="n"/>
    </row>
    <row r="89" ht="15" customHeight="1">
      <c r="A89" s="13" t="n"/>
      <c r="B89" s="14">
        <f>IF(A89="","",IF(COUNTIF(lst_Jobs,A89&amp;"")&gt;0,"OK","CHECK"))</f>
        <v/>
      </c>
      <c r="C89" s="14">
        <f>IF(A89="","",IFERROR(INDEX(lst_JobName,MATCH(A89&amp;"",lst_Jobs,0)),""))</f>
        <v/>
      </c>
      <c r="D89" s="14">
        <f>IF(A89="","",IFERROR(INDEX(tbl_Finance[Client],MATCH(A89&amp;"",tbl_Finance[Job Number],0)),""))</f>
        <v/>
      </c>
      <c r="E89" s="44">
        <f>IF(A89="","",COUNTIFS(tbl_Finance[Job Number],A89&amp;"",tbl_Finance[Ex GST],"&lt;&gt;"))</f>
        <v/>
      </c>
      <c r="F89" s="16">
        <f>IF(A89="","",SUMIFS(tbl_Finance[Ex GST],tbl_Finance[Job Number],A89&amp;""))</f>
        <v/>
      </c>
      <c r="G89" s="14">
        <f>IF(A89="","",IFERROR(INDEX(tbl_Finance[Cost Centre],MATCH(A89&amp;"",tbl_Finance[Job Number],0)),"not invoiced yet"))</f>
        <v/>
      </c>
      <c r="H89" s="13" t="n"/>
      <c r="I89" s="13" t="n"/>
      <c r="J89" s="15" t="n"/>
      <c r="K89" s="15" t="n"/>
      <c r="L89" s="15" t="n"/>
      <c r="M89" s="14">
        <f>IF(A89="","",IF(N(J89)+N(K89)+N(L89)=0,"Not split",IF(ROUND(N(J89)+N(K89)+N(L89),2)=ROUND(F89,2),"OK","MISMATCH")))</f>
        <v/>
      </c>
      <c r="N89" s="15" t="n"/>
      <c r="O89" s="15" t="n"/>
      <c r="P89" s="15" t="n"/>
      <c r="Q89" s="16">
        <f>IF(A89="","",N(N89)+N(O89)+N(P89))</f>
        <v/>
      </c>
      <c r="R89" s="16">
        <f>IF(A89="","",F89-Q89)</f>
        <v/>
      </c>
      <c r="S89" s="46">
        <f>IFERROR(R89/F89,"")</f>
        <v/>
      </c>
      <c r="T89" s="13" t="n"/>
    </row>
    <row r="90" ht="15" customHeight="1">
      <c r="A90" s="13" t="n"/>
      <c r="B90" s="14">
        <f>IF(A90="","",IF(COUNTIF(lst_Jobs,A90&amp;"")&gt;0,"OK","CHECK"))</f>
        <v/>
      </c>
      <c r="C90" s="14">
        <f>IF(A90="","",IFERROR(INDEX(lst_JobName,MATCH(A90&amp;"",lst_Jobs,0)),""))</f>
        <v/>
      </c>
      <c r="D90" s="14">
        <f>IF(A90="","",IFERROR(INDEX(tbl_Finance[Client],MATCH(A90&amp;"",tbl_Finance[Job Number],0)),""))</f>
        <v/>
      </c>
      <c r="E90" s="44">
        <f>IF(A90="","",COUNTIFS(tbl_Finance[Job Number],A90&amp;"",tbl_Finance[Ex GST],"&lt;&gt;"))</f>
        <v/>
      </c>
      <c r="F90" s="16">
        <f>IF(A90="","",SUMIFS(tbl_Finance[Ex GST],tbl_Finance[Job Number],A90&amp;""))</f>
        <v/>
      </c>
      <c r="G90" s="14">
        <f>IF(A90="","",IFERROR(INDEX(tbl_Finance[Cost Centre],MATCH(A90&amp;"",tbl_Finance[Job Number],0)),"not invoiced yet"))</f>
        <v/>
      </c>
      <c r="H90" s="13" t="n"/>
      <c r="I90" s="13" t="n"/>
      <c r="J90" s="15" t="n"/>
      <c r="K90" s="15" t="n"/>
      <c r="L90" s="15" t="n"/>
      <c r="M90" s="14">
        <f>IF(A90="","",IF(N(J90)+N(K90)+N(L90)=0,"Not split",IF(ROUND(N(J90)+N(K90)+N(L90),2)=ROUND(F90,2),"OK","MISMATCH")))</f>
        <v/>
      </c>
      <c r="N90" s="15" t="n"/>
      <c r="O90" s="15" t="n"/>
      <c r="P90" s="15" t="n"/>
      <c r="Q90" s="16">
        <f>IF(A90="","",N(N90)+N(O90)+N(P90))</f>
        <v/>
      </c>
      <c r="R90" s="16">
        <f>IF(A90="","",F90-Q90)</f>
        <v/>
      </c>
      <c r="S90" s="46">
        <f>IFERROR(R90/F90,"")</f>
        <v/>
      </c>
      <c r="T90" s="13" t="n"/>
    </row>
    <row r="91" ht="15" customHeight="1">
      <c r="A91" s="13" t="n"/>
      <c r="B91" s="14">
        <f>IF(A91="","",IF(COUNTIF(lst_Jobs,A91&amp;"")&gt;0,"OK","CHECK"))</f>
        <v/>
      </c>
      <c r="C91" s="14">
        <f>IF(A91="","",IFERROR(INDEX(lst_JobName,MATCH(A91&amp;"",lst_Jobs,0)),""))</f>
        <v/>
      </c>
      <c r="D91" s="14">
        <f>IF(A91="","",IFERROR(INDEX(tbl_Finance[Client],MATCH(A91&amp;"",tbl_Finance[Job Number],0)),""))</f>
        <v/>
      </c>
      <c r="E91" s="44">
        <f>IF(A91="","",COUNTIFS(tbl_Finance[Job Number],A91&amp;"",tbl_Finance[Ex GST],"&lt;&gt;"))</f>
        <v/>
      </c>
      <c r="F91" s="16">
        <f>IF(A91="","",SUMIFS(tbl_Finance[Ex GST],tbl_Finance[Job Number],A91&amp;""))</f>
        <v/>
      </c>
      <c r="G91" s="14">
        <f>IF(A91="","",IFERROR(INDEX(tbl_Finance[Cost Centre],MATCH(A91&amp;"",tbl_Finance[Job Number],0)),"not invoiced yet"))</f>
        <v/>
      </c>
      <c r="H91" s="13" t="n"/>
      <c r="I91" s="13" t="n"/>
      <c r="J91" s="15" t="n"/>
      <c r="K91" s="15" t="n"/>
      <c r="L91" s="15" t="n"/>
      <c r="M91" s="14">
        <f>IF(A91="","",IF(N(J91)+N(K91)+N(L91)=0,"Not split",IF(ROUND(N(J91)+N(K91)+N(L91),2)=ROUND(F91,2),"OK","MISMATCH")))</f>
        <v/>
      </c>
      <c r="N91" s="15" t="n"/>
      <c r="O91" s="15" t="n"/>
      <c r="P91" s="15" t="n"/>
      <c r="Q91" s="16">
        <f>IF(A91="","",N(N91)+N(O91)+N(P91))</f>
        <v/>
      </c>
      <c r="R91" s="16">
        <f>IF(A91="","",F91-Q91)</f>
        <v/>
      </c>
      <c r="S91" s="46">
        <f>IFERROR(R91/F91,"")</f>
        <v/>
      </c>
      <c r="T91" s="13" t="n"/>
    </row>
    <row r="92" ht="15" customHeight="1">
      <c r="A92" s="13" t="n"/>
      <c r="B92" s="14">
        <f>IF(A92="","",IF(COUNTIF(lst_Jobs,A92&amp;"")&gt;0,"OK","CHECK"))</f>
        <v/>
      </c>
      <c r="C92" s="14">
        <f>IF(A92="","",IFERROR(INDEX(lst_JobName,MATCH(A92&amp;"",lst_Jobs,0)),""))</f>
        <v/>
      </c>
      <c r="D92" s="14">
        <f>IF(A92="","",IFERROR(INDEX(tbl_Finance[Client],MATCH(A92&amp;"",tbl_Finance[Job Number],0)),""))</f>
        <v/>
      </c>
      <c r="E92" s="44">
        <f>IF(A92="","",COUNTIFS(tbl_Finance[Job Number],A92&amp;"",tbl_Finance[Ex GST],"&lt;&gt;"))</f>
        <v/>
      </c>
      <c r="F92" s="16">
        <f>IF(A92="","",SUMIFS(tbl_Finance[Ex GST],tbl_Finance[Job Number],A92&amp;""))</f>
        <v/>
      </c>
      <c r="G92" s="14">
        <f>IF(A92="","",IFERROR(INDEX(tbl_Finance[Cost Centre],MATCH(A92&amp;"",tbl_Finance[Job Number],0)),"not invoiced yet"))</f>
        <v/>
      </c>
      <c r="H92" s="13" t="n"/>
      <c r="I92" s="13" t="n"/>
      <c r="J92" s="15" t="n"/>
      <c r="K92" s="15" t="n"/>
      <c r="L92" s="15" t="n"/>
      <c r="M92" s="14">
        <f>IF(A92="","",IF(N(J92)+N(K92)+N(L92)=0,"Not split",IF(ROUND(N(J92)+N(K92)+N(L92),2)=ROUND(F92,2),"OK","MISMATCH")))</f>
        <v/>
      </c>
      <c r="N92" s="15" t="n"/>
      <c r="O92" s="15" t="n"/>
      <c r="P92" s="15" t="n"/>
      <c r="Q92" s="16">
        <f>IF(A92="","",N(N92)+N(O92)+N(P92))</f>
        <v/>
      </c>
      <c r="R92" s="16">
        <f>IF(A92="","",F92-Q92)</f>
        <v/>
      </c>
      <c r="S92" s="46">
        <f>IFERROR(R92/F92,"")</f>
        <v/>
      </c>
      <c r="T92" s="13" t="n"/>
    </row>
    <row r="93" ht="15" customHeight="1">
      <c r="A93" s="13" t="n"/>
      <c r="B93" s="14">
        <f>IF(A93="","",IF(COUNTIF(lst_Jobs,A93&amp;"")&gt;0,"OK","CHECK"))</f>
        <v/>
      </c>
      <c r="C93" s="14">
        <f>IF(A93="","",IFERROR(INDEX(lst_JobName,MATCH(A93&amp;"",lst_Jobs,0)),""))</f>
        <v/>
      </c>
      <c r="D93" s="14">
        <f>IF(A93="","",IFERROR(INDEX(tbl_Finance[Client],MATCH(A93&amp;"",tbl_Finance[Job Number],0)),""))</f>
        <v/>
      </c>
      <c r="E93" s="44">
        <f>IF(A93="","",COUNTIFS(tbl_Finance[Job Number],A93&amp;"",tbl_Finance[Ex GST],"&lt;&gt;"))</f>
        <v/>
      </c>
      <c r="F93" s="16">
        <f>IF(A93="","",SUMIFS(tbl_Finance[Ex GST],tbl_Finance[Job Number],A93&amp;""))</f>
        <v/>
      </c>
      <c r="G93" s="14">
        <f>IF(A93="","",IFERROR(INDEX(tbl_Finance[Cost Centre],MATCH(A93&amp;"",tbl_Finance[Job Number],0)),"not invoiced yet"))</f>
        <v/>
      </c>
      <c r="H93" s="13" t="n"/>
      <c r="I93" s="13" t="n"/>
      <c r="J93" s="15" t="n"/>
      <c r="K93" s="15" t="n"/>
      <c r="L93" s="15" t="n"/>
      <c r="M93" s="14">
        <f>IF(A93="","",IF(N(J93)+N(K93)+N(L93)=0,"Not split",IF(ROUND(N(J93)+N(K93)+N(L93),2)=ROUND(F93,2),"OK","MISMATCH")))</f>
        <v/>
      </c>
      <c r="N93" s="15" t="n"/>
      <c r="O93" s="15" t="n"/>
      <c r="P93" s="15" t="n"/>
      <c r="Q93" s="16">
        <f>IF(A93="","",N(N93)+N(O93)+N(P93))</f>
        <v/>
      </c>
      <c r="R93" s="16">
        <f>IF(A93="","",F93-Q93)</f>
        <v/>
      </c>
      <c r="S93" s="46">
        <f>IFERROR(R93/F93,"")</f>
        <v/>
      </c>
      <c r="T93" s="13" t="n"/>
    </row>
    <row r="94" ht="15" customHeight="1">
      <c r="A94" s="13" t="n"/>
      <c r="B94" s="14">
        <f>IF(A94="","",IF(COUNTIF(lst_Jobs,A94&amp;"")&gt;0,"OK","CHECK"))</f>
        <v/>
      </c>
      <c r="C94" s="14">
        <f>IF(A94="","",IFERROR(INDEX(lst_JobName,MATCH(A94&amp;"",lst_Jobs,0)),""))</f>
        <v/>
      </c>
      <c r="D94" s="14">
        <f>IF(A94="","",IFERROR(INDEX(tbl_Finance[Client],MATCH(A94&amp;"",tbl_Finance[Job Number],0)),""))</f>
        <v/>
      </c>
      <c r="E94" s="44">
        <f>IF(A94="","",COUNTIFS(tbl_Finance[Job Number],A94&amp;"",tbl_Finance[Ex GST],"&lt;&gt;"))</f>
        <v/>
      </c>
      <c r="F94" s="16">
        <f>IF(A94="","",SUMIFS(tbl_Finance[Ex GST],tbl_Finance[Job Number],A94&amp;""))</f>
        <v/>
      </c>
      <c r="G94" s="14">
        <f>IF(A94="","",IFERROR(INDEX(tbl_Finance[Cost Centre],MATCH(A94&amp;"",tbl_Finance[Job Number],0)),"not invoiced yet"))</f>
        <v/>
      </c>
      <c r="H94" s="13" t="n"/>
      <c r="I94" s="13" t="n"/>
      <c r="J94" s="15" t="n"/>
      <c r="K94" s="15" t="n"/>
      <c r="L94" s="15" t="n"/>
      <c r="M94" s="14">
        <f>IF(A94="","",IF(N(J94)+N(K94)+N(L94)=0,"Not split",IF(ROUND(N(J94)+N(K94)+N(L94),2)=ROUND(F94,2),"OK","MISMATCH")))</f>
        <v/>
      </c>
      <c r="N94" s="15" t="n"/>
      <c r="O94" s="15" t="n"/>
      <c r="P94" s="15" t="n"/>
      <c r="Q94" s="16">
        <f>IF(A94="","",N(N94)+N(O94)+N(P94))</f>
        <v/>
      </c>
      <c r="R94" s="16">
        <f>IF(A94="","",F94-Q94)</f>
        <v/>
      </c>
      <c r="S94" s="46">
        <f>IFERROR(R94/F94,"")</f>
        <v/>
      </c>
      <c r="T94" s="13" t="n"/>
    </row>
    <row r="95" ht="15" customHeight="1">
      <c r="A95" s="13" t="n"/>
      <c r="B95" s="14">
        <f>IF(A95="","",IF(COUNTIF(lst_Jobs,A95&amp;"")&gt;0,"OK","CHECK"))</f>
        <v/>
      </c>
      <c r="C95" s="14">
        <f>IF(A95="","",IFERROR(INDEX(lst_JobName,MATCH(A95&amp;"",lst_Jobs,0)),""))</f>
        <v/>
      </c>
      <c r="D95" s="14">
        <f>IF(A95="","",IFERROR(INDEX(tbl_Finance[Client],MATCH(A95&amp;"",tbl_Finance[Job Number],0)),""))</f>
        <v/>
      </c>
      <c r="E95" s="44">
        <f>IF(A95="","",COUNTIFS(tbl_Finance[Job Number],A95&amp;"",tbl_Finance[Ex GST],"&lt;&gt;"))</f>
        <v/>
      </c>
      <c r="F95" s="16">
        <f>IF(A95="","",SUMIFS(tbl_Finance[Ex GST],tbl_Finance[Job Number],A95&amp;""))</f>
        <v/>
      </c>
      <c r="G95" s="14">
        <f>IF(A95="","",IFERROR(INDEX(tbl_Finance[Cost Centre],MATCH(A95&amp;"",tbl_Finance[Job Number],0)),"not invoiced yet"))</f>
        <v/>
      </c>
      <c r="H95" s="13" t="n"/>
      <c r="I95" s="13" t="n"/>
      <c r="J95" s="15" t="n"/>
      <c r="K95" s="15" t="n"/>
      <c r="L95" s="15" t="n"/>
      <c r="M95" s="14">
        <f>IF(A95="","",IF(N(J95)+N(K95)+N(L95)=0,"Not split",IF(ROUND(N(J95)+N(K95)+N(L95),2)=ROUND(F95,2),"OK","MISMATCH")))</f>
        <v/>
      </c>
      <c r="N95" s="15" t="n"/>
      <c r="O95" s="15" t="n"/>
      <c r="P95" s="15" t="n"/>
      <c r="Q95" s="16">
        <f>IF(A95="","",N(N95)+N(O95)+N(P95))</f>
        <v/>
      </c>
      <c r="R95" s="16">
        <f>IF(A95="","",F95-Q95)</f>
        <v/>
      </c>
      <c r="S95" s="46">
        <f>IFERROR(R95/F95,"")</f>
        <v/>
      </c>
      <c r="T95" s="13" t="n"/>
    </row>
    <row r="96" ht="15" customHeight="1">
      <c r="A96" s="13" t="n"/>
      <c r="B96" s="14">
        <f>IF(A96="","",IF(COUNTIF(lst_Jobs,A96&amp;"")&gt;0,"OK","CHECK"))</f>
        <v/>
      </c>
      <c r="C96" s="14">
        <f>IF(A96="","",IFERROR(INDEX(lst_JobName,MATCH(A96&amp;"",lst_Jobs,0)),""))</f>
        <v/>
      </c>
      <c r="D96" s="14">
        <f>IF(A96="","",IFERROR(INDEX(tbl_Finance[Client],MATCH(A96&amp;"",tbl_Finance[Job Number],0)),""))</f>
        <v/>
      </c>
      <c r="E96" s="44">
        <f>IF(A96="","",COUNTIFS(tbl_Finance[Job Number],A96&amp;"",tbl_Finance[Ex GST],"&lt;&gt;"))</f>
        <v/>
      </c>
      <c r="F96" s="16">
        <f>IF(A96="","",SUMIFS(tbl_Finance[Ex GST],tbl_Finance[Job Number],A96&amp;""))</f>
        <v/>
      </c>
      <c r="G96" s="14">
        <f>IF(A96="","",IFERROR(INDEX(tbl_Finance[Cost Centre],MATCH(A96&amp;"",tbl_Finance[Job Number],0)),"not invoiced yet"))</f>
        <v/>
      </c>
      <c r="H96" s="13" t="n"/>
      <c r="I96" s="13" t="n"/>
      <c r="J96" s="15" t="n"/>
      <c r="K96" s="15" t="n"/>
      <c r="L96" s="15" t="n"/>
      <c r="M96" s="14">
        <f>IF(A96="","",IF(N(J96)+N(K96)+N(L96)=0,"Not split",IF(ROUND(N(J96)+N(K96)+N(L96),2)=ROUND(F96,2),"OK","MISMATCH")))</f>
        <v/>
      </c>
      <c r="N96" s="15" t="n"/>
      <c r="O96" s="15" t="n"/>
      <c r="P96" s="15" t="n"/>
      <c r="Q96" s="16">
        <f>IF(A96="","",N(N96)+N(O96)+N(P96))</f>
        <v/>
      </c>
      <c r="R96" s="16">
        <f>IF(A96="","",F96-Q96)</f>
        <v/>
      </c>
      <c r="S96" s="46">
        <f>IFERROR(R96/F96,"")</f>
        <v/>
      </c>
      <c r="T96" s="13" t="n"/>
    </row>
    <row r="97" ht="15" customHeight="1">
      <c r="A97" s="13" t="n"/>
      <c r="B97" s="14">
        <f>IF(A97="","",IF(COUNTIF(lst_Jobs,A97&amp;"")&gt;0,"OK","CHECK"))</f>
        <v/>
      </c>
      <c r="C97" s="14">
        <f>IF(A97="","",IFERROR(INDEX(lst_JobName,MATCH(A97&amp;"",lst_Jobs,0)),""))</f>
        <v/>
      </c>
      <c r="D97" s="14">
        <f>IF(A97="","",IFERROR(INDEX(tbl_Finance[Client],MATCH(A97&amp;"",tbl_Finance[Job Number],0)),""))</f>
        <v/>
      </c>
      <c r="E97" s="44">
        <f>IF(A97="","",COUNTIFS(tbl_Finance[Job Number],A97&amp;"",tbl_Finance[Ex GST],"&lt;&gt;"))</f>
        <v/>
      </c>
      <c r="F97" s="16">
        <f>IF(A97="","",SUMIFS(tbl_Finance[Ex GST],tbl_Finance[Job Number],A97&amp;""))</f>
        <v/>
      </c>
      <c r="G97" s="14">
        <f>IF(A97="","",IFERROR(INDEX(tbl_Finance[Cost Centre],MATCH(A97&amp;"",tbl_Finance[Job Number],0)),"not invoiced yet"))</f>
        <v/>
      </c>
      <c r="H97" s="13" t="n"/>
      <c r="I97" s="13" t="n"/>
      <c r="J97" s="15" t="n"/>
      <c r="K97" s="15" t="n"/>
      <c r="L97" s="15" t="n"/>
      <c r="M97" s="14">
        <f>IF(A97="","",IF(N(J97)+N(K97)+N(L97)=0,"Not split",IF(ROUND(N(J97)+N(K97)+N(L97),2)=ROUND(F97,2),"OK","MISMATCH")))</f>
        <v/>
      </c>
      <c r="N97" s="15" t="n"/>
      <c r="O97" s="15" t="n"/>
      <c r="P97" s="15" t="n"/>
      <c r="Q97" s="16">
        <f>IF(A97="","",N(N97)+N(O97)+N(P97))</f>
        <v/>
      </c>
      <c r="R97" s="16">
        <f>IF(A97="","",F97-Q97)</f>
        <v/>
      </c>
      <c r="S97" s="46">
        <f>IFERROR(R97/F97,"")</f>
        <v/>
      </c>
      <c r="T97" s="13" t="n"/>
    </row>
    <row r="98" ht="15" customHeight="1">
      <c r="A98" s="13" t="n"/>
      <c r="B98" s="14">
        <f>IF(A98="","",IF(COUNTIF(lst_Jobs,A98&amp;"")&gt;0,"OK","CHECK"))</f>
        <v/>
      </c>
      <c r="C98" s="14">
        <f>IF(A98="","",IFERROR(INDEX(lst_JobName,MATCH(A98&amp;"",lst_Jobs,0)),""))</f>
        <v/>
      </c>
      <c r="D98" s="14">
        <f>IF(A98="","",IFERROR(INDEX(tbl_Finance[Client],MATCH(A98&amp;"",tbl_Finance[Job Number],0)),""))</f>
        <v/>
      </c>
      <c r="E98" s="44">
        <f>IF(A98="","",COUNTIFS(tbl_Finance[Job Number],A98&amp;"",tbl_Finance[Ex GST],"&lt;&gt;"))</f>
        <v/>
      </c>
      <c r="F98" s="16">
        <f>IF(A98="","",SUMIFS(tbl_Finance[Ex GST],tbl_Finance[Job Number],A98&amp;""))</f>
        <v/>
      </c>
      <c r="G98" s="14">
        <f>IF(A98="","",IFERROR(INDEX(tbl_Finance[Cost Centre],MATCH(A98&amp;"",tbl_Finance[Job Number],0)),"not invoiced yet"))</f>
        <v/>
      </c>
      <c r="H98" s="13" t="n"/>
      <c r="I98" s="13" t="n"/>
      <c r="J98" s="15" t="n"/>
      <c r="K98" s="15" t="n"/>
      <c r="L98" s="15" t="n"/>
      <c r="M98" s="14">
        <f>IF(A98="","",IF(N(J98)+N(K98)+N(L98)=0,"Not split",IF(ROUND(N(J98)+N(K98)+N(L98),2)=ROUND(F98,2),"OK","MISMATCH")))</f>
        <v/>
      </c>
      <c r="N98" s="15" t="n"/>
      <c r="O98" s="15" t="n"/>
      <c r="P98" s="15" t="n"/>
      <c r="Q98" s="16">
        <f>IF(A98="","",N(N98)+N(O98)+N(P98))</f>
        <v/>
      </c>
      <c r="R98" s="16">
        <f>IF(A98="","",F98-Q98)</f>
        <v/>
      </c>
      <c r="S98" s="46">
        <f>IFERROR(R98/F98,"")</f>
        <v/>
      </c>
      <c r="T98" s="13" t="n"/>
    </row>
    <row r="99" ht="15" customHeight="1">
      <c r="A99" s="13" t="n"/>
      <c r="B99" s="14">
        <f>IF(A99="","",IF(COUNTIF(lst_Jobs,A99&amp;"")&gt;0,"OK","CHECK"))</f>
        <v/>
      </c>
      <c r="C99" s="14">
        <f>IF(A99="","",IFERROR(INDEX(lst_JobName,MATCH(A99&amp;"",lst_Jobs,0)),""))</f>
        <v/>
      </c>
      <c r="D99" s="14">
        <f>IF(A99="","",IFERROR(INDEX(tbl_Finance[Client],MATCH(A99&amp;"",tbl_Finance[Job Number],0)),""))</f>
        <v/>
      </c>
      <c r="E99" s="44">
        <f>IF(A99="","",COUNTIFS(tbl_Finance[Job Number],A99&amp;"",tbl_Finance[Ex GST],"&lt;&gt;"))</f>
        <v/>
      </c>
      <c r="F99" s="16">
        <f>IF(A99="","",SUMIFS(tbl_Finance[Ex GST],tbl_Finance[Job Number],A99&amp;""))</f>
        <v/>
      </c>
      <c r="G99" s="14">
        <f>IF(A99="","",IFERROR(INDEX(tbl_Finance[Cost Centre],MATCH(A99&amp;"",tbl_Finance[Job Number],0)),"not invoiced yet"))</f>
        <v/>
      </c>
      <c r="H99" s="13" t="n"/>
      <c r="I99" s="13" t="n"/>
      <c r="J99" s="15" t="n"/>
      <c r="K99" s="15" t="n"/>
      <c r="L99" s="15" t="n"/>
      <c r="M99" s="14">
        <f>IF(A99="","",IF(N(J99)+N(K99)+N(L99)=0,"Not split",IF(ROUND(N(J99)+N(K99)+N(L99),2)=ROUND(F99,2),"OK","MISMATCH")))</f>
        <v/>
      </c>
      <c r="N99" s="15" t="n"/>
      <c r="O99" s="15" t="n"/>
      <c r="P99" s="15" t="n"/>
      <c r="Q99" s="16">
        <f>IF(A99="","",N(N99)+N(O99)+N(P99))</f>
        <v/>
      </c>
      <c r="R99" s="16">
        <f>IF(A99="","",F99-Q99)</f>
        <v/>
      </c>
      <c r="S99" s="46">
        <f>IFERROR(R99/F99,"")</f>
        <v/>
      </c>
      <c r="T99" s="13" t="n"/>
    </row>
    <row r="100" ht="15" customHeight="1">
      <c r="A100" s="13" t="n"/>
      <c r="B100" s="14">
        <f>IF(A100="","",IF(COUNTIF(lst_Jobs,A100&amp;"")&gt;0,"OK","CHECK"))</f>
        <v/>
      </c>
      <c r="C100" s="14">
        <f>IF(A100="","",IFERROR(INDEX(lst_JobName,MATCH(A100&amp;"",lst_Jobs,0)),""))</f>
        <v/>
      </c>
      <c r="D100" s="14">
        <f>IF(A100="","",IFERROR(INDEX(tbl_Finance[Client],MATCH(A100&amp;"",tbl_Finance[Job Number],0)),""))</f>
        <v/>
      </c>
      <c r="E100" s="44">
        <f>IF(A100="","",COUNTIFS(tbl_Finance[Job Number],A100&amp;"",tbl_Finance[Ex GST],"&lt;&gt;"))</f>
        <v/>
      </c>
      <c r="F100" s="16">
        <f>IF(A100="","",SUMIFS(tbl_Finance[Ex GST],tbl_Finance[Job Number],A100&amp;""))</f>
        <v/>
      </c>
      <c r="G100" s="14">
        <f>IF(A100="","",IFERROR(INDEX(tbl_Finance[Cost Centre],MATCH(A100&amp;"",tbl_Finance[Job Number],0)),"not invoiced yet"))</f>
        <v/>
      </c>
      <c r="H100" s="13" t="n"/>
      <c r="I100" s="13" t="n"/>
      <c r="J100" s="15" t="n"/>
      <c r="K100" s="15" t="n"/>
      <c r="L100" s="15" t="n"/>
      <c r="M100" s="14">
        <f>IF(A100="","",IF(N(J100)+N(K100)+N(L100)=0,"Not split",IF(ROUND(N(J100)+N(K100)+N(L100),2)=ROUND(F100,2),"OK","MISMATCH")))</f>
        <v/>
      </c>
      <c r="N100" s="15" t="n"/>
      <c r="O100" s="15" t="n"/>
      <c r="P100" s="15" t="n"/>
      <c r="Q100" s="16">
        <f>IF(A100="","",N(N100)+N(O100)+N(P100))</f>
        <v/>
      </c>
      <c r="R100" s="16">
        <f>IF(A100="","",F100-Q100)</f>
        <v/>
      </c>
      <c r="S100" s="46">
        <f>IFERROR(R100/F100,"")</f>
        <v/>
      </c>
      <c r="T100" s="13" t="n"/>
    </row>
    <row r="101" ht="15" customHeight="1">
      <c r="A101" s="13" t="n"/>
      <c r="B101" s="14">
        <f>IF(A101="","",IF(COUNTIF(lst_Jobs,A101&amp;"")&gt;0,"OK","CHECK"))</f>
        <v/>
      </c>
      <c r="C101" s="14">
        <f>IF(A101="","",IFERROR(INDEX(lst_JobName,MATCH(A101&amp;"",lst_Jobs,0)),""))</f>
        <v/>
      </c>
      <c r="D101" s="14">
        <f>IF(A101="","",IFERROR(INDEX(tbl_Finance[Client],MATCH(A101&amp;"",tbl_Finance[Job Number],0)),""))</f>
        <v/>
      </c>
      <c r="E101" s="44">
        <f>IF(A101="","",COUNTIFS(tbl_Finance[Job Number],A101&amp;"",tbl_Finance[Ex GST],"&lt;&gt;"))</f>
        <v/>
      </c>
      <c r="F101" s="16">
        <f>IF(A101="","",SUMIFS(tbl_Finance[Ex GST],tbl_Finance[Job Number],A101&amp;""))</f>
        <v/>
      </c>
      <c r="G101" s="14">
        <f>IF(A101="","",IFERROR(INDEX(tbl_Finance[Cost Centre],MATCH(A101&amp;"",tbl_Finance[Job Number],0)),"not invoiced yet"))</f>
        <v/>
      </c>
      <c r="H101" s="13" t="n"/>
      <c r="I101" s="13" t="n"/>
      <c r="J101" s="15" t="n"/>
      <c r="K101" s="15" t="n"/>
      <c r="L101" s="15" t="n"/>
      <c r="M101" s="14">
        <f>IF(A101="","",IF(N(J101)+N(K101)+N(L101)=0,"Not split",IF(ROUND(N(J101)+N(K101)+N(L101),2)=ROUND(F101,2),"OK","MISMATCH")))</f>
        <v/>
      </c>
      <c r="N101" s="15" t="n"/>
      <c r="O101" s="15" t="n"/>
      <c r="P101" s="15" t="n"/>
      <c r="Q101" s="16">
        <f>IF(A101="","",N(N101)+N(O101)+N(P101))</f>
        <v/>
      </c>
      <c r="R101" s="16">
        <f>IF(A101="","",F101-Q101)</f>
        <v/>
      </c>
      <c r="S101" s="46">
        <f>IFERROR(R101/F101,"")</f>
        <v/>
      </c>
      <c r="T101" s="13" t="n"/>
    </row>
    <row r="102" ht="15" customHeight="1">
      <c r="A102" s="13" t="n"/>
      <c r="B102" s="14">
        <f>IF(A102="","",IF(COUNTIF(lst_Jobs,A102&amp;"")&gt;0,"OK","CHECK"))</f>
        <v/>
      </c>
      <c r="C102" s="14">
        <f>IF(A102="","",IFERROR(INDEX(lst_JobName,MATCH(A102&amp;"",lst_Jobs,0)),""))</f>
        <v/>
      </c>
      <c r="D102" s="14">
        <f>IF(A102="","",IFERROR(INDEX(tbl_Finance[Client],MATCH(A102&amp;"",tbl_Finance[Job Number],0)),""))</f>
        <v/>
      </c>
      <c r="E102" s="44">
        <f>IF(A102="","",COUNTIFS(tbl_Finance[Job Number],A102&amp;"",tbl_Finance[Ex GST],"&lt;&gt;"))</f>
        <v/>
      </c>
      <c r="F102" s="16">
        <f>IF(A102="","",SUMIFS(tbl_Finance[Ex GST],tbl_Finance[Job Number],A102&amp;""))</f>
        <v/>
      </c>
      <c r="G102" s="14">
        <f>IF(A102="","",IFERROR(INDEX(tbl_Finance[Cost Centre],MATCH(A102&amp;"",tbl_Finance[Job Number],0)),"not invoiced yet"))</f>
        <v/>
      </c>
      <c r="H102" s="13" t="n"/>
      <c r="I102" s="13" t="n"/>
      <c r="J102" s="15" t="n"/>
      <c r="K102" s="15" t="n"/>
      <c r="L102" s="15" t="n"/>
      <c r="M102" s="14">
        <f>IF(A102="","",IF(N(J102)+N(K102)+N(L102)=0,"Not split",IF(ROUND(N(J102)+N(K102)+N(L102),2)=ROUND(F102,2),"OK","MISMATCH")))</f>
        <v/>
      </c>
      <c r="N102" s="15" t="n"/>
      <c r="O102" s="15" t="n"/>
      <c r="P102" s="15" t="n"/>
      <c r="Q102" s="16">
        <f>IF(A102="","",N(N102)+N(O102)+N(P102))</f>
        <v/>
      </c>
      <c r="R102" s="16">
        <f>IF(A102="","",F102-Q102)</f>
        <v/>
      </c>
      <c r="S102" s="46">
        <f>IFERROR(R102/F102,"")</f>
        <v/>
      </c>
      <c r="T102" s="13" t="n"/>
    </row>
    <row r="103" ht="15" customHeight="1">
      <c r="A103" s="13" t="n"/>
      <c r="B103" s="14">
        <f>IF(A103="","",IF(COUNTIF(lst_Jobs,A103&amp;"")&gt;0,"OK","CHECK"))</f>
        <v/>
      </c>
      <c r="C103" s="14">
        <f>IF(A103="","",IFERROR(INDEX(lst_JobName,MATCH(A103&amp;"",lst_Jobs,0)),""))</f>
        <v/>
      </c>
      <c r="D103" s="14">
        <f>IF(A103="","",IFERROR(INDEX(tbl_Finance[Client],MATCH(A103&amp;"",tbl_Finance[Job Number],0)),""))</f>
        <v/>
      </c>
      <c r="E103" s="44">
        <f>IF(A103="","",COUNTIFS(tbl_Finance[Job Number],A103&amp;"",tbl_Finance[Ex GST],"&lt;&gt;"))</f>
        <v/>
      </c>
      <c r="F103" s="16">
        <f>IF(A103="","",SUMIFS(tbl_Finance[Ex GST],tbl_Finance[Job Number],A103&amp;""))</f>
        <v/>
      </c>
      <c r="G103" s="14">
        <f>IF(A103="","",IFERROR(INDEX(tbl_Finance[Cost Centre],MATCH(A103&amp;"",tbl_Finance[Job Number],0)),"not invoiced yet"))</f>
        <v/>
      </c>
      <c r="H103" s="13" t="n"/>
      <c r="I103" s="13" t="n"/>
      <c r="J103" s="15" t="n"/>
      <c r="K103" s="15" t="n"/>
      <c r="L103" s="15" t="n"/>
      <c r="M103" s="14">
        <f>IF(A103="","",IF(N(J103)+N(K103)+N(L103)=0,"Not split",IF(ROUND(N(J103)+N(K103)+N(L103),2)=ROUND(F103,2),"OK","MISMATCH")))</f>
        <v/>
      </c>
      <c r="N103" s="15" t="n"/>
      <c r="O103" s="15" t="n"/>
      <c r="P103" s="15" t="n"/>
      <c r="Q103" s="16">
        <f>IF(A103="","",N(N103)+N(O103)+N(P103))</f>
        <v/>
      </c>
      <c r="R103" s="16">
        <f>IF(A103="","",F103-Q103)</f>
        <v/>
      </c>
      <c r="S103" s="46">
        <f>IFERROR(R103/F103,"")</f>
        <v/>
      </c>
      <c r="T103" s="13" t="n"/>
    </row>
    <row r="104" ht="15" customHeight="1">
      <c r="A104" s="13" t="n"/>
      <c r="B104" s="14">
        <f>IF(A104="","",IF(COUNTIF(lst_Jobs,A104&amp;"")&gt;0,"OK","CHECK"))</f>
        <v/>
      </c>
      <c r="C104" s="14">
        <f>IF(A104="","",IFERROR(INDEX(lst_JobName,MATCH(A104&amp;"",lst_Jobs,0)),""))</f>
        <v/>
      </c>
      <c r="D104" s="14">
        <f>IF(A104="","",IFERROR(INDEX(tbl_Finance[Client],MATCH(A104&amp;"",tbl_Finance[Job Number],0)),""))</f>
        <v/>
      </c>
      <c r="E104" s="44">
        <f>IF(A104="","",COUNTIFS(tbl_Finance[Job Number],A104&amp;"",tbl_Finance[Ex GST],"&lt;&gt;"))</f>
        <v/>
      </c>
      <c r="F104" s="16">
        <f>IF(A104="","",SUMIFS(tbl_Finance[Ex GST],tbl_Finance[Job Number],A104&amp;""))</f>
        <v/>
      </c>
      <c r="G104" s="14">
        <f>IF(A104="","",IFERROR(INDEX(tbl_Finance[Cost Centre],MATCH(A104&amp;"",tbl_Finance[Job Number],0)),"not invoiced yet"))</f>
        <v/>
      </c>
      <c r="H104" s="13" t="n"/>
      <c r="I104" s="13" t="n"/>
      <c r="J104" s="15" t="n"/>
      <c r="K104" s="15" t="n"/>
      <c r="L104" s="15" t="n"/>
      <c r="M104" s="14">
        <f>IF(A104="","",IF(N(J104)+N(K104)+N(L104)=0,"Not split",IF(ROUND(N(J104)+N(K104)+N(L104),2)=ROUND(F104,2),"OK","MISMATCH")))</f>
        <v/>
      </c>
      <c r="N104" s="15" t="n"/>
      <c r="O104" s="15" t="n"/>
      <c r="P104" s="15" t="n"/>
      <c r="Q104" s="16">
        <f>IF(A104="","",N(N104)+N(O104)+N(P104))</f>
        <v/>
      </c>
      <c r="R104" s="16">
        <f>IF(A104="","",F104-Q104)</f>
        <v/>
      </c>
      <c r="S104" s="46">
        <f>IFERROR(R104/F104,"")</f>
        <v/>
      </c>
      <c r="T104" s="13" t="n"/>
    </row>
    <row r="105" ht="15" customHeight="1">
      <c r="A105" s="13" t="n"/>
      <c r="B105" s="14">
        <f>IF(A105="","",IF(COUNTIF(lst_Jobs,A105&amp;"")&gt;0,"OK","CHECK"))</f>
        <v/>
      </c>
      <c r="C105" s="14">
        <f>IF(A105="","",IFERROR(INDEX(lst_JobName,MATCH(A105&amp;"",lst_Jobs,0)),""))</f>
        <v/>
      </c>
      <c r="D105" s="14">
        <f>IF(A105="","",IFERROR(INDEX(tbl_Finance[Client],MATCH(A105&amp;"",tbl_Finance[Job Number],0)),""))</f>
        <v/>
      </c>
      <c r="E105" s="44">
        <f>IF(A105="","",COUNTIFS(tbl_Finance[Job Number],A105&amp;"",tbl_Finance[Ex GST],"&lt;&gt;"))</f>
        <v/>
      </c>
      <c r="F105" s="16">
        <f>IF(A105="","",SUMIFS(tbl_Finance[Ex GST],tbl_Finance[Job Number],A105&amp;""))</f>
        <v/>
      </c>
      <c r="G105" s="14">
        <f>IF(A105="","",IFERROR(INDEX(tbl_Finance[Cost Centre],MATCH(A105&amp;"",tbl_Finance[Job Number],0)),"not invoiced yet"))</f>
        <v/>
      </c>
      <c r="H105" s="13" t="n"/>
      <c r="I105" s="13" t="n"/>
      <c r="J105" s="15" t="n"/>
      <c r="K105" s="15" t="n"/>
      <c r="L105" s="15" t="n"/>
      <c r="M105" s="14">
        <f>IF(A105="","",IF(N(J105)+N(K105)+N(L105)=0,"Not split",IF(ROUND(N(J105)+N(K105)+N(L105),2)=ROUND(F105,2),"OK","MISMATCH")))</f>
        <v/>
      </c>
      <c r="N105" s="15" t="n"/>
      <c r="O105" s="15" t="n"/>
      <c r="P105" s="15" t="n"/>
      <c r="Q105" s="16">
        <f>IF(A105="","",N(N105)+N(O105)+N(P105))</f>
        <v/>
      </c>
      <c r="R105" s="16">
        <f>IF(A105="","",F105-Q105)</f>
        <v/>
      </c>
      <c r="S105" s="46">
        <f>IFERROR(R105/F105,"")</f>
        <v/>
      </c>
      <c r="T105" s="13" t="n"/>
    </row>
    <row r="106" ht="15" customHeight="1">
      <c r="A106" s="13" t="n"/>
      <c r="B106" s="14">
        <f>IF(A106="","",IF(COUNTIF(lst_Jobs,A106&amp;"")&gt;0,"OK","CHECK"))</f>
        <v/>
      </c>
      <c r="C106" s="14">
        <f>IF(A106="","",IFERROR(INDEX(lst_JobName,MATCH(A106&amp;"",lst_Jobs,0)),""))</f>
        <v/>
      </c>
      <c r="D106" s="14">
        <f>IF(A106="","",IFERROR(INDEX(tbl_Finance[Client],MATCH(A106&amp;"",tbl_Finance[Job Number],0)),""))</f>
        <v/>
      </c>
      <c r="E106" s="44">
        <f>IF(A106="","",COUNTIFS(tbl_Finance[Job Number],A106&amp;"",tbl_Finance[Ex GST],"&lt;&gt;"))</f>
        <v/>
      </c>
      <c r="F106" s="16">
        <f>IF(A106="","",SUMIFS(tbl_Finance[Ex GST],tbl_Finance[Job Number],A106&amp;""))</f>
        <v/>
      </c>
      <c r="G106" s="14">
        <f>IF(A106="","",IFERROR(INDEX(tbl_Finance[Cost Centre],MATCH(A106&amp;"",tbl_Finance[Job Number],0)),"not invoiced yet"))</f>
        <v/>
      </c>
      <c r="H106" s="13" t="n"/>
      <c r="I106" s="13" t="n"/>
      <c r="J106" s="15" t="n"/>
      <c r="K106" s="15" t="n"/>
      <c r="L106" s="15" t="n"/>
      <c r="M106" s="14">
        <f>IF(A106="","",IF(N(J106)+N(K106)+N(L106)=0,"Not split",IF(ROUND(N(J106)+N(K106)+N(L106),2)=ROUND(F106,2),"OK","MISMATCH")))</f>
        <v/>
      </c>
      <c r="N106" s="15" t="n"/>
      <c r="O106" s="15" t="n"/>
      <c r="P106" s="15" t="n"/>
      <c r="Q106" s="16">
        <f>IF(A106="","",N(N106)+N(O106)+N(P106))</f>
        <v/>
      </c>
      <c r="R106" s="16">
        <f>IF(A106="","",F106-Q106)</f>
        <v/>
      </c>
      <c r="S106" s="46">
        <f>IFERROR(R106/F106,"")</f>
        <v/>
      </c>
      <c r="T106" s="13" t="n"/>
    </row>
    <row r="107" ht="15" customHeight="1">
      <c r="A107" s="13" t="n"/>
      <c r="B107" s="14">
        <f>IF(A107="","",IF(COUNTIF(lst_Jobs,A107&amp;"")&gt;0,"OK","CHECK"))</f>
        <v/>
      </c>
      <c r="C107" s="14">
        <f>IF(A107="","",IFERROR(INDEX(lst_JobName,MATCH(A107&amp;"",lst_Jobs,0)),""))</f>
        <v/>
      </c>
      <c r="D107" s="14">
        <f>IF(A107="","",IFERROR(INDEX(tbl_Finance[Client],MATCH(A107&amp;"",tbl_Finance[Job Number],0)),""))</f>
        <v/>
      </c>
      <c r="E107" s="44">
        <f>IF(A107="","",COUNTIFS(tbl_Finance[Job Number],A107&amp;"",tbl_Finance[Ex GST],"&lt;&gt;"))</f>
        <v/>
      </c>
      <c r="F107" s="16">
        <f>IF(A107="","",SUMIFS(tbl_Finance[Ex GST],tbl_Finance[Job Number],A107&amp;""))</f>
        <v/>
      </c>
      <c r="G107" s="14">
        <f>IF(A107="","",IFERROR(INDEX(tbl_Finance[Cost Centre],MATCH(A107&amp;"",tbl_Finance[Job Number],0)),"not invoiced yet"))</f>
        <v/>
      </c>
      <c r="H107" s="13" t="n"/>
      <c r="I107" s="13" t="n"/>
      <c r="J107" s="15" t="n"/>
      <c r="K107" s="15" t="n"/>
      <c r="L107" s="15" t="n"/>
      <c r="M107" s="14">
        <f>IF(A107="","",IF(N(J107)+N(K107)+N(L107)=0,"Not split",IF(ROUND(N(J107)+N(K107)+N(L107),2)=ROUND(F107,2),"OK","MISMATCH")))</f>
        <v/>
      </c>
      <c r="N107" s="15" t="n"/>
      <c r="O107" s="15" t="n"/>
      <c r="P107" s="15" t="n"/>
      <c r="Q107" s="16">
        <f>IF(A107="","",N(N107)+N(O107)+N(P107))</f>
        <v/>
      </c>
      <c r="R107" s="16">
        <f>IF(A107="","",F107-Q107)</f>
        <v/>
      </c>
      <c r="S107" s="46">
        <f>IFERROR(R107/F107,"")</f>
        <v/>
      </c>
      <c r="T107" s="13" t="n"/>
    </row>
    <row r="108" ht="15" customHeight="1">
      <c r="A108" s="13" t="n"/>
      <c r="B108" s="14">
        <f>IF(A108="","",IF(COUNTIF(lst_Jobs,A108&amp;"")&gt;0,"OK","CHECK"))</f>
        <v/>
      </c>
      <c r="C108" s="14">
        <f>IF(A108="","",IFERROR(INDEX(lst_JobName,MATCH(A108&amp;"",lst_Jobs,0)),""))</f>
        <v/>
      </c>
      <c r="D108" s="14">
        <f>IF(A108="","",IFERROR(INDEX(tbl_Finance[Client],MATCH(A108&amp;"",tbl_Finance[Job Number],0)),""))</f>
        <v/>
      </c>
      <c r="E108" s="44">
        <f>IF(A108="","",COUNTIFS(tbl_Finance[Job Number],A108&amp;"",tbl_Finance[Ex GST],"&lt;&gt;"))</f>
        <v/>
      </c>
      <c r="F108" s="16">
        <f>IF(A108="","",SUMIFS(tbl_Finance[Ex GST],tbl_Finance[Job Number],A108&amp;""))</f>
        <v/>
      </c>
      <c r="G108" s="14">
        <f>IF(A108="","",IFERROR(INDEX(tbl_Finance[Cost Centre],MATCH(A108&amp;"",tbl_Finance[Job Number],0)),"not invoiced yet"))</f>
        <v/>
      </c>
      <c r="H108" s="13" t="n"/>
      <c r="I108" s="13" t="n"/>
      <c r="J108" s="15" t="n"/>
      <c r="K108" s="15" t="n"/>
      <c r="L108" s="15" t="n"/>
      <c r="M108" s="14">
        <f>IF(A108="","",IF(N(J108)+N(K108)+N(L108)=0,"Not split",IF(ROUND(N(J108)+N(K108)+N(L108),2)=ROUND(F108,2),"OK","MISMATCH")))</f>
        <v/>
      </c>
      <c r="N108" s="15" t="n"/>
      <c r="O108" s="15" t="n"/>
      <c r="P108" s="15" t="n"/>
      <c r="Q108" s="16">
        <f>IF(A108="","",N(N108)+N(O108)+N(P108))</f>
        <v/>
      </c>
      <c r="R108" s="16">
        <f>IF(A108="","",F108-Q108)</f>
        <v/>
      </c>
      <c r="S108" s="46">
        <f>IFERROR(R108/F108,"")</f>
        <v/>
      </c>
      <c r="T108" s="13" t="n"/>
    </row>
    <row r="109" ht="15" customHeight="1">
      <c r="A109" s="13" t="n"/>
      <c r="B109" s="14">
        <f>IF(A109="","",IF(COUNTIF(lst_Jobs,A109&amp;"")&gt;0,"OK","CHECK"))</f>
        <v/>
      </c>
      <c r="C109" s="14">
        <f>IF(A109="","",IFERROR(INDEX(lst_JobName,MATCH(A109&amp;"",lst_Jobs,0)),""))</f>
        <v/>
      </c>
      <c r="D109" s="14">
        <f>IF(A109="","",IFERROR(INDEX(tbl_Finance[Client],MATCH(A109&amp;"",tbl_Finance[Job Number],0)),""))</f>
        <v/>
      </c>
      <c r="E109" s="44">
        <f>IF(A109="","",COUNTIFS(tbl_Finance[Job Number],A109&amp;"",tbl_Finance[Ex GST],"&lt;&gt;"))</f>
        <v/>
      </c>
      <c r="F109" s="16">
        <f>IF(A109="","",SUMIFS(tbl_Finance[Ex GST],tbl_Finance[Job Number],A109&amp;""))</f>
        <v/>
      </c>
      <c r="G109" s="14">
        <f>IF(A109="","",IFERROR(INDEX(tbl_Finance[Cost Centre],MATCH(A109&amp;"",tbl_Finance[Job Number],0)),"not invoiced yet"))</f>
        <v/>
      </c>
      <c r="H109" s="13" t="n"/>
      <c r="I109" s="13" t="n"/>
      <c r="J109" s="15" t="n"/>
      <c r="K109" s="15" t="n"/>
      <c r="L109" s="15" t="n"/>
      <c r="M109" s="14">
        <f>IF(A109="","",IF(N(J109)+N(K109)+N(L109)=0,"Not split",IF(ROUND(N(J109)+N(K109)+N(L109),2)=ROUND(F109,2),"OK","MISMATCH")))</f>
        <v/>
      </c>
      <c r="N109" s="15" t="n"/>
      <c r="O109" s="15" t="n"/>
      <c r="P109" s="15" t="n"/>
      <c r="Q109" s="16">
        <f>IF(A109="","",N(N109)+N(O109)+N(P109))</f>
        <v/>
      </c>
      <c r="R109" s="16">
        <f>IF(A109="","",F109-Q109)</f>
        <v/>
      </c>
      <c r="S109" s="46">
        <f>IFERROR(R109/F109,"")</f>
        <v/>
      </c>
      <c r="T109" s="13" t="n"/>
    </row>
    <row r="110" ht="15" customHeight="1">
      <c r="A110" s="13" t="n"/>
      <c r="B110" s="14">
        <f>IF(A110="","",IF(COUNTIF(lst_Jobs,A110&amp;"")&gt;0,"OK","CHECK"))</f>
        <v/>
      </c>
      <c r="C110" s="14">
        <f>IF(A110="","",IFERROR(INDEX(lst_JobName,MATCH(A110&amp;"",lst_Jobs,0)),""))</f>
        <v/>
      </c>
      <c r="D110" s="14">
        <f>IF(A110="","",IFERROR(INDEX(tbl_Finance[Client],MATCH(A110&amp;"",tbl_Finance[Job Number],0)),""))</f>
        <v/>
      </c>
      <c r="E110" s="44">
        <f>IF(A110="","",COUNTIFS(tbl_Finance[Job Number],A110&amp;"",tbl_Finance[Ex GST],"&lt;&gt;"))</f>
        <v/>
      </c>
      <c r="F110" s="16">
        <f>IF(A110="","",SUMIFS(tbl_Finance[Ex GST],tbl_Finance[Job Number],A110&amp;""))</f>
        <v/>
      </c>
      <c r="G110" s="14">
        <f>IF(A110="","",IFERROR(INDEX(tbl_Finance[Cost Centre],MATCH(A110&amp;"",tbl_Finance[Job Number],0)),"not invoiced yet"))</f>
        <v/>
      </c>
      <c r="H110" s="13" t="n"/>
      <c r="I110" s="13" t="n"/>
      <c r="J110" s="15" t="n"/>
      <c r="K110" s="15" t="n"/>
      <c r="L110" s="15" t="n"/>
      <c r="M110" s="14">
        <f>IF(A110="","",IF(N(J110)+N(K110)+N(L110)=0,"Not split",IF(ROUND(N(J110)+N(K110)+N(L110),2)=ROUND(F110,2),"OK","MISMATCH")))</f>
        <v/>
      </c>
      <c r="N110" s="15" t="n"/>
      <c r="O110" s="15" t="n"/>
      <c r="P110" s="15" t="n"/>
      <c r="Q110" s="16">
        <f>IF(A110="","",N(N110)+N(O110)+N(P110))</f>
        <v/>
      </c>
      <c r="R110" s="16">
        <f>IF(A110="","",F110-Q110)</f>
        <v/>
      </c>
      <c r="S110" s="46">
        <f>IFERROR(R110/F110,"")</f>
        <v/>
      </c>
      <c r="T110" s="13" t="n"/>
    </row>
    <row r="111" ht="15" customHeight="1">
      <c r="A111" s="13" t="n"/>
      <c r="B111" s="14">
        <f>IF(A111="","",IF(COUNTIF(lst_Jobs,A111&amp;"")&gt;0,"OK","CHECK"))</f>
        <v/>
      </c>
      <c r="C111" s="14">
        <f>IF(A111="","",IFERROR(INDEX(lst_JobName,MATCH(A111&amp;"",lst_Jobs,0)),""))</f>
        <v/>
      </c>
      <c r="D111" s="14">
        <f>IF(A111="","",IFERROR(INDEX(tbl_Finance[Client],MATCH(A111&amp;"",tbl_Finance[Job Number],0)),""))</f>
        <v/>
      </c>
      <c r="E111" s="44">
        <f>IF(A111="","",COUNTIFS(tbl_Finance[Job Number],A111&amp;"",tbl_Finance[Ex GST],"&lt;&gt;"))</f>
        <v/>
      </c>
      <c r="F111" s="16">
        <f>IF(A111="","",SUMIFS(tbl_Finance[Ex GST],tbl_Finance[Job Number],A111&amp;""))</f>
        <v/>
      </c>
      <c r="G111" s="14">
        <f>IF(A111="","",IFERROR(INDEX(tbl_Finance[Cost Centre],MATCH(A111&amp;"",tbl_Finance[Job Number],0)),"not invoiced yet"))</f>
        <v/>
      </c>
      <c r="H111" s="13" t="n"/>
      <c r="I111" s="13" t="n"/>
      <c r="J111" s="15" t="n"/>
      <c r="K111" s="15" t="n"/>
      <c r="L111" s="15" t="n"/>
      <c r="M111" s="14">
        <f>IF(A111="","",IF(N(J111)+N(K111)+N(L111)=0,"Not split",IF(ROUND(N(J111)+N(K111)+N(L111),2)=ROUND(F111,2),"OK","MISMATCH")))</f>
        <v/>
      </c>
      <c r="N111" s="15" t="n"/>
      <c r="O111" s="15" t="n"/>
      <c r="P111" s="15" t="n"/>
      <c r="Q111" s="16">
        <f>IF(A111="","",N(N111)+N(O111)+N(P111))</f>
        <v/>
      </c>
      <c r="R111" s="16">
        <f>IF(A111="","",F111-Q111)</f>
        <v/>
      </c>
      <c r="S111" s="46">
        <f>IFERROR(R111/F111,"")</f>
        <v/>
      </c>
      <c r="T111" s="13" t="n"/>
    </row>
    <row r="112" ht="15" customHeight="1">
      <c r="A112" s="13" t="n"/>
      <c r="B112" s="14">
        <f>IF(A112="","",IF(COUNTIF(lst_Jobs,A112&amp;"")&gt;0,"OK","CHECK"))</f>
        <v/>
      </c>
      <c r="C112" s="14">
        <f>IF(A112="","",IFERROR(INDEX(lst_JobName,MATCH(A112&amp;"",lst_Jobs,0)),""))</f>
        <v/>
      </c>
      <c r="D112" s="14">
        <f>IF(A112="","",IFERROR(INDEX(tbl_Finance[Client],MATCH(A112&amp;"",tbl_Finance[Job Number],0)),""))</f>
        <v/>
      </c>
      <c r="E112" s="44">
        <f>IF(A112="","",COUNTIFS(tbl_Finance[Job Number],A112&amp;"",tbl_Finance[Ex GST],"&lt;&gt;"))</f>
        <v/>
      </c>
      <c r="F112" s="16">
        <f>IF(A112="","",SUMIFS(tbl_Finance[Ex GST],tbl_Finance[Job Number],A112&amp;""))</f>
        <v/>
      </c>
      <c r="G112" s="14">
        <f>IF(A112="","",IFERROR(INDEX(tbl_Finance[Cost Centre],MATCH(A112&amp;"",tbl_Finance[Job Number],0)),"not invoiced yet"))</f>
        <v/>
      </c>
      <c r="H112" s="13" t="n"/>
      <c r="I112" s="13" t="n"/>
      <c r="J112" s="15" t="n"/>
      <c r="K112" s="15" t="n"/>
      <c r="L112" s="15" t="n"/>
      <c r="M112" s="14">
        <f>IF(A112="","",IF(N(J112)+N(K112)+N(L112)=0,"Not split",IF(ROUND(N(J112)+N(K112)+N(L112),2)=ROUND(F112,2),"OK","MISMATCH")))</f>
        <v/>
      </c>
      <c r="N112" s="15" t="n"/>
      <c r="O112" s="15" t="n"/>
      <c r="P112" s="15" t="n"/>
      <c r="Q112" s="16">
        <f>IF(A112="","",N(N112)+N(O112)+N(P112))</f>
        <v/>
      </c>
      <c r="R112" s="16">
        <f>IF(A112="","",F112-Q112)</f>
        <v/>
      </c>
      <c r="S112" s="46">
        <f>IFERROR(R112/F112,"")</f>
        <v/>
      </c>
      <c r="T112" s="13" t="n"/>
    </row>
    <row r="113" ht="15" customHeight="1">
      <c r="A113" s="13" t="n"/>
      <c r="B113" s="14">
        <f>IF(A113="","",IF(COUNTIF(lst_Jobs,A113&amp;"")&gt;0,"OK","CHECK"))</f>
        <v/>
      </c>
      <c r="C113" s="14">
        <f>IF(A113="","",IFERROR(INDEX(lst_JobName,MATCH(A113&amp;"",lst_Jobs,0)),""))</f>
        <v/>
      </c>
      <c r="D113" s="14">
        <f>IF(A113="","",IFERROR(INDEX(tbl_Finance[Client],MATCH(A113&amp;"",tbl_Finance[Job Number],0)),""))</f>
        <v/>
      </c>
      <c r="E113" s="44">
        <f>IF(A113="","",COUNTIFS(tbl_Finance[Job Number],A113&amp;"",tbl_Finance[Ex GST],"&lt;&gt;"))</f>
        <v/>
      </c>
      <c r="F113" s="16">
        <f>IF(A113="","",SUMIFS(tbl_Finance[Ex GST],tbl_Finance[Job Number],A113&amp;""))</f>
        <v/>
      </c>
      <c r="G113" s="14">
        <f>IF(A113="","",IFERROR(INDEX(tbl_Finance[Cost Centre],MATCH(A113&amp;"",tbl_Finance[Job Number],0)),"not invoiced yet"))</f>
        <v/>
      </c>
      <c r="H113" s="13" t="n"/>
      <c r="I113" s="13" t="n"/>
      <c r="J113" s="15" t="n"/>
      <c r="K113" s="15" t="n"/>
      <c r="L113" s="15" t="n"/>
      <c r="M113" s="14">
        <f>IF(A113="","",IF(N(J113)+N(K113)+N(L113)=0,"Not split",IF(ROUND(N(J113)+N(K113)+N(L113),2)=ROUND(F113,2),"OK","MISMATCH")))</f>
        <v/>
      </c>
      <c r="N113" s="15" t="n"/>
      <c r="O113" s="15" t="n"/>
      <c r="P113" s="15" t="n"/>
      <c r="Q113" s="16">
        <f>IF(A113="","",N(N113)+N(O113)+N(P113))</f>
        <v/>
      </c>
      <c r="R113" s="16">
        <f>IF(A113="","",F113-Q113)</f>
        <v/>
      </c>
      <c r="S113" s="46">
        <f>IFERROR(R113/F113,"")</f>
        <v/>
      </c>
      <c r="T113" s="13" t="n"/>
    </row>
    <row r="114" ht="15" customHeight="1">
      <c r="A114" s="13" t="n"/>
      <c r="B114" s="14">
        <f>IF(A114="","",IF(COUNTIF(lst_Jobs,A114&amp;"")&gt;0,"OK","CHECK"))</f>
        <v/>
      </c>
      <c r="C114" s="14">
        <f>IF(A114="","",IFERROR(INDEX(lst_JobName,MATCH(A114&amp;"",lst_Jobs,0)),""))</f>
        <v/>
      </c>
      <c r="D114" s="14">
        <f>IF(A114="","",IFERROR(INDEX(tbl_Finance[Client],MATCH(A114&amp;"",tbl_Finance[Job Number],0)),""))</f>
        <v/>
      </c>
      <c r="E114" s="44">
        <f>IF(A114="","",COUNTIFS(tbl_Finance[Job Number],A114&amp;"",tbl_Finance[Ex GST],"&lt;&gt;"))</f>
        <v/>
      </c>
      <c r="F114" s="16">
        <f>IF(A114="","",SUMIFS(tbl_Finance[Ex GST],tbl_Finance[Job Number],A114&amp;""))</f>
        <v/>
      </c>
      <c r="G114" s="14">
        <f>IF(A114="","",IFERROR(INDEX(tbl_Finance[Cost Centre],MATCH(A114&amp;"",tbl_Finance[Job Number],0)),"not invoiced yet"))</f>
        <v/>
      </c>
      <c r="H114" s="13" t="n"/>
      <c r="I114" s="13" t="n"/>
      <c r="J114" s="15" t="n"/>
      <c r="K114" s="15" t="n"/>
      <c r="L114" s="15" t="n"/>
      <c r="M114" s="14">
        <f>IF(A114="","",IF(N(J114)+N(K114)+N(L114)=0,"Not split",IF(ROUND(N(J114)+N(K114)+N(L114),2)=ROUND(F114,2),"OK","MISMATCH")))</f>
        <v/>
      </c>
      <c r="N114" s="15" t="n"/>
      <c r="O114" s="15" t="n"/>
      <c r="P114" s="15" t="n"/>
      <c r="Q114" s="16">
        <f>IF(A114="","",N(N114)+N(O114)+N(P114))</f>
        <v/>
      </c>
      <c r="R114" s="16">
        <f>IF(A114="","",F114-Q114)</f>
        <v/>
      </c>
      <c r="S114" s="46">
        <f>IFERROR(R114/F114,"")</f>
        <v/>
      </c>
      <c r="T114" s="13" t="n"/>
    </row>
    <row r="115" ht="15" customHeight="1">
      <c r="A115" s="13" t="n"/>
      <c r="B115" s="14">
        <f>IF(A115="","",IF(COUNTIF(lst_Jobs,A115&amp;"")&gt;0,"OK","CHECK"))</f>
        <v/>
      </c>
      <c r="C115" s="14">
        <f>IF(A115="","",IFERROR(INDEX(lst_JobName,MATCH(A115&amp;"",lst_Jobs,0)),""))</f>
        <v/>
      </c>
      <c r="D115" s="14">
        <f>IF(A115="","",IFERROR(INDEX(tbl_Finance[Client],MATCH(A115&amp;"",tbl_Finance[Job Number],0)),""))</f>
        <v/>
      </c>
      <c r="E115" s="44">
        <f>IF(A115="","",COUNTIFS(tbl_Finance[Job Number],A115&amp;"",tbl_Finance[Ex GST],"&lt;&gt;"))</f>
        <v/>
      </c>
      <c r="F115" s="16">
        <f>IF(A115="","",SUMIFS(tbl_Finance[Ex GST],tbl_Finance[Job Number],A115&amp;""))</f>
        <v/>
      </c>
      <c r="G115" s="14">
        <f>IF(A115="","",IFERROR(INDEX(tbl_Finance[Cost Centre],MATCH(A115&amp;"",tbl_Finance[Job Number],0)),"not invoiced yet"))</f>
        <v/>
      </c>
      <c r="H115" s="13" t="n"/>
      <c r="I115" s="13" t="n"/>
      <c r="J115" s="15" t="n"/>
      <c r="K115" s="15" t="n"/>
      <c r="L115" s="15" t="n"/>
      <c r="M115" s="14">
        <f>IF(A115="","",IF(N(J115)+N(K115)+N(L115)=0,"Not split",IF(ROUND(N(J115)+N(K115)+N(L115),2)=ROUND(F115,2),"OK","MISMATCH")))</f>
        <v/>
      </c>
      <c r="N115" s="15" t="n"/>
      <c r="O115" s="15" t="n"/>
      <c r="P115" s="15" t="n"/>
      <c r="Q115" s="16">
        <f>IF(A115="","",N(N115)+N(O115)+N(P115))</f>
        <v/>
      </c>
      <c r="R115" s="16">
        <f>IF(A115="","",F115-Q115)</f>
        <v/>
      </c>
      <c r="S115" s="46">
        <f>IFERROR(R115/F115,"")</f>
        <v/>
      </c>
      <c r="T115" s="13" t="n"/>
    </row>
    <row r="116" ht="15" customHeight="1">
      <c r="A116" s="13" t="n"/>
      <c r="B116" s="14">
        <f>IF(A116="","",IF(COUNTIF(lst_Jobs,A116&amp;"")&gt;0,"OK","CHECK"))</f>
        <v/>
      </c>
      <c r="C116" s="14">
        <f>IF(A116="","",IFERROR(INDEX(lst_JobName,MATCH(A116&amp;"",lst_Jobs,0)),""))</f>
        <v/>
      </c>
      <c r="D116" s="14">
        <f>IF(A116="","",IFERROR(INDEX(tbl_Finance[Client],MATCH(A116&amp;"",tbl_Finance[Job Number],0)),""))</f>
        <v/>
      </c>
      <c r="E116" s="44">
        <f>IF(A116="","",COUNTIFS(tbl_Finance[Job Number],A116&amp;"",tbl_Finance[Ex GST],"&lt;&gt;"))</f>
        <v/>
      </c>
      <c r="F116" s="16">
        <f>IF(A116="","",SUMIFS(tbl_Finance[Ex GST],tbl_Finance[Job Number],A116&amp;""))</f>
        <v/>
      </c>
      <c r="G116" s="14">
        <f>IF(A116="","",IFERROR(INDEX(tbl_Finance[Cost Centre],MATCH(A116&amp;"",tbl_Finance[Job Number],0)),"not invoiced yet"))</f>
        <v/>
      </c>
      <c r="H116" s="13" t="n"/>
      <c r="I116" s="13" t="n"/>
      <c r="J116" s="15" t="n"/>
      <c r="K116" s="15" t="n"/>
      <c r="L116" s="15" t="n"/>
      <c r="M116" s="14">
        <f>IF(A116="","",IF(N(J116)+N(K116)+N(L116)=0,"Not split",IF(ROUND(N(J116)+N(K116)+N(L116),2)=ROUND(F116,2),"OK","MISMATCH")))</f>
        <v/>
      </c>
      <c r="N116" s="15" t="n"/>
      <c r="O116" s="15" t="n"/>
      <c r="P116" s="15" t="n"/>
      <c r="Q116" s="16">
        <f>IF(A116="","",N(N116)+N(O116)+N(P116))</f>
        <v/>
      </c>
      <c r="R116" s="16">
        <f>IF(A116="","",F116-Q116)</f>
        <v/>
      </c>
      <c r="S116" s="46">
        <f>IFERROR(R116/F116,"")</f>
        <v/>
      </c>
      <c r="T116" s="13" t="n"/>
    </row>
    <row r="117" ht="15" customHeight="1">
      <c r="A117" s="13" t="n"/>
      <c r="B117" s="14">
        <f>IF(A117="","",IF(COUNTIF(lst_Jobs,A117&amp;"")&gt;0,"OK","CHECK"))</f>
        <v/>
      </c>
      <c r="C117" s="14">
        <f>IF(A117="","",IFERROR(INDEX(lst_JobName,MATCH(A117&amp;"",lst_Jobs,0)),""))</f>
        <v/>
      </c>
      <c r="D117" s="14">
        <f>IF(A117="","",IFERROR(INDEX(tbl_Finance[Client],MATCH(A117&amp;"",tbl_Finance[Job Number],0)),""))</f>
        <v/>
      </c>
      <c r="E117" s="44">
        <f>IF(A117="","",COUNTIFS(tbl_Finance[Job Number],A117&amp;"",tbl_Finance[Ex GST],"&lt;&gt;"))</f>
        <v/>
      </c>
      <c r="F117" s="16">
        <f>IF(A117="","",SUMIFS(tbl_Finance[Ex GST],tbl_Finance[Job Number],A117&amp;""))</f>
        <v/>
      </c>
      <c r="G117" s="14">
        <f>IF(A117="","",IFERROR(INDEX(tbl_Finance[Cost Centre],MATCH(A117&amp;"",tbl_Finance[Job Number],0)),"not invoiced yet"))</f>
        <v/>
      </c>
      <c r="H117" s="13" t="n"/>
      <c r="I117" s="13" t="n"/>
      <c r="J117" s="15" t="n"/>
      <c r="K117" s="15" t="n"/>
      <c r="L117" s="15" t="n"/>
      <c r="M117" s="14">
        <f>IF(A117="","",IF(N(J117)+N(K117)+N(L117)=0,"Not split",IF(ROUND(N(J117)+N(K117)+N(L117),2)=ROUND(F117,2),"OK","MISMATCH")))</f>
        <v/>
      </c>
      <c r="N117" s="15" t="n"/>
      <c r="O117" s="15" t="n"/>
      <c r="P117" s="15" t="n"/>
      <c r="Q117" s="16">
        <f>IF(A117="","",N(N117)+N(O117)+N(P117))</f>
        <v/>
      </c>
      <c r="R117" s="16">
        <f>IF(A117="","",F117-Q117)</f>
        <v/>
      </c>
      <c r="S117" s="46">
        <f>IFERROR(R117/F117,"")</f>
        <v/>
      </c>
      <c r="T117" s="13" t="n"/>
    </row>
    <row r="118" ht="15" customHeight="1">
      <c r="A118" s="13" t="n"/>
      <c r="B118" s="14">
        <f>IF(A118="","",IF(COUNTIF(lst_Jobs,A118&amp;"")&gt;0,"OK","CHECK"))</f>
        <v/>
      </c>
      <c r="C118" s="14">
        <f>IF(A118="","",IFERROR(INDEX(lst_JobName,MATCH(A118&amp;"",lst_Jobs,0)),""))</f>
        <v/>
      </c>
      <c r="D118" s="14">
        <f>IF(A118="","",IFERROR(INDEX(tbl_Finance[Client],MATCH(A118&amp;"",tbl_Finance[Job Number],0)),""))</f>
        <v/>
      </c>
      <c r="E118" s="44">
        <f>IF(A118="","",COUNTIFS(tbl_Finance[Job Number],A118&amp;"",tbl_Finance[Ex GST],"&lt;&gt;"))</f>
        <v/>
      </c>
      <c r="F118" s="16">
        <f>IF(A118="","",SUMIFS(tbl_Finance[Ex GST],tbl_Finance[Job Number],A118&amp;""))</f>
        <v/>
      </c>
      <c r="G118" s="14">
        <f>IF(A118="","",IFERROR(INDEX(tbl_Finance[Cost Centre],MATCH(A118&amp;"",tbl_Finance[Job Number],0)),"not invoiced yet"))</f>
        <v/>
      </c>
      <c r="H118" s="13" t="n"/>
      <c r="I118" s="13" t="n"/>
      <c r="J118" s="15" t="n"/>
      <c r="K118" s="15" t="n"/>
      <c r="L118" s="15" t="n"/>
      <c r="M118" s="14">
        <f>IF(A118="","",IF(N(J118)+N(K118)+N(L118)=0,"Not split",IF(ROUND(N(J118)+N(K118)+N(L118),2)=ROUND(F118,2),"OK","MISMATCH")))</f>
        <v/>
      </c>
      <c r="N118" s="15" t="n"/>
      <c r="O118" s="15" t="n"/>
      <c r="P118" s="15" t="n"/>
      <c r="Q118" s="16">
        <f>IF(A118="","",N(N118)+N(O118)+N(P118))</f>
        <v/>
      </c>
      <c r="R118" s="16">
        <f>IF(A118="","",F118-Q118)</f>
        <v/>
      </c>
      <c r="S118" s="46">
        <f>IFERROR(R118/F118,"")</f>
        <v/>
      </c>
      <c r="T118" s="13" t="n"/>
    </row>
    <row r="119" ht="15" customHeight="1">
      <c r="A119" s="13" t="n"/>
      <c r="B119" s="14">
        <f>IF(A119="","",IF(COUNTIF(lst_Jobs,A119&amp;"")&gt;0,"OK","CHECK"))</f>
        <v/>
      </c>
      <c r="C119" s="14">
        <f>IF(A119="","",IFERROR(INDEX(lst_JobName,MATCH(A119&amp;"",lst_Jobs,0)),""))</f>
        <v/>
      </c>
      <c r="D119" s="14">
        <f>IF(A119="","",IFERROR(INDEX(tbl_Finance[Client],MATCH(A119&amp;"",tbl_Finance[Job Number],0)),""))</f>
        <v/>
      </c>
      <c r="E119" s="44">
        <f>IF(A119="","",COUNTIFS(tbl_Finance[Job Number],A119&amp;"",tbl_Finance[Ex GST],"&lt;&gt;"))</f>
        <v/>
      </c>
      <c r="F119" s="16">
        <f>IF(A119="","",SUMIFS(tbl_Finance[Ex GST],tbl_Finance[Job Number],A119&amp;""))</f>
        <v/>
      </c>
      <c r="G119" s="14">
        <f>IF(A119="","",IFERROR(INDEX(tbl_Finance[Cost Centre],MATCH(A119&amp;"",tbl_Finance[Job Number],0)),"not invoiced yet"))</f>
        <v/>
      </c>
      <c r="H119" s="13" t="n"/>
      <c r="I119" s="13" t="n"/>
      <c r="J119" s="15" t="n"/>
      <c r="K119" s="15" t="n"/>
      <c r="L119" s="15" t="n"/>
      <c r="M119" s="14">
        <f>IF(A119="","",IF(N(J119)+N(K119)+N(L119)=0,"Not split",IF(ROUND(N(J119)+N(K119)+N(L119),2)=ROUND(F119,2),"OK","MISMATCH")))</f>
        <v/>
      </c>
      <c r="N119" s="15" t="n"/>
      <c r="O119" s="15" t="n"/>
      <c r="P119" s="15" t="n"/>
      <c r="Q119" s="16">
        <f>IF(A119="","",N(N119)+N(O119)+N(P119))</f>
        <v/>
      </c>
      <c r="R119" s="16">
        <f>IF(A119="","",F119-Q119)</f>
        <v/>
      </c>
      <c r="S119" s="46">
        <f>IFERROR(R119/F119,"")</f>
        <v/>
      </c>
      <c r="T119" s="13" t="n"/>
    </row>
    <row r="120" ht="15" customHeight="1">
      <c r="A120" s="13" t="n"/>
      <c r="B120" s="14">
        <f>IF(A120="","",IF(COUNTIF(lst_Jobs,A120&amp;"")&gt;0,"OK","CHECK"))</f>
        <v/>
      </c>
      <c r="C120" s="14">
        <f>IF(A120="","",IFERROR(INDEX(lst_JobName,MATCH(A120&amp;"",lst_Jobs,0)),""))</f>
        <v/>
      </c>
      <c r="D120" s="14">
        <f>IF(A120="","",IFERROR(INDEX(tbl_Finance[Client],MATCH(A120&amp;"",tbl_Finance[Job Number],0)),""))</f>
        <v/>
      </c>
      <c r="E120" s="44">
        <f>IF(A120="","",COUNTIFS(tbl_Finance[Job Number],A120&amp;"",tbl_Finance[Ex GST],"&lt;&gt;"))</f>
        <v/>
      </c>
      <c r="F120" s="16">
        <f>IF(A120="","",SUMIFS(tbl_Finance[Ex GST],tbl_Finance[Job Number],A120&amp;""))</f>
        <v/>
      </c>
      <c r="G120" s="14">
        <f>IF(A120="","",IFERROR(INDEX(tbl_Finance[Cost Centre],MATCH(A120&amp;"",tbl_Finance[Job Number],0)),"not invoiced yet"))</f>
        <v/>
      </c>
      <c r="H120" s="13" t="n"/>
      <c r="I120" s="13" t="n"/>
      <c r="J120" s="15" t="n"/>
      <c r="K120" s="15" t="n"/>
      <c r="L120" s="15" t="n"/>
      <c r="M120" s="14">
        <f>IF(A120="","",IF(N(J120)+N(K120)+N(L120)=0,"Not split",IF(ROUND(N(J120)+N(K120)+N(L120),2)=ROUND(F120,2),"OK","MISMATCH")))</f>
        <v/>
      </c>
      <c r="N120" s="15" t="n"/>
      <c r="O120" s="15" t="n"/>
      <c r="P120" s="15" t="n"/>
      <c r="Q120" s="16">
        <f>IF(A120="","",N(N120)+N(O120)+N(P120))</f>
        <v/>
      </c>
      <c r="R120" s="16">
        <f>IF(A120="","",F120-Q120)</f>
        <v/>
      </c>
      <c r="S120" s="46">
        <f>IFERROR(R120/F120,"")</f>
        <v/>
      </c>
      <c r="T120" s="13" t="n"/>
    </row>
    <row r="121" ht="15" customHeight="1">
      <c r="A121" s="13" t="n"/>
      <c r="B121" s="14">
        <f>IF(A121="","",IF(COUNTIF(lst_Jobs,A121&amp;"")&gt;0,"OK","CHECK"))</f>
        <v/>
      </c>
      <c r="C121" s="14">
        <f>IF(A121="","",IFERROR(INDEX(lst_JobName,MATCH(A121&amp;"",lst_Jobs,0)),""))</f>
        <v/>
      </c>
      <c r="D121" s="14">
        <f>IF(A121="","",IFERROR(INDEX(tbl_Finance[Client],MATCH(A121&amp;"",tbl_Finance[Job Number],0)),""))</f>
        <v/>
      </c>
      <c r="E121" s="44">
        <f>IF(A121="","",COUNTIFS(tbl_Finance[Job Number],A121&amp;"",tbl_Finance[Ex GST],"&lt;&gt;"))</f>
        <v/>
      </c>
      <c r="F121" s="16">
        <f>IF(A121="","",SUMIFS(tbl_Finance[Ex GST],tbl_Finance[Job Number],A121&amp;""))</f>
        <v/>
      </c>
      <c r="G121" s="14">
        <f>IF(A121="","",IFERROR(INDEX(tbl_Finance[Cost Centre],MATCH(A121&amp;"",tbl_Finance[Job Number],0)),"not invoiced yet"))</f>
        <v/>
      </c>
      <c r="H121" s="13" t="n"/>
      <c r="I121" s="13" t="n"/>
      <c r="J121" s="15" t="n"/>
      <c r="K121" s="15" t="n"/>
      <c r="L121" s="15" t="n"/>
      <c r="M121" s="14">
        <f>IF(A121="","",IF(N(J121)+N(K121)+N(L121)=0,"Not split",IF(ROUND(N(J121)+N(K121)+N(L121),2)=ROUND(F121,2),"OK","MISMATCH")))</f>
        <v/>
      </c>
      <c r="N121" s="15" t="n"/>
      <c r="O121" s="15" t="n"/>
      <c r="P121" s="15" t="n"/>
      <c r="Q121" s="16">
        <f>IF(A121="","",N(N121)+N(O121)+N(P121))</f>
        <v/>
      </c>
      <c r="R121" s="16">
        <f>IF(A121="","",F121-Q121)</f>
        <v/>
      </c>
      <c r="S121" s="46">
        <f>IFERROR(R121/F121,"")</f>
        <v/>
      </c>
      <c r="T121" s="13" t="n"/>
    </row>
    <row r="122" ht="15" customHeight="1">
      <c r="A122" s="13" t="n"/>
      <c r="B122" s="14">
        <f>IF(A122="","",IF(COUNTIF(lst_Jobs,A122&amp;"")&gt;0,"OK","CHECK"))</f>
        <v/>
      </c>
      <c r="C122" s="14">
        <f>IF(A122="","",IFERROR(INDEX(lst_JobName,MATCH(A122&amp;"",lst_Jobs,0)),""))</f>
        <v/>
      </c>
      <c r="D122" s="14">
        <f>IF(A122="","",IFERROR(INDEX(tbl_Finance[Client],MATCH(A122&amp;"",tbl_Finance[Job Number],0)),""))</f>
        <v/>
      </c>
      <c r="E122" s="44">
        <f>IF(A122="","",COUNTIFS(tbl_Finance[Job Number],A122&amp;"",tbl_Finance[Ex GST],"&lt;&gt;"))</f>
        <v/>
      </c>
      <c r="F122" s="16">
        <f>IF(A122="","",SUMIFS(tbl_Finance[Ex GST],tbl_Finance[Job Number],A122&amp;""))</f>
        <v/>
      </c>
      <c r="G122" s="14">
        <f>IF(A122="","",IFERROR(INDEX(tbl_Finance[Cost Centre],MATCH(A122&amp;"",tbl_Finance[Job Number],0)),"not invoiced yet"))</f>
        <v/>
      </c>
      <c r="H122" s="13" t="n"/>
      <c r="I122" s="13" t="n"/>
      <c r="J122" s="15" t="n"/>
      <c r="K122" s="15" t="n"/>
      <c r="L122" s="15" t="n"/>
      <c r="M122" s="14">
        <f>IF(A122="","",IF(N(J122)+N(K122)+N(L122)=0,"Not split",IF(ROUND(N(J122)+N(K122)+N(L122),2)=ROUND(F122,2),"OK","MISMATCH")))</f>
        <v/>
      </c>
      <c r="N122" s="15" t="n"/>
      <c r="O122" s="15" t="n"/>
      <c r="P122" s="15" t="n"/>
      <c r="Q122" s="16">
        <f>IF(A122="","",N(N122)+N(O122)+N(P122))</f>
        <v/>
      </c>
      <c r="R122" s="16">
        <f>IF(A122="","",F122-Q122)</f>
        <v/>
      </c>
      <c r="S122" s="46">
        <f>IFERROR(R122/F122,"")</f>
        <v/>
      </c>
      <c r="T122" s="13" t="n"/>
    </row>
    <row r="123" ht="15" customHeight="1">
      <c r="A123" s="13" t="n"/>
      <c r="B123" s="14">
        <f>IF(A123="","",IF(COUNTIF(lst_Jobs,A123&amp;"")&gt;0,"OK","CHECK"))</f>
        <v/>
      </c>
      <c r="C123" s="14">
        <f>IF(A123="","",IFERROR(INDEX(lst_JobName,MATCH(A123&amp;"",lst_Jobs,0)),""))</f>
        <v/>
      </c>
      <c r="D123" s="14">
        <f>IF(A123="","",IFERROR(INDEX(tbl_Finance[Client],MATCH(A123&amp;"",tbl_Finance[Job Number],0)),""))</f>
        <v/>
      </c>
      <c r="E123" s="44">
        <f>IF(A123="","",COUNTIFS(tbl_Finance[Job Number],A123&amp;"",tbl_Finance[Ex GST],"&lt;&gt;"))</f>
        <v/>
      </c>
      <c r="F123" s="16">
        <f>IF(A123="","",SUMIFS(tbl_Finance[Ex GST],tbl_Finance[Job Number],A123&amp;""))</f>
        <v/>
      </c>
      <c r="G123" s="14">
        <f>IF(A123="","",IFERROR(INDEX(tbl_Finance[Cost Centre],MATCH(A123&amp;"",tbl_Finance[Job Number],0)),"not invoiced yet"))</f>
        <v/>
      </c>
      <c r="H123" s="13" t="n"/>
      <c r="I123" s="13" t="n"/>
      <c r="J123" s="15" t="n"/>
      <c r="K123" s="15" t="n"/>
      <c r="L123" s="15" t="n"/>
      <c r="M123" s="14">
        <f>IF(A123="","",IF(N(J123)+N(K123)+N(L123)=0,"Not split",IF(ROUND(N(J123)+N(K123)+N(L123),2)=ROUND(F123,2),"OK","MISMATCH")))</f>
        <v/>
      </c>
      <c r="N123" s="15" t="n"/>
      <c r="O123" s="15" t="n"/>
      <c r="P123" s="15" t="n"/>
      <c r="Q123" s="16">
        <f>IF(A123="","",N(N123)+N(O123)+N(P123))</f>
        <v/>
      </c>
      <c r="R123" s="16">
        <f>IF(A123="","",F123-Q123)</f>
        <v/>
      </c>
      <c r="S123" s="46">
        <f>IFERROR(R123/F123,"")</f>
        <v/>
      </c>
      <c r="T123" s="13" t="n"/>
    </row>
    <row r="124" ht="15" customHeight="1">
      <c r="A124" s="13" t="n"/>
      <c r="B124" s="14">
        <f>IF(A124="","",IF(COUNTIF(lst_Jobs,A124&amp;"")&gt;0,"OK","CHECK"))</f>
        <v/>
      </c>
      <c r="C124" s="14">
        <f>IF(A124="","",IFERROR(INDEX(lst_JobName,MATCH(A124&amp;"",lst_Jobs,0)),""))</f>
        <v/>
      </c>
      <c r="D124" s="14">
        <f>IF(A124="","",IFERROR(INDEX(tbl_Finance[Client],MATCH(A124&amp;"",tbl_Finance[Job Number],0)),""))</f>
        <v/>
      </c>
      <c r="E124" s="44">
        <f>IF(A124="","",COUNTIFS(tbl_Finance[Job Number],A124&amp;"",tbl_Finance[Ex GST],"&lt;&gt;"))</f>
        <v/>
      </c>
      <c r="F124" s="16">
        <f>IF(A124="","",SUMIFS(tbl_Finance[Ex GST],tbl_Finance[Job Number],A124&amp;""))</f>
        <v/>
      </c>
      <c r="G124" s="14">
        <f>IF(A124="","",IFERROR(INDEX(tbl_Finance[Cost Centre],MATCH(A124&amp;"",tbl_Finance[Job Number],0)),"not invoiced yet"))</f>
        <v/>
      </c>
      <c r="H124" s="13" t="n"/>
      <c r="I124" s="13" t="n"/>
      <c r="J124" s="15" t="n"/>
      <c r="K124" s="15" t="n"/>
      <c r="L124" s="15" t="n"/>
      <c r="M124" s="14">
        <f>IF(A124="","",IF(N(J124)+N(K124)+N(L124)=0,"Not split",IF(ROUND(N(J124)+N(K124)+N(L124),2)=ROUND(F124,2),"OK","MISMATCH")))</f>
        <v/>
      </c>
      <c r="N124" s="15" t="n"/>
      <c r="O124" s="15" t="n"/>
      <c r="P124" s="15" t="n"/>
      <c r="Q124" s="16">
        <f>IF(A124="","",N(N124)+N(O124)+N(P124))</f>
        <v/>
      </c>
      <c r="R124" s="16">
        <f>IF(A124="","",F124-Q124)</f>
        <v/>
      </c>
      <c r="S124" s="46">
        <f>IFERROR(R124/F124,"")</f>
        <v/>
      </c>
      <c r="T124" s="13" t="n"/>
    </row>
    <row r="125" ht="15" customHeight="1">
      <c r="A125" s="13" t="n"/>
      <c r="B125" s="14">
        <f>IF(A125="","",IF(COUNTIF(lst_Jobs,A125&amp;"")&gt;0,"OK","CHECK"))</f>
        <v/>
      </c>
      <c r="C125" s="14">
        <f>IF(A125="","",IFERROR(INDEX(lst_JobName,MATCH(A125&amp;"",lst_Jobs,0)),""))</f>
        <v/>
      </c>
      <c r="D125" s="14">
        <f>IF(A125="","",IFERROR(INDEX(tbl_Finance[Client],MATCH(A125&amp;"",tbl_Finance[Job Number],0)),""))</f>
        <v/>
      </c>
      <c r="E125" s="44">
        <f>IF(A125="","",COUNTIFS(tbl_Finance[Job Number],A125&amp;"",tbl_Finance[Ex GST],"&lt;&gt;"))</f>
        <v/>
      </c>
      <c r="F125" s="16">
        <f>IF(A125="","",SUMIFS(tbl_Finance[Ex GST],tbl_Finance[Job Number],A125&amp;""))</f>
        <v/>
      </c>
      <c r="G125" s="14">
        <f>IF(A125="","",IFERROR(INDEX(tbl_Finance[Cost Centre],MATCH(A125&amp;"",tbl_Finance[Job Number],0)),"not invoiced yet"))</f>
        <v/>
      </c>
      <c r="H125" s="13" t="n"/>
      <c r="I125" s="13" t="n"/>
      <c r="J125" s="15" t="n"/>
      <c r="K125" s="15" t="n"/>
      <c r="L125" s="15" t="n"/>
      <c r="M125" s="14">
        <f>IF(A125="","",IF(N(J125)+N(K125)+N(L125)=0,"Not split",IF(ROUND(N(J125)+N(K125)+N(L125),2)=ROUND(F125,2),"OK","MISMATCH")))</f>
        <v/>
      </c>
      <c r="N125" s="15" t="n"/>
      <c r="O125" s="15" t="n"/>
      <c r="P125" s="15" t="n"/>
      <c r="Q125" s="16">
        <f>IF(A125="","",N(N125)+N(O125)+N(P125))</f>
        <v/>
      </c>
      <c r="R125" s="16">
        <f>IF(A125="","",F125-Q125)</f>
        <v/>
      </c>
      <c r="S125" s="46">
        <f>IFERROR(R125/F125,"")</f>
        <v/>
      </c>
      <c r="T125" s="13" t="n"/>
    </row>
    <row r="126" ht="15" customHeight="1">
      <c r="A126" s="13" t="n"/>
      <c r="B126" s="14">
        <f>IF(A126="","",IF(COUNTIF(lst_Jobs,A126&amp;"")&gt;0,"OK","CHECK"))</f>
        <v/>
      </c>
      <c r="C126" s="14">
        <f>IF(A126="","",IFERROR(INDEX(lst_JobName,MATCH(A126&amp;"",lst_Jobs,0)),""))</f>
        <v/>
      </c>
      <c r="D126" s="14">
        <f>IF(A126="","",IFERROR(INDEX(tbl_Finance[Client],MATCH(A126&amp;"",tbl_Finance[Job Number],0)),""))</f>
        <v/>
      </c>
      <c r="E126" s="44">
        <f>IF(A126="","",COUNTIFS(tbl_Finance[Job Number],A126&amp;"",tbl_Finance[Ex GST],"&lt;&gt;"))</f>
        <v/>
      </c>
      <c r="F126" s="16">
        <f>IF(A126="","",SUMIFS(tbl_Finance[Ex GST],tbl_Finance[Job Number],A126&amp;""))</f>
        <v/>
      </c>
      <c r="G126" s="14">
        <f>IF(A126="","",IFERROR(INDEX(tbl_Finance[Cost Centre],MATCH(A126&amp;"",tbl_Finance[Job Number],0)),"not invoiced yet"))</f>
        <v/>
      </c>
      <c r="H126" s="13" t="n"/>
      <c r="I126" s="13" t="n"/>
      <c r="J126" s="15" t="n"/>
      <c r="K126" s="15" t="n"/>
      <c r="L126" s="15" t="n"/>
      <c r="M126" s="14">
        <f>IF(A126="","",IF(N(J126)+N(K126)+N(L126)=0,"Not split",IF(ROUND(N(J126)+N(K126)+N(L126),2)=ROUND(F126,2),"OK","MISMATCH")))</f>
        <v/>
      </c>
      <c r="N126" s="15" t="n"/>
      <c r="O126" s="15" t="n"/>
      <c r="P126" s="15" t="n"/>
      <c r="Q126" s="16">
        <f>IF(A126="","",N(N126)+N(O126)+N(P126))</f>
        <v/>
      </c>
      <c r="R126" s="16">
        <f>IF(A126="","",F126-Q126)</f>
        <v/>
      </c>
      <c r="S126" s="46">
        <f>IFERROR(R126/F126,"")</f>
        <v/>
      </c>
      <c r="T126" s="13" t="n"/>
    </row>
    <row r="127" ht="15" customHeight="1">
      <c r="A127" s="13" t="n"/>
      <c r="B127" s="14">
        <f>IF(A127="","",IF(COUNTIF(lst_Jobs,A127&amp;"")&gt;0,"OK","CHECK"))</f>
        <v/>
      </c>
      <c r="C127" s="14">
        <f>IF(A127="","",IFERROR(INDEX(lst_JobName,MATCH(A127&amp;"",lst_Jobs,0)),""))</f>
        <v/>
      </c>
      <c r="D127" s="14">
        <f>IF(A127="","",IFERROR(INDEX(tbl_Finance[Client],MATCH(A127&amp;"",tbl_Finance[Job Number],0)),""))</f>
        <v/>
      </c>
      <c r="E127" s="44">
        <f>IF(A127="","",COUNTIFS(tbl_Finance[Job Number],A127&amp;"",tbl_Finance[Ex GST],"&lt;&gt;"))</f>
        <v/>
      </c>
      <c r="F127" s="16">
        <f>IF(A127="","",SUMIFS(tbl_Finance[Ex GST],tbl_Finance[Job Number],A127&amp;""))</f>
        <v/>
      </c>
      <c r="G127" s="14">
        <f>IF(A127="","",IFERROR(INDEX(tbl_Finance[Cost Centre],MATCH(A127&amp;"",tbl_Finance[Job Number],0)),"not invoiced yet"))</f>
        <v/>
      </c>
      <c r="H127" s="13" t="n"/>
      <c r="I127" s="13" t="n"/>
      <c r="J127" s="15" t="n"/>
      <c r="K127" s="15" t="n"/>
      <c r="L127" s="15" t="n"/>
      <c r="M127" s="14">
        <f>IF(A127="","",IF(N(J127)+N(K127)+N(L127)=0,"Not split",IF(ROUND(N(J127)+N(K127)+N(L127),2)=ROUND(F127,2),"OK","MISMATCH")))</f>
        <v/>
      </c>
      <c r="N127" s="15" t="n"/>
      <c r="O127" s="15" t="n"/>
      <c r="P127" s="15" t="n"/>
      <c r="Q127" s="16">
        <f>IF(A127="","",N(N127)+N(O127)+N(P127))</f>
        <v/>
      </c>
      <c r="R127" s="16">
        <f>IF(A127="","",F127-Q127)</f>
        <v/>
      </c>
      <c r="S127" s="46">
        <f>IFERROR(R127/F127,"")</f>
        <v/>
      </c>
      <c r="T127" s="13" t="n"/>
    </row>
    <row r="128" ht="15" customHeight="1">
      <c r="A128" s="13" t="n"/>
      <c r="B128" s="14">
        <f>IF(A128="","",IF(COUNTIF(lst_Jobs,A128&amp;"")&gt;0,"OK","CHECK"))</f>
        <v/>
      </c>
      <c r="C128" s="14">
        <f>IF(A128="","",IFERROR(INDEX(lst_JobName,MATCH(A128&amp;"",lst_Jobs,0)),""))</f>
        <v/>
      </c>
      <c r="D128" s="14">
        <f>IF(A128="","",IFERROR(INDEX(tbl_Finance[Client],MATCH(A128&amp;"",tbl_Finance[Job Number],0)),""))</f>
        <v/>
      </c>
      <c r="E128" s="44">
        <f>IF(A128="","",COUNTIFS(tbl_Finance[Job Number],A128&amp;"",tbl_Finance[Ex GST],"&lt;&gt;"))</f>
        <v/>
      </c>
      <c r="F128" s="16">
        <f>IF(A128="","",SUMIFS(tbl_Finance[Ex GST],tbl_Finance[Job Number],A128&amp;""))</f>
        <v/>
      </c>
      <c r="G128" s="14">
        <f>IF(A128="","",IFERROR(INDEX(tbl_Finance[Cost Centre],MATCH(A128&amp;"",tbl_Finance[Job Number],0)),"not invoiced yet"))</f>
        <v/>
      </c>
      <c r="H128" s="13" t="n"/>
      <c r="I128" s="13" t="n"/>
      <c r="J128" s="15" t="n"/>
      <c r="K128" s="15" t="n"/>
      <c r="L128" s="15" t="n"/>
      <c r="M128" s="14">
        <f>IF(A128="","",IF(N(J128)+N(K128)+N(L128)=0,"Not split",IF(ROUND(N(J128)+N(K128)+N(L128),2)=ROUND(F128,2),"OK","MISMATCH")))</f>
        <v/>
      </c>
      <c r="N128" s="15" t="n"/>
      <c r="O128" s="15" t="n"/>
      <c r="P128" s="15" t="n"/>
      <c r="Q128" s="16">
        <f>IF(A128="","",N(N128)+N(O128)+N(P128))</f>
        <v/>
      </c>
      <c r="R128" s="16">
        <f>IF(A128="","",F128-Q128)</f>
        <v/>
      </c>
      <c r="S128" s="46">
        <f>IFERROR(R128/F128,"")</f>
        <v/>
      </c>
      <c r="T128" s="13" t="n"/>
    </row>
    <row r="129" ht="15" customHeight="1">
      <c r="A129" s="13" t="n"/>
      <c r="B129" s="14">
        <f>IF(A129="","",IF(COUNTIF(lst_Jobs,A129&amp;"")&gt;0,"OK","CHECK"))</f>
        <v/>
      </c>
      <c r="C129" s="14">
        <f>IF(A129="","",IFERROR(INDEX(lst_JobName,MATCH(A129&amp;"",lst_Jobs,0)),""))</f>
        <v/>
      </c>
      <c r="D129" s="14">
        <f>IF(A129="","",IFERROR(INDEX(tbl_Finance[Client],MATCH(A129&amp;"",tbl_Finance[Job Number],0)),""))</f>
        <v/>
      </c>
      <c r="E129" s="44">
        <f>IF(A129="","",COUNTIFS(tbl_Finance[Job Number],A129&amp;"",tbl_Finance[Ex GST],"&lt;&gt;"))</f>
        <v/>
      </c>
      <c r="F129" s="16">
        <f>IF(A129="","",SUMIFS(tbl_Finance[Ex GST],tbl_Finance[Job Number],A129&amp;""))</f>
        <v/>
      </c>
      <c r="G129" s="14">
        <f>IF(A129="","",IFERROR(INDEX(tbl_Finance[Cost Centre],MATCH(A129&amp;"",tbl_Finance[Job Number],0)),"not invoiced yet"))</f>
        <v/>
      </c>
      <c r="H129" s="13" t="n"/>
      <c r="I129" s="13" t="n"/>
      <c r="J129" s="15" t="n"/>
      <c r="K129" s="15" t="n"/>
      <c r="L129" s="15" t="n"/>
      <c r="M129" s="14">
        <f>IF(A129="","",IF(N(J129)+N(K129)+N(L129)=0,"Not split",IF(ROUND(N(J129)+N(K129)+N(L129),2)=ROUND(F129,2),"OK","MISMATCH")))</f>
        <v/>
      </c>
      <c r="N129" s="15" t="n"/>
      <c r="O129" s="15" t="n"/>
      <c r="P129" s="15" t="n"/>
      <c r="Q129" s="16">
        <f>IF(A129="","",N(N129)+N(O129)+N(P129))</f>
        <v/>
      </c>
      <c r="R129" s="16">
        <f>IF(A129="","",F129-Q129)</f>
        <v/>
      </c>
      <c r="S129" s="46">
        <f>IFERROR(R129/F129,"")</f>
        <v/>
      </c>
      <c r="T129" s="13" t="n"/>
    </row>
    <row r="130" ht="15" customHeight="1">
      <c r="A130" s="13" t="n"/>
      <c r="B130" s="14">
        <f>IF(A130="","",IF(COUNTIF(lst_Jobs,A130&amp;"")&gt;0,"OK","CHECK"))</f>
        <v/>
      </c>
      <c r="C130" s="14">
        <f>IF(A130="","",IFERROR(INDEX(lst_JobName,MATCH(A130&amp;"",lst_Jobs,0)),""))</f>
        <v/>
      </c>
      <c r="D130" s="14">
        <f>IF(A130="","",IFERROR(INDEX(tbl_Finance[Client],MATCH(A130&amp;"",tbl_Finance[Job Number],0)),""))</f>
        <v/>
      </c>
      <c r="E130" s="44">
        <f>IF(A130="","",COUNTIFS(tbl_Finance[Job Number],A130&amp;"",tbl_Finance[Ex GST],"&lt;&gt;"))</f>
        <v/>
      </c>
      <c r="F130" s="16">
        <f>IF(A130="","",SUMIFS(tbl_Finance[Ex GST],tbl_Finance[Job Number],A130&amp;""))</f>
        <v/>
      </c>
      <c r="G130" s="14">
        <f>IF(A130="","",IFERROR(INDEX(tbl_Finance[Cost Centre],MATCH(A130&amp;"",tbl_Finance[Job Number],0)),"not invoiced yet"))</f>
        <v/>
      </c>
      <c r="H130" s="13" t="n"/>
      <c r="I130" s="13" t="n"/>
      <c r="J130" s="15" t="n"/>
      <c r="K130" s="15" t="n"/>
      <c r="L130" s="15" t="n"/>
      <c r="M130" s="14">
        <f>IF(A130="","",IF(N(J130)+N(K130)+N(L130)=0,"Not split",IF(ROUND(N(J130)+N(K130)+N(L130),2)=ROUND(F130,2),"OK","MISMATCH")))</f>
        <v/>
      </c>
      <c r="N130" s="15" t="n"/>
      <c r="O130" s="15" t="n"/>
      <c r="P130" s="15" t="n"/>
      <c r="Q130" s="16">
        <f>IF(A130="","",N(N130)+N(O130)+N(P130))</f>
        <v/>
      </c>
      <c r="R130" s="16">
        <f>IF(A130="","",F130-Q130)</f>
        <v/>
      </c>
      <c r="S130" s="46">
        <f>IFERROR(R130/F130,"")</f>
        <v/>
      </c>
      <c r="T130" s="13" t="n"/>
    </row>
    <row r="131" ht="15" customHeight="1">
      <c r="A131" s="13" t="n"/>
      <c r="B131" s="14">
        <f>IF(A131="","",IF(COUNTIF(lst_Jobs,A131&amp;"")&gt;0,"OK","CHECK"))</f>
        <v/>
      </c>
      <c r="C131" s="14">
        <f>IF(A131="","",IFERROR(INDEX(lst_JobName,MATCH(A131&amp;"",lst_Jobs,0)),""))</f>
        <v/>
      </c>
      <c r="D131" s="14">
        <f>IF(A131="","",IFERROR(INDEX(tbl_Finance[Client],MATCH(A131&amp;"",tbl_Finance[Job Number],0)),""))</f>
        <v/>
      </c>
      <c r="E131" s="44">
        <f>IF(A131="","",COUNTIFS(tbl_Finance[Job Number],A131&amp;"",tbl_Finance[Ex GST],"&lt;&gt;"))</f>
        <v/>
      </c>
      <c r="F131" s="16">
        <f>IF(A131="","",SUMIFS(tbl_Finance[Ex GST],tbl_Finance[Job Number],A131&amp;""))</f>
        <v/>
      </c>
      <c r="G131" s="14">
        <f>IF(A131="","",IFERROR(INDEX(tbl_Finance[Cost Centre],MATCH(A131&amp;"",tbl_Finance[Job Number],0)),"not invoiced yet"))</f>
        <v/>
      </c>
      <c r="H131" s="13" t="n"/>
      <c r="I131" s="13" t="n"/>
      <c r="J131" s="15" t="n"/>
      <c r="K131" s="15" t="n"/>
      <c r="L131" s="15" t="n"/>
      <c r="M131" s="14">
        <f>IF(A131="","",IF(N(J131)+N(K131)+N(L131)=0,"Not split",IF(ROUND(N(J131)+N(K131)+N(L131),2)=ROUND(F131,2),"OK","MISMATCH")))</f>
        <v/>
      </c>
      <c r="N131" s="15" t="n"/>
      <c r="O131" s="15" t="n"/>
      <c r="P131" s="15" t="n"/>
      <c r="Q131" s="16">
        <f>IF(A131="","",N(N131)+N(O131)+N(P131))</f>
        <v/>
      </c>
      <c r="R131" s="16">
        <f>IF(A131="","",F131-Q131)</f>
        <v/>
      </c>
      <c r="S131" s="46">
        <f>IFERROR(R131/F131,"")</f>
        <v/>
      </c>
      <c r="T131" s="13" t="n"/>
    </row>
    <row r="132" ht="15" customHeight="1">
      <c r="A132" s="13" t="n"/>
      <c r="B132" s="14">
        <f>IF(A132="","",IF(COUNTIF(lst_Jobs,A132&amp;"")&gt;0,"OK","CHECK"))</f>
        <v/>
      </c>
      <c r="C132" s="14">
        <f>IF(A132="","",IFERROR(INDEX(lst_JobName,MATCH(A132&amp;"",lst_Jobs,0)),""))</f>
        <v/>
      </c>
      <c r="D132" s="14">
        <f>IF(A132="","",IFERROR(INDEX(tbl_Finance[Client],MATCH(A132&amp;"",tbl_Finance[Job Number],0)),""))</f>
        <v/>
      </c>
      <c r="E132" s="44">
        <f>IF(A132="","",COUNTIFS(tbl_Finance[Job Number],A132&amp;"",tbl_Finance[Ex GST],"&lt;&gt;"))</f>
        <v/>
      </c>
      <c r="F132" s="16">
        <f>IF(A132="","",SUMIFS(tbl_Finance[Ex GST],tbl_Finance[Job Number],A132&amp;""))</f>
        <v/>
      </c>
      <c r="G132" s="14">
        <f>IF(A132="","",IFERROR(INDEX(tbl_Finance[Cost Centre],MATCH(A132&amp;"",tbl_Finance[Job Number],0)),"not invoiced yet"))</f>
        <v/>
      </c>
      <c r="H132" s="13" t="n"/>
      <c r="I132" s="13" t="n"/>
      <c r="J132" s="15" t="n"/>
      <c r="K132" s="15" t="n"/>
      <c r="L132" s="15" t="n"/>
      <c r="M132" s="14">
        <f>IF(A132="","",IF(N(J132)+N(K132)+N(L132)=0,"Not split",IF(ROUND(N(J132)+N(K132)+N(L132),2)=ROUND(F132,2),"OK","MISMATCH")))</f>
        <v/>
      </c>
      <c r="N132" s="15" t="n"/>
      <c r="O132" s="15" t="n"/>
      <c r="P132" s="15" t="n"/>
      <c r="Q132" s="16">
        <f>IF(A132="","",N(N132)+N(O132)+N(P132))</f>
        <v/>
      </c>
      <c r="R132" s="16">
        <f>IF(A132="","",F132-Q132)</f>
        <v/>
      </c>
      <c r="S132" s="46">
        <f>IFERROR(R132/F132,"")</f>
        <v/>
      </c>
      <c r="T132" s="13" t="n"/>
    </row>
    <row r="133" ht="15" customHeight="1">
      <c r="A133" s="13" t="n"/>
      <c r="B133" s="14">
        <f>IF(A133="","",IF(COUNTIF(lst_Jobs,A133&amp;"")&gt;0,"OK","CHECK"))</f>
        <v/>
      </c>
      <c r="C133" s="14">
        <f>IF(A133="","",IFERROR(INDEX(lst_JobName,MATCH(A133&amp;"",lst_Jobs,0)),""))</f>
        <v/>
      </c>
      <c r="D133" s="14">
        <f>IF(A133="","",IFERROR(INDEX(tbl_Finance[Client],MATCH(A133&amp;"",tbl_Finance[Job Number],0)),""))</f>
        <v/>
      </c>
      <c r="E133" s="44">
        <f>IF(A133="","",COUNTIFS(tbl_Finance[Job Number],A133&amp;"",tbl_Finance[Ex GST],"&lt;&gt;"))</f>
        <v/>
      </c>
      <c r="F133" s="16">
        <f>IF(A133="","",SUMIFS(tbl_Finance[Ex GST],tbl_Finance[Job Number],A133&amp;""))</f>
        <v/>
      </c>
      <c r="G133" s="14">
        <f>IF(A133="","",IFERROR(INDEX(tbl_Finance[Cost Centre],MATCH(A133&amp;"",tbl_Finance[Job Number],0)),"not invoiced yet"))</f>
        <v/>
      </c>
      <c r="H133" s="13" t="n"/>
      <c r="I133" s="13" t="n"/>
      <c r="J133" s="15" t="n"/>
      <c r="K133" s="15" t="n"/>
      <c r="L133" s="15" t="n"/>
      <c r="M133" s="14">
        <f>IF(A133="","",IF(N(J133)+N(K133)+N(L133)=0,"Not split",IF(ROUND(N(J133)+N(K133)+N(L133),2)=ROUND(F133,2),"OK","MISMATCH")))</f>
        <v/>
      </c>
      <c r="N133" s="15" t="n"/>
      <c r="O133" s="15" t="n"/>
      <c r="P133" s="15" t="n"/>
      <c r="Q133" s="16">
        <f>IF(A133="","",N(N133)+N(O133)+N(P133))</f>
        <v/>
      </c>
      <c r="R133" s="16">
        <f>IF(A133="","",F133-Q133)</f>
        <v/>
      </c>
      <c r="S133" s="46">
        <f>IFERROR(R133/F133,"")</f>
        <v/>
      </c>
      <c r="T133" s="13" t="n"/>
    </row>
    <row r="134" ht="15" customHeight="1">
      <c r="A134" s="13" t="n"/>
      <c r="B134" s="14">
        <f>IF(A134="","",IF(COUNTIF(lst_Jobs,A134&amp;"")&gt;0,"OK","CHECK"))</f>
        <v/>
      </c>
      <c r="C134" s="14">
        <f>IF(A134="","",IFERROR(INDEX(lst_JobName,MATCH(A134&amp;"",lst_Jobs,0)),""))</f>
        <v/>
      </c>
      <c r="D134" s="14">
        <f>IF(A134="","",IFERROR(INDEX(tbl_Finance[Client],MATCH(A134&amp;"",tbl_Finance[Job Number],0)),""))</f>
        <v/>
      </c>
      <c r="E134" s="44">
        <f>IF(A134="","",COUNTIFS(tbl_Finance[Job Number],A134&amp;"",tbl_Finance[Ex GST],"&lt;&gt;"))</f>
        <v/>
      </c>
      <c r="F134" s="16">
        <f>IF(A134="","",SUMIFS(tbl_Finance[Ex GST],tbl_Finance[Job Number],A134&amp;""))</f>
        <v/>
      </c>
      <c r="G134" s="14">
        <f>IF(A134="","",IFERROR(INDEX(tbl_Finance[Cost Centre],MATCH(A134&amp;"",tbl_Finance[Job Number],0)),"not invoiced yet"))</f>
        <v/>
      </c>
      <c r="H134" s="13" t="n"/>
      <c r="I134" s="13" t="n"/>
      <c r="J134" s="15" t="n"/>
      <c r="K134" s="15" t="n"/>
      <c r="L134" s="15" t="n"/>
      <c r="M134" s="14">
        <f>IF(A134="","",IF(N(J134)+N(K134)+N(L134)=0,"Not split",IF(ROUND(N(J134)+N(K134)+N(L134),2)=ROUND(F134,2),"OK","MISMATCH")))</f>
        <v/>
      </c>
      <c r="N134" s="15" t="n"/>
      <c r="O134" s="15" t="n"/>
      <c r="P134" s="15" t="n"/>
      <c r="Q134" s="16">
        <f>IF(A134="","",N(N134)+N(O134)+N(P134))</f>
        <v/>
      </c>
      <c r="R134" s="16">
        <f>IF(A134="","",F134-Q134)</f>
        <v/>
      </c>
      <c r="S134" s="46">
        <f>IFERROR(R134/F134,"")</f>
        <v/>
      </c>
      <c r="T134" s="13" t="n"/>
    </row>
    <row r="135" ht="15" customHeight="1">
      <c r="A135" s="13" t="n"/>
      <c r="B135" s="14">
        <f>IF(A135="","",IF(COUNTIF(lst_Jobs,A135&amp;"")&gt;0,"OK","CHECK"))</f>
        <v/>
      </c>
      <c r="C135" s="14">
        <f>IF(A135="","",IFERROR(INDEX(lst_JobName,MATCH(A135&amp;"",lst_Jobs,0)),""))</f>
        <v/>
      </c>
      <c r="D135" s="14">
        <f>IF(A135="","",IFERROR(INDEX(tbl_Finance[Client],MATCH(A135&amp;"",tbl_Finance[Job Number],0)),""))</f>
        <v/>
      </c>
      <c r="E135" s="44">
        <f>IF(A135="","",COUNTIFS(tbl_Finance[Job Number],A135&amp;"",tbl_Finance[Ex GST],"&lt;&gt;"))</f>
        <v/>
      </c>
      <c r="F135" s="16">
        <f>IF(A135="","",SUMIFS(tbl_Finance[Ex GST],tbl_Finance[Job Number],A135&amp;""))</f>
        <v/>
      </c>
      <c r="G135" s="14">
        <f>IF(A135="","",IFERROR(INDEX(tbl_Finance[Cost Centre],MATCH(A135&amp;"",tbl_Finance[Job Number],0)),"not invoiced yet"))</f>
        <v/>
      </c>
      <c r="H135" s="13" t="n"/>
      <c r="I135" s="13" t="n"/>
      <c r="J135" s="15" t="n"/>
      <c r="K135" s="15" t="n"/>
      <c r="L135" s="15" t="n"/>
      <c r="M135" s="14">
        <f>IF(A135="","",IF(N(J135)+N(K135)+N(L135)=0,"Not split",IF(ROUND(N(J135)+N(K135)+N(L135),2)=ROUND(F135,2),"OK","MISMATCH")))</f>
        <v/>
      </c>
      <c r="N135" s="15" t="n"/>
      <c r="O135" s="15" t="n"/>
      <c r="P135" s="15" t="n"/>
      <c r="Q135" s="16">
        <f>IF(A135="","",N(N135)+N(O135)+N(P135))</f>
        <v/>
      </c>
      <c r="R135" s="16">
        <f>IF(A135="","",F135-Q135)</f>
        <v/>
      </c>
      <c r="S135" s="46">
        <f>IFERROR(R135/F135,"")</f>
        <v/>
      </c>
      <c r="T135" s="13" t="n"/>
    </row>
    <row r="136" ht="15" customHeight="1">
      <c r="A136" s="13" t="n"/>
      <c r="B136" s="14">
        <f>IF(A136="","",IF(COUNTIF(lst_Jobs,A136&amp;"")&gt;0,"OK","CHECK"))</f>
        <v/>
      </c>
      <c r="C136" s="14">
        <f>IF(A136="","",IFERROR(INDEX(lst_JobName,MATCH(A136&amp;"",lst_Jobs,0)),""))</f>
        <v/>
      </c>
      <c r="D136" s="14">
        <f>IF(A136="","",IFERROR(INDEX(tbl_Finance[Client],MATCH(A136&amp;"",tbl_Finance[Job Number],0)),""))</f>
        <v/>
      </c>
      <c r="E136" s="44">
        <f>IF(A136="","",COUNTIFS(tbl_Finance[Job Number],A136&amp;"",tbl_Finance[Ex GST],"&lt;&gt;"))</f>
        <v/>
      </c>
      <c r="F136" s="16">
        <f>IF(A136="","",SUMIFS(tbl_Finance[Ex GST],tbl_Finance[Job Number],A136&amp;""))</f>
        <v/>
      </c>
      <c r="G136" s="14">
        <f>IF(A136="","",IFERROR(INDEX(tbl_Finance[Cost Centre],MATCH(A136&amp;"",tbl_Finance[Job Number],0)),"not invoiced yet"))</f>
        <v/>
      </c>
      <c r="H136" s="13" t="n"/>
      <c r="I136" s="13" t="n"/>
      <c r="J136" s="15" t="n"/>
      <c r="K136" s="15" t="n"/>
      <c r="L136" s="15" t="n"/>
      <c r="M136" s="14">
        <f>IF(A136="","",IF(N(J136)+N(K136)+N(L136)=0,"Not split",IF(ROUND(N(J136)+N(K136)+N(L136),2)=ROUND(F136,2),"OK","MISMATCH")))</f>
        <v/>
      </c>
      <c r="N136" s="15" t="n"/>
      <c r="O136" s="15" t="n"/>
      <c r="P136" s="15" t="n"/>
      <c r="Q136" s="16">
        <f>IF(A136="","",N(N136)+N(O136)+N(P136))</f>
        <v/>
      </c>
      <c r="R136" s="16">
        <f>IF(A136="","",F136-Q136)</f>
        <v/>
      </c>
      <c r="S136" s="46">
        <f>IFERROR(R136/F136,"")</f>
        <v/>
      </c>
      <c r="T136" s="13" t="n"/>
    </row>
    <row r="137" ht="15" customHeight="1">
      <c r="A137" s="13" t="n"/>
      <c r="B137" s="14">
        <f>IF(A137="","",IF(COUNTIF(lst_Jobs,A137&amp;"")&gt;0,"OK","CHECK"))</f>
        <v/>
      </c>
      <c r="C137" s="14">
        <f>IF(A137="","",IFERROR(INDEX(lst_JobName,MATCH(A137&amp;"",lst_Jobs,0)),""))</f>
        <v/>
      </c>
      <c r="D137" s="14">
        <f>IF(A137="","",IFERROR(INDEX(tbl_Finance[Client],MATCH(A137&amp;"",tbl_Finance[Job Number],0)),""))</f>
        <v/>
      </c>
      <c r="E137" s="44">
        <f>IF(A137="","",COUNTIFS(tbl_Finance[Job Number],A137&amp;"",tbl_Finance[Ex GST],"&lt;&gt;"))</f>
        <v/>
      </c>
      <c r="F137" s="16">
        <f>IF(A137="","",SUMIFS(tbl_Finance[Ex GST],tbl_Finance[Job Number],A137&amp;""))</f>
        <v/>
      </c>
      <c r="G137" s="14">
        <f>IF(A137="","",IFERROR(INDEX(tbl_Finance[Cost Centre],MATCH(A137&amp;"",tbl_Finance[Job Number],0)),"not invoiced yet"))</f>
        <v/>
      </c>
      <c r="H137" s="13" t="n"/>
      <c r="I137" s="13" t="n"/>
      <c r="J137" s="15" t="n"/>
      <c r="K137" s="15" t="n"/>
      <c r="L137" s="15" t="n"/>
      <c r="M137" s="14">
        <f>IF(A137="","",IF(N(J137)+N(K137)+N(L137)=0,"Not split",IF(ROUND(N(J137)+N(K137)+N(L137),2)=ROUND(F137,2),"OK","MISMATCH")))</f>
        <v/>
      </c>
      <c r="N137" s="15" t="n"/>
      <c r="O137" s="15" t="n"/>
      <c r="P137" s="15" t="n"/>
      <c r="Q137" s="16">
        <f>IF(A137="","",N(N137)+N(O137)+N(P137))</f>
        <v/>
      </c>
      <c r="R137" s="16">
        <f>IF(A137="","",F137-Q137)</f>
        <v/>
      </c>
      <c r="S137" s="46">
        <f>IFERROR(R137/F137,"")</f>
        <v/>
      </c>
      <c r="T137" s="13" t="n"/>
    </row>
    <row r="138" ht="15" customHeight="1">
      <c r="A138" s="13" t="n"/>
      <c r="B138" s="14">
        <f>IF(A138="","",IF(COUNTIF(lst_Jobs,A138&amp;"")&gt;0,"OK","CHECK"))</f>
        <v/>
      </c>
      <c r="C138" s="14">
        <f>IF(A138="","",IFERROR(INDEX(lst_JobName,MATCH(A138&amp;"",lst_Jobs,0)),""))</f>
        <v/>
      </c>
      <c r="D138" s="14">
        <f>IF(A138="","",IFERROR(INDEX(tbl_Finance[Client],MATCH(A138&amp;"",tbl_Finance[Job Number],0)),""))</f>
        <v/>
      </c>
      <c r="E138" s="44">
        <f>IF(A138="","",COUNTIFS(tbl_Finance[Job Number],A138&amp;"",tbl_Finance[Ex GST],"&lt;&gt;"))</f>
        <v/>
      </c>
      <c r="F138" s="16">
        <f>IF(A138="","",SUMIFS(tbl_Finance[Ex GST],tbl_Finance[Job Number],A138&amp;""))</f>
        <v/>
      </c>
      <c r="G138" s="14">
        <f>IF(A138="","",IFERROR(INDEX(tbl_Finance[Cost Centre],MATCH(A138&amp;"",tbl_Finance[Job Number],0)),"not invoiced yet"))</f>
        <v/>
      </c>
      <c r="H138" s="13" t="n"/>
      <c r="I138" s="13" t="n"/>
      <c r="J138" s="15" t="n"/>
      <c r="K138" s="15" t="n"/>
      <c r="L138" s="15" t="n"/>
      <c r="M138" s="14">
        <f>IF(A138="","",IF(N(J138)+N(K138)+N(L138)=0,"Not split",IF(ROUND(N(J138)+N(K138)+N(L138),2)=ROUND(F138,2),"OK","MISMATCH")))</f>
        <v/>
      </c>
      <c r="N138" s="15" t="n"/>
      <c r="O138" s="15" t="n"/>
      <c r="P138" s="15" t="n"/>
      <c r="Q138" s="16">
        <f>IF(A138="","",N(N138)+N(O138)+N(P138))</f>
        <v/>
      </c>
      <c r="R138" s="16">
        <f>IF(A138="","",F138-Q138)</f>
        <v/>
      </c>
      <c r="S138" s="46">
        <f>IFERROR(R138/F138,"")</f>
        <v/>
      </c>
      <c r="T138" s="13" t="n"/>
    </row>
    <row r="139" ht="15" customHeight="1">
      <c r="A139" s="13" t="n"/>
      <c r="B139" s="14">
        <f>IF(A139="","",IF(COUNTIF(lst_Jobs,A139&amp;"")&gt;0,"OK","CHECK"))</f>
        <v/>
      </c>
      <c r="C139" s="14">
        <f>IF(A139="","",IFERROR(INDEX(lst_JobName,MATCH(A139&amp;"",lst_Jobs,0)),""))</f>
        <v/>
      </c>
      <c r="D139" s="14">
        <f>IF(A139="","",IFERROR(INDEX(tbl_Finance[Client],MATCH(A139&amp;"",tbl_Finance[Job Number],0)),""))</f>
        <v/>
      </c>
      <c r="E139" s="44">
        <f>IF(A139="","",COUNTIFS(tbl_Finance[Job Number],A139&amp;"",tbl_Finance[Ex GST],"&lt;&gt;"))</f>
        <v/>
      </c>
      <c r="F139" s="16">
        <f>IF(A139="","",SUMIFS(tbl_Finance[Ex GST],tbl_Finance[Job Number],A139&amp;""))</f>
        <v/>
      </c>
      <c r="G139" s="14">
        <f>IF(A139="","",IFERROR(INDEX(tbl_Finance[Cost Centre],MATCH(A139&amp;"",tbl_Finance[Job Number],0)),"not invoiced yet"))</f>
        <v/>
      </c>
      <c r="H139" s="13" t="n"/>
      <c r="I139" s="13" t="n"/>
      <c r="J139" s="15" t="n"/>
      <c r="K139" s="15" t="n"/>
      <c r="L139" s="15" t="n"/>
      <c r="M139" s="14">
        <f>IF(A139="","",IF(N(J139)+N(K139)+N(L139)=0,"Not split",IF(ROUND(N(J139)+N(K139)+N(L139),2)=ROUND(F139,2),"OK","MISMATCH")))</f>
        <v/>
      </c>
      <c r="N139" s="15" t="n"/>
      <c r="O139" s="15" t="n"/>
      <c r="P139" s="15" t="n"/>
      <c r="Q139" s="16">
        <f>IF(A139="","",N(N139)+N(O139)+N(P139))</f>
        <v/>
      </c>
      <c r="R139" s="16">
        <f>IF(A139="","",F139-Q139)</f>
        <v/>
      </c>
      <c r="S139" s="46">
        <f>IFERROR(R139/F139,"")</f>
        <v/>
      </c>
      <c r="T139" s="13" t="n"/>
    </row>
    <row r="140" ht="15" customHeight="1">
      <c r="A140" s="13" t="n"/>
      <c r="B140" s="14">
        <f>IF(A140="","",IF(COUNTIF(lst_Jobs,A140&amp;"")&gt;0,"OK","CHECK"))</f>
        <v/>
      </c>
      <c r="C140" s="14">
        <f>IF(A140="","",IFERROR(INDEX(lst_JobName,MATCH(A140&amp;"",lst_Jobs,0)),""))</f>
        <v/>
      </c>
      <c r="D140" s="14">
        <f>IF(A140="","",IFERROR(INDEX(tbl_Finance[Client],MATCH(A140&amp;"",tbl_Finance[Job Number],0)),""))</f>
        <v/>
      </c>
      <c r="E140" s="44">
        <f>IF(A140="","",COUNTIFS(tbl_Finance[Job Number],A140&amp;"",tbl_Finance[Ex GST],"&lt;&gt;"))</f>
        <v/>
      </c>
      <c r="F140" s="16">
        <f>IF(A140="","",SUMIFS(tbl_Finance[Ex GST],tbl_Finance[Job Number],A140&amp;""))</f>
        <v/>
      </c>
      <c r="G140" s="14">
        <f>IF(A140="","",IFERROR(INDEX(tbl_Finance[Cost Centre],MATCH(A140&amp;"",tbl_Finance[Job Number],0)),"not invoiced yet"))</f>
        <v/>
      </c>
      <c r="H140" s="13" t="n"/>
      <c r="I140" s="13" t="n"/>
      <c r="J140" s="15" t="n"/>
      <c r="K140" s="15" t="n"/>
      <c r="L140" s="15" t="n"/>
      <c r="M140" s="14">
        <f>IF(A140="","",IF(N(J140)+N(K140)+N(L140)=0,"Not split",IF(ROUND(N(J140)+N(K140)+N(L140),2)=ROUND(F140,2),"OK","MISMATCH")))</f>
        <v/>
      </c>
      <c r="N140" s="15" t="n"/>
      <c r="O140" s="15" t="n"/>
      <c r="P140" s="15" t="n"/>
      <c r="Q140" s="16">
        <f>IF(A140="","",N(N140)+N(O140)+N(P140))</f>
        <v/>
      </c>
      <c r="R140" s="16">
        <f>IF(A140="","",F140-Q140)</f>
        <v/>
      </c>
      <c r="S140" s="46">
        <f>IFERROR(R140/F140,"")</f>
        <v/>
      </c>
      <c r="T140" s="13" t="n"/>
    </row>
    <row r="141" ht="15" customHeight="1">
      <c r="A141" s="13" t="n"/>
      <c r="B141" s="14">
        <f>IF(A141="","",IF(COUNTIF(lst_Jobs,A141&amp;"")&gt;0,"OK","CHECK"))</f>
        <v/>
      </c>
      <c r="C141" s="14">
        <f>IF(A141="","",IFERROR(INDEX(lst_JobName,MATCH(A141&amp;"",lst_Jobs,0)),""))</f>
        <v/>
      </c>
      <c r="D141" s="14">
        <f>IF(A141="","",IFERROR(INDEX(tbl_Finance[Client],MATCH(A141&amp;"",tbl_Finance[Job Number],0)),""))</f>
        <v/>
      </c>
      <c r="E141" s="44">
        <f>IF(A141="","",COUNTIFS(tbl_Finance[Job Number],A141&amp;"",tbl_Finance[Ex GST],"&lt;&gt;"))</f>
        <v/>
      </c>
      <c r="F141" s="16">
        <f>IF(A141="","",SUMIFS(tbl_Finance[Ex GST],tbl_Finance[Job Number],A141&amp;""))</f>
        <v/>
      </c>
      <c r="G141" s="14">
        <f>IF(A141="","",IFERROR(INDEX(tbl_Finance[Cost Centre],MATCH(A141&amp;"",tbl_Finance[Job Number],0)),"not invoiced yet"))</f>
        <v/>
      </c>
      <c r="H141" s="13" t="n"/>
      <c r="I141" s="13" t="n"/>
      <c r="J141" s="15" t="n"/>
      <c r="K141" s="15" t="n"/>
      <c r="L141" s="15" t="n"/>
      <c r="M141" s="14">
        <f>IF(A141="","",IF(N(J141)+N(K141)+N(L141)=0,"Not split",IF(ROUND(N(J141)+N(K141)+N(L141),2)=ROUND(F141,2),"OK","MISMATCH")))</f>
        <v/>
      </c>
      <c r="N141" s="15" t="n"/>
      <c r="O141" s="15" t="n"/>
      <c r="P141" s="15" t="n"/>
      <c r="Q141" s="16">
        <f>IF(A141="","",N(N141)+N(O141)+N(P141))</f>
        <v/>
      </c>
      <c r="R141" s="16">
        <f>IF(A141="","",F141-Q141)</f>
        <v/>
      </c>
      <c r="S141" s="46">
        <f>IFERROR(R141/F141,"")</f>
        <v/>
      </c>
      <c r="T141" s="13" t="n"/>
    </row>
    <row r="142" ht="15" customHeight="1">
      <c r="A142" s="13" t="n"/>
      <c r="B142" s="14">
        <f>IF(A142="","",IF(COUNTIF(lst_Jobs,A142&amp;"")&gt;0,"OK","CHECK"))</f>
        <v/>
      </c>
      <c r="C142" s="14">
        <f>IF(A142="","",IFERROR(INDEX(lst_JobName,MATCH(A142&amp;"",lst_Jobs,0)),""))</f>
        <v/>
      </c>
      <c r="D142" s="14">
        <f>IF(A142="","",IFERROR(INDEX(tbl_Finance[Client],MATCH(A142&amp;"",tbl_Finance[Job Number],0)),""))</f>
        <v/>
      </c>
      <c r="E142" s="44">
        <f>IF(A142="","",COUNTIFS(tbl_Finance[Job Number],A142&amp;"",tbl_Finance[Ex GST],"&lt;&gt;"))</f>
        <v/>
      </c>
      <c r="F142" s="16">
        <f>IF(A142="","",SUMIFS(tbl_Finance[Ex GST],tbl_Finance[Job Number],A142&amp;""))</f>
        <v/>
      </c>
      <c r="G142" s="14">
        <f>IF(A142="","",IFERROR(INDEX(tbl_Finance[Cost Centre],MATCH(A142&amp;"",tbl_Finance[Job Number],0)),"not invoiced yet"))</f>
        <v/>
      </c>
      <c r="H142" s="13" t="n"/>
      <c r="I142" s="13" t="n"/>
      <c r="J142" s="15" t="n"/>
      <c r="K142" s="15" t="n"/>
      <c r="L142" s="15" t="n"/>
      <c r="M142" s="14">
        <f>IF(A142="","",IF(N(J142)+N(K142)+N(L142)=0,"Not split",IF(ROUND(N(J142)+N(K142)+N(L142),2)=ROUND(F142,2),"OK","MISMATCH")))</f>
        <v/>
      </c>
      <c r="N142" s="15" t="n"/>
      <c r="O142" s="15" t="n"/>
      <c r="P142" s="15" t="n"/>
      <c r="Q142" s="16">
        <f>IF(A142="","",N(N142)+N(O142)+N(P142))</f>
        <v/>
      </c>
      <c r="R142" s="16">
        <f>IF(A142="","",F142-Q142)</f>
        <v/>
      </c>
      <c r="S142" s="46">
        <f>IFERROR(R142/F142,"")</f>
        <v/>
      </c>
      <c r="T142" s="13" t="n"/>
    </row>
    <row r="143" ht="15" customHeight="1">
      <c r="A143" s="13" t="n"/>
      <c r="B143" s="14">
        <f>IF(A143="","",IF(COUNTIF(lst_Jobs,A143&amp;"")&gt;0,"OK","CHECK"))</f>
        <v/>
      </c>
      <c r="C143" s="14">
        <f>IF(A143="","",IFERROR(INDEX(lst_JobName,MATCH(A143&amp;"",lst_Jobs,0)),""))</f>
        <v/>
      </c>
      <c r="D143" s="14">
        <f>IF(A143="","",IFERROR(INDEX(tbl_Finance[Client],MATCH(A143&amp;"",tbl_Finance[Job Number],0)),""))</f>
        <v/>
      </c>
      <c r="E143" s="44">
        <f>IF(A143="","",COUNTIFS(tbl_Finance[Job Number],A143&amp;"",tbl_Finance[Ex GST],"&lt;&gt;"))</f>
        <v/>
      </c>
      <c r="F143" s="16">
        <f>IF(A143="","",SUMIFS(tbl_Finance[Ex GST],tbl_Finance[Job Number],A143&amp;""))</f>
        <v/>
      </c>
      <c r="G143" s="14">
        <f>IF(A143="","",IFERROR(INDEX(tbl_Finance[Cost Centre],MATCH(A143&amp;"",tbl_Finance[Job Number],0)),"not invoiced yet"))</f>
        <v/>
      </c>
      <c r="H143" s="13" t="n"/>
      <c r="I143" s="13" t="n"/>
      <c r="J143" s="15" t="n"/>
      <c r="K143" s="15" t="n"/>
      <c r="L143" s="15" t="n"/>
      <c r="M143" s="14">
        <f>IF(A143="","",IF(N(J143)+N(K143)+N(L143)=0,"Not split",IF(ROUND(N(J143)+N(K143)+N(L143),2)=ROUND(F143,2),"OK","MISMATCH")))</f>
        <v/>
      </c>
      <c r="N143" s="15" t="n"/>
      <c r="O143" s="15" t="n"/>
      <c r="P143" s="15" t="n"/>
      <c r="Q143" s="16">
        <f>IF(A143="","",N(N143)+N(O143)+N(P143))</f>
        <v/>
      </c>
      <c r="R143" s="16">
        <f>IF(A143="","",F143-Q143)</f>
        <v/>
      </c>
      <c r="S143" s="46">
        <f>IFERROR(R143/F143,"")</f>
        <v/>
      </c>
      <c r="T143" s="13" t="n"/>
    </row>
    <row r="144" ht="15" customHeight="1">
      <c r="A144" s="13" t="n"/>
      <c r="B144" s="14">
        <f>IF(A144="","",IF(COUNTIF(lst_Jobs,A144&amp;"")&gt;0,"OK","CHECK"))</f>
        <v/>
      </c>
      <c r="C144" s="14">
        <f>IF(A144="","",IFERROR(INDEX(lst_JobName,MATCH(A144&amp;"",lst_Jobs,0)),""))</f>
        <v/>
      </c>
      <c r="D144" s="14">
        <f>IF(A144="","",IFERROR(INDEX(tbl_Finance[Client],MATCH(A144&amp;"",tbl_Finance[Job Number],0)),""))</f>
        <v/>
      </c>
      <c r="E144" s="44">
        <f>IF(A144="","",COUNTIFS(tbl_Finance[Job Number],A144&amp;"",tbl_Finance[Ex GST],"&lt;&gt;"))</f>
        <v/>
      </c>
      <c r="F144" s="16">
        <f>IF(A144="","",SUMIFS(tbl_Finance[Ex GST],tbl_Finance[Job Number],A144&amp;""))</f>
        <v/>
      </c>
      <c r="G144" s="14">
        <f>IF(A144="","",IFERROR(INDEX(tbl_Finance[Cost Centre],MATCH(A144&amp;"",tbl_Finance[Job Number],0)),"not invoiced yet"))</f>
        <v/>
      </c>
      <c r="H144" s="13" t="n"/>
      <c r="I144" s="13" t="n"/>
      <c r="J144" s="15" t="n"/>
      <c r="K144" s="15" t="n"/>
      <c r="L144" s="15" t="n"/>
      <c r="M144" s="14">
        <f>IF(A144="","",IF(N(J144)+N(K144)+N(L144)=0,"Not split",IF(ROUND(N(J144)+N(K144)+N(L144),2)=ROUND(F144,2),"OK","MISMATCH")))</f>
        <v/>
      </c>
      <c r="N144" s="15" t="n"/>
      <c r="O144" s="15" t="n"/>
      <c r="P144" s="15" t="n"/>
      <c r="Q144" s="16">
        <f>IF(A144="","",N(N144)+N(O144)+N(P144))</f>
        <v/>
      </c>
      <c r="R144" s="16">
        <f>IF(A144="","",F144-Q144)</f>
        <v/>
      </c>
      <c r="S144" s="46">
        <f>IFERROR(R144/F144,"")</f>
        <v/>
      </c>
      <c r="T144" s="13" t="n"/>
    </row>
    <row r="145" ht="15" customHeight="1">
      <c r="A145" s="13" t="n"/>
      <c r="B145" s="14">
        <f>IF(A145="","",IF(COUNTIF(lst_Jobs,A145&amp;"")&gt;0,"OK","CHECK"))</f>
        <v/>
      </c>
      <c r="C145" s="14">
        <f>IF(A145="","",IFERROR(INDEX(lst_JobName,MATCH(A145&amp;"",lst_Jobs,0)),""))</f>
        <v/>
      </c>
      <c r="D145" s="14">
        <f>IF(A145="","",IFERROR(INDEX(tbl_Finance[Client],MATCH(A145&amp;"",tbl_Finance[Job Number],0)),""))</f>
        <v/>
      </c>
      <c r="E145" s="44">
        <f>IF(A145="","",COUNTIFS(tbl_Finance[Job Number],A145&amp;"",tbl_Finance[Ex GST],"&lt;&gt;"))</f>
        <v/>
      </c>
      <c r="F145" s="16">
        <f>IF(A145="","",SUMIFS(tbl_Finance[Ex GST],tbl_Finance[Job Number],A145&amp;""))</f>
        <v/>
      </c>
      <c r="G145" s="14">
        <f>IF(A145="","",IFERROR(INDEX(tbl_Finance[Cost Centre],MATCH(A145&amp;"",tbl_Finance[Job Number],0)),"not invoiced yet"))</f>
        <v/>
      </c>
      <c r="H145" s="13" t="n"/>
      <c r="I145" s="13" t="n"/>
      <c r="J145" s="15" t="n"/>
      <c r="K145" s="15" t="n"/>
      <c r="L145" s="15" t="n"/>
      <c r="M145" s="14">
        <f>IF(A145="","",IF(N(J145)+N(K145)+N(L145)=0,"Not split",IF(ROUND(N(J145)+N(K145)+N(L145),2)=ROUND(F145,2),"OK","MISMATCH")))</f>
        <v/>
      </c>
      <c r="N145" s="15" t="n"/>
      <c r="O145" s="15" t="n"/>
      <c r="P145" s="15" t="n"/>
      <c r="Q145" s="16">
        <f>IF(A145="","",N(N145)+N(O145)+N(P145))</f>
        <v/>
      </c>
      <c r="R145" s="16">
        <f>IF(A145="","",F145-Q145)</f>
        <v/>
      </c>
      <c r="S145" s="46">
        <f>IFERROR(R145/F145,"")</f>
        <v/>
      </c>
      <c r="T145" s="13" t="n"/>
    </row>
    <row r="146" ht="15" customHeight="1">
      <c r="A146" s="13" t="n"/>
      <c r="B146" s="14">
        <f>IF(A146="","",IF(COUNTIF(lst_Jobs,A146&amp;"")&gt;0,"OK","CHECK"))</f>
        <v/>
      </c>
      <c r="C146" s="14">
        <f>IF(A146="","",IFERROR(INDEX(lst_JobName,MATCH(A146&amp;"",lst_Jobs,0)),""))</f>
        <v/>
      </c>
      <c r="D146" s="14">
        <f>IF(A146="","",IFERROR(INDEX(tbl_Finance[Client],MATCH(A146&amp;"",tbl_Finance[Job Number],0)),""))</f>
        <v/>
      </c>
      <c r="E146" s="44">
        <f>IF(A146="","",COUNTIFS(tbl_Finance[Job Number],A146&amp;"",tbl_Finance[Ex GST],"&lt;&gt;"))</f>
        <v/>
      </c>
      <c r="F146" s="16">
        <f>IF(A146="","",SUMIFS(tbl_Finance[Ex GST],tbl_Finance[Job Number],A146&amp;""))</f>
        <v/>
      </c>
      <c r="G146" s="14">
        <f>IF(A146="","",IFERROR(INDEX(tbl_Finance[Cost Centre],MATCH(A146&amp;"",tbl_Finance[Job Number],0)),"not invoiced yet"))</f>
        <v/>
      </c>
      <c r="H146" s="13" t="n"/>
      <c r="I146" s="13" t="n"/>
      <c r="J146" s="15" t="n"/>
      <c r="K146" s="15" t="n"/>
      <c r="L146" s="15" t="n"/>
      <c r="M146" s="14">
        <f>IF(A146="","",IF(N(J146)+N(K146)+N(L146)=0,"Not split",IF(ROUND(N(J146)+N(K146)+N(L146),2)=ROUND(F146,2),"OK","MISMATCH")))</f>
        <v/>
      </c>
      <c r="N146" s="15" t="n"/>
      <c r="O146" s="15" t="n"/>
      <c r="P146" s="15" t="n"/>
      <c r="Q146" s="16">
        <f>IF(A146="","",N(N146)+N(O146)+N(P146))</f>
        <v/>
      </c>
      <c r="R146" s="16">
        <f>IF(A146="","",F146-Q146)</f>
        <v/>
      </c>
      <c r="S146" s="46">
        <f>IFERROR(R146/F146,"")</f>
        <v/>
      </c>
      <c r="T146" s="13" t="n"/>
    </row>
    <row r="147" ht="15" customHeight="1">
      <c r="A147" s="13" t="n"/>
      <c r="B147" s="14">
        <f>IF(A147="","",IF(COUNTIF(lst_Jobs,A147&amp;"")&gt;0,"OK","CHECK"))</f>
        <v/>
      </c>
      <c r="C147" s="14">
        <f>IF(A147="","",IFERROR(INDEX(lst_JobName,MATCH(A147&amp;"",lst_Jobs,0)),""))</f>
        <v/>
      </c>
      <c r="D147" s="14">
        <f>IF(A147="","",IFERROR(INDEX(tbl_Finance[Client],MATCH(A147&amp;"",tbl_Finance[Job Number],0)),""))</f>
        <v/>
      </c>
      <c r="E147" s="44">
        <f>IF(A147="","",COUNTIFS(tbl_Finance[Job Number],A147&amp;"",tbl_Finance[Ex GST],"&lt;&gt;"))</f>
        <v/>
      </c>
      <c r="F147" s="16">
        <f>IF(A147="","",SUMIFS(tbl_Finance[Ex GST],tbl_Finance[Job Number],A147&amp;""))</f>
        <v/>
      </c>
      <c r="G147" s="14">
        <f>IF(A147="","",IFERROR(INDEX(tbl_Finance[Cost Centre],MATCH(A147&amp;"",tbl_Finance[Job Number],0)),"not invoiced yet"))</f>
        <v/>
      </c>
      <c r="H147" s="13" t="n"/>
      <c r="I147" s="13" t="n"/>
      <c r="J147" s="15" t="n"/>
      <c r="K147" s="15" t="n"/>
      <c r="L147" s="15" t="n"/>
      <c r="M147" s="14">
        <f>IF(A147="","",IF(N(J147)+N(K147)+N(L147)=0,"Not split",IF(ROUND(N(J147)+N(K147)+N(L147),2)=ROUND(F147,2),"OK","MISMATCH")))</f>
        <v/>
      </c>
      <c r="N147" s="15" t="n"/>
      <c r="O147" s="15" t="n"/>
      <c r="P147" s="15" t="n"/>
      <c r="Q147" s="16">
        <f>IF(A147="","",N(N147)+N(O147)+N(P147))</f>
        <v/>
      </c>
      <c r="R147" s="16">
        <f>IF(A147="","",F147-Q147)</f>
        <v/>
      </c>
      <c r="S147" s="46">
        <f>IFERROR(R147/F147,"")</f>
        <v/>
      </c>
      <c r="T147" s="13" t="n"/>
    </row>
    <row r="148" ht="15" customHeight="1">
      <c r="A148" s="13" t="n"/>
      <c r="B148" s="14">
        <f>IF(A148="","",IF(COUNTIF(lst_Jobs,A148&amp;"")&gt;0,"OK","CHECK"))</f>
        <v/>
      </c>
      <c r="C148" s="14">
        <f>IF(A148="","",IFERROR(INDEX(lst_JobName,MATCH(A148&amp;"",lst_Jobs,0)),""))</f>
        <v/>
      </c>
      <c r="D148" s="14">
        <f>IF(A148="","",IFERROR(INDEX(tbl_Finance[Client],MATCH(A148&amp;"",tbl_Finance[Job Number],0)),""))</f>
        <v/>
      </c>
      <c r="E148" s="44">
        <f>IF(A148="","",COUNTIFS(tbl_Finance[Job Number],A148&amp;"",tbl_Finance[Ex GST],"&lt;&gt;"))</f>
        <v/>
      </c>
      <c r="F148" s="16">
        <f>IF(A148="","",SUMIFS(tbl_Finance[Ex GST],tbl_Finance[Job Number],A148&amp;""))</f>
        <v/>
      </c>
      <c r="G148" s="14">
        <f>IF(A148="","",IFERROR(INDEX(tbl_Finance[Cost Centre],MATCH(A148&amp;"",tbl_Finance[Job Number],0)),"not invoiced yet"))</f>
        <v/>
      </c>
      <c r="H148" s="13" t="n"/>
      <c r="I148" s="13" t="n"/>
      <c r="J148" s="15" t="n"/>
      <c r="K148" s="15" t="n"/>
      <c r="L148" s="15" t="n"/>
      <c r="M148" s="14">
        <f>IF(A148="","",IF(N(J148)+N(K148)+N(L148)=0,"Not split",IF(ROUND(N(J148)+N(K148)+N(L148),2)=ROUND(F148,2),"OK","MISMATCH")))</f>
        <v/>
      </c>
      <c r="N148" s="15" t="n"/>
      <c r="O148" s="15" t="n"/>
      <c r="P148" s="15" t="n"/>
      <c r="Q148" s="16">
        <f>IF(A148="","",N(N148)+N(O148)+N(P148))</f>
        <v/>
      </c>
      <c r="R148" s="16">
        <f>IF(A148="","",F148-Q148)</f>
        <v/>
      </c>
      <c r="S148" s="46">
        <f>IFERROR(R148/F148,"")</f>
        <v/>
      </c>
      <c r="T148" s="13" t="n"/>
    </row>
    <row r="149" ht="15" customHeight="1">
      <c r="A149" s="13" t="n"/>
      <c r="B149" s="14">
        <f>IF(A149="","",IF(COUNTIF(lst_Jobs,A149&amp;"")&gt;0,"OK","CHECK"))</f>
        <v/>
      </c>
      <c r="C149" s="14">
        <f>IF(A149="","",IFERROR(INDEX(lst_JobName,MATCH(A149&amp;"",lst_Jobs,0)),""))</f>
        <v/>
      </c>
      <c r="D149" s="14">
        <f>IF(A149="","",IFERROR(INDEX(tbl_Finance[Client],MATCH(A149&amp;"",tbl_Finance[Job Number],0)),""))</f>
        <v/>
      </c>
      <c r="E149" s="44">
        <f>IF(A149="","",COUNTIFS(tbl_Finance[Job Number],A149&amp;"",tbl_Finance[Ex GST],"&lt;&gt;"))</f>
        <v/>
      </c>
      <c r="F149" s="16">
        <f>IF(A149="","",SUMIFS(tbl_Finance[Ex GST],tbl_Finance[Job Number],A149&amp;""))</f>
        <v/>
      </c>
      <c r="G149" s="14">
        <f>IF(A149="","",IFERROR(INDEX(tbl_Finance[Cost Centre],MATCH(A149&amp;"",tbl_Finance[Job Number],0)),"not invoiced yet"))</f>
        <v/>
      </c>
      <c r="H149" s="13" t="n"/>
      <c r="I149" s="13" t="n"/>
      <c r="J149" s="15" t="n"/>
      <c r="K149" s="15" t="n"/>
      <c r="L149" s="15" t="n"/>
      <c r="M149" s="14">
        <f>IF(A149="","",IF(N(J149)+N(K149)+N(L149)=0,"Not split",IF(ROUND(N(J149)+N(K149)+N(L149),2)=ROUND(F149,2),"OK","MISMATCH")))</f>
        <v/>
      </c>
      <c r="N149" s="15" t="n"/>
      <c r="O149" s="15" t="n"/>
      <c r="P149" s="15" t="n"/>
      <c r="Q149" s="16">
        <f>IF(A149="","",N(N149)+N(O149)+N(P149))</f>
        <v/>
      </c>
      <c r="R149" s="16">
        <f>IF(A149="","",F149-Q149)</f>
        <v/>
      </c>
      <c r="S149" s="46">
        <f>IFERROR(R149/F149,"")</f>
        <v/>
      </c>
      <c r="T149" s="13" t="n"/>
    </row>
    <row r="150" ht="15" customHeight="1">
      <c r="A150" s="13" t="n"/>
      <c r="B150" s="14">
        <f>IF(A150="","",IF(COUNTIF(lst_Jobs,A150&amp;"")&gt;0,"OK","CHECK"))</f>
        <v/>
      </c>
      <c r="C150" s="14">
        <f>IF(A150="","",IFERROR(INDEX(lst_JobName,MATCH(A150&amp;"",lst_Jobs,0)),""))</f>
        <v/>
      </c>
      <c r="D150" s="14">
        <f>IF(A150="","",IFERROR(INDEX(tbl_Finance[Client],MATCH(A150&amp;"",tbl_Finance[Job Number],0)),""))</f>
        <v/>
      </c>
      <c r="E150" s="44">
        <f>IF(A150="","",COUNTIFS(tbl_Finance[Job Number],A150&amp;"",tbl_Finance[Ex GST],"&lt;&gt;"))</f>
        <v/>
      </c>
      <c r="F150" s="16">
        <f>IF(A150="","",SUMIFS(tbl_Finance[Ex GST],tbl_Finance[Job Number],A150&amp;""))</f>
        <v/>
      </c>
      <c r="G150" s="14">
        <f>IF(A150="","",IFERROR(INDEX(tbl_Finance[Cost Centre],MATCH(A150&amp;"",tbl_Finance[Job Number],0)),"not invoiced yet"))</f>
        <v/>
      </c>
      <c r="H150" s="13" t="n"/>
      <c r="I150" s="13" t="n"/>
      <c r="J150" s="15" t="n"/>
      <c r="K150" s="15" t="n"/>
      <c r="L150" s="15" t="n"/>
      <c r="M150" s="14">
        <f>IF(A150="","",IF(N(J150)+N(K150)+N(L150)=0,"Not split",IF(ROUND(N(J150)+N(K150)+N(L150),2)=ROUND(F150,2),"OK","MISMATCH")))</f>
        <v/>
      </c>
      <c r="N150" s="15" t="n"/>
      <c r="O150" s="15" t="n"/>
      <c r="P150" s="15" t="n"/>
      <c r="Q150" s="16">
        <f>IF(A150="","",N(N150)+N(O150)+N(P150))</f>
        <v/>
      </c>
      <c r="R150" s="16">
        <f>IF(A150="","",F150-Q150)</f>
        <v/>
      </c>
      <c r="S150" s="46">
        <f>IFERROR(R150/F150,"")</f>
        <v/>
      </c>
      <c r="T150" s="13" t="n"/>
    </row>
    <row r="151" ht="15" customHeight="1">
      <c r="A151" s="13" t="n"/>
      <c r="B151" s="14">
        <f>IF(A151="","",IF(COUNTIF(lst_Jobs,A151&amp;"")&gt;0,"OK","CHECK"))</f>
        <v/>
      </c>
      <c r="C151" s="14">
        <f>IF(A151="","",IFERROR(INDEX(lst_JobName,MATCH(A151&amp;"",lst_Jobs,0)),""))</f>
        <v/>
      </c>
      <c r="D151" s="14">
        <f>IF(A151="","",IFERROR(INDEX(tbl_Finance[Client],MATCH(A151&amp;"",tbl_Finance[Job Number],0)),""))</f>
        <v/>
      </c>
      <c r="E151" s="44">
        <f>IF(A151="","",COUNTIFS(tbl_Finance[Job Number],A151&amp;"",tbl_Finance[Ex GST],"&lt;&gt;"))</f>
        <v/>
      </c>
      <c r="F151" s="16">
        <f>IF(A151="","",SUMIFS(tbl_Finance[Ex GST],tbl_Finance[Job Number],A151&amp;""))</f>
        <v/>
      </c>
      <c r="G151" s="14">
        <f>IF(A151="","",IFERROR(INDEX(tbl_Finance[Cost Centre],MATCH(A151&amp;"",tbl_Finance[Job Number],0)),"not invoiced yet"))</f>
        <v/>
      </c>
      <c r="H151" s="13" t="n"/>
      <c r="I151" s="13" t="n"/>
      <c r="J151" s="15" t="n"/>
      <c r="K151" s="15" t="n"/>
      <c r="L151" s="15" t="n"/>
      <c r="M151" s="14">
        <f>IF(A151="","",IF(N(J151)+N(K151)+N(L151)=0,"Not split",IF(ROUND(N(J151)+N(K151)+N(L151),2)=ROUND(F151,2),"OK","MISMATCH")))</f>
        <v/>
      </c>
      <c r="N151" s="15" t="n"/>
      <c r="O151" s="15" t="n"/>
      <c r="P151" s="15" t="n"/>
      <c r="Q151" s="16">
        <f>IF(A151="","",N(N151)+N(O151)+N(P151))</f>
        <v/>
      </c>
      <c r="R151" s="16">
        <f>IF(A151="","",F151-Q151)</f>
        <v/>
      </c>
      <c r="S151" s="46">
        <f>IFERROR(R151/F151,"")</f>
        <v/>
      </c>
      <c r="T151" s="13" t="n"/>
    </row>
    <row r="152" ht="15" customHeight="1">
      <c r="A152" s="13" t="n"/>
      <c r="B152" s="14">
        <f>IF(A152="","",IF(COUNTIF(lst_Jobs,A152&amp;"")&gt;0,"OK","CHECK"))</f>
        <v/>
      </c>
      <c r="C152" s="14">
        <f>IF(A152="","",IFERROR(INDEX(lst_JobName,MATCH(A152&amp;"",lst_Jobs,0)),""))</f>
        <v/>
      </c>
      <c r="D152" s="14">
        <f>IF(A152="","",IFERROR(INDEX(tbl_Finance[Client],MATCH(A152&amp;"",tbl_Finance[Job Number],0)),""))</f>
        <v/>
      </c>
      <c r="E152" s="44">
        <f>IF(A152="","",COUNTIFS(tbl_Finance[Job Number],A152&amp;"",tbl_Finance[Ex GST],"&lt;&gt;"))</f>
        <v/>
      </c>
      <c r="F152" s="16">
        <f>IF(A152="","",SUMIFS(tbl_Finance[Ex GST],tbl_Finance[Job Number],A152&amp;""))</f>
        <v/>
      </c>
      <c r="G152" s="14">
        <f>IF(A152="","",IFERROR(INDEX(tbl_Finance[Cost Centre],MATCH(A152&amp;"",tbl_Finance[Job Number],0)),"not invoiced yet"))</f>
        <v/>
      </c>
      <c r="H152" s="13" t="n"/>
      <c r="I152" s="13" t="n"/>
      <c r="J152" s="15" t="n"/>
      <c r="K152" s="15" t="n"/>
      <c r="L152" s="15" t="n"/>
      <c r="M152" s="14">
        <f>IF(A152="","",IF(N(J152)+N(K152)+N(L152)=0,"Not split",IF(ROUND(N(J152)+N(K152)+N(L152),2)=ROUND(F152,2),"OK","MISMATCH")))</f>
        <v/>
      </c>
      <c r="N152" s="15" t="n"/>
      <c r="O152" s="15" t="n"/>
      <c r="P152" s="15" t="n"/>
      <c r="Q152" s="16">
        <f>IF(A152="","",N(N152)+N(O152)+N(P152))</f>
        <v/>
      </c>
      <c r="R152" s="16">
        <f>IF(A152="","",F152-Q152)</f>
        <v/>
      </c>
      <c r="S152" s="46">
        <f>IFERROR(R152/F152,"")</f>
        <v/>
      </c>
      <c r="T152" s="13" t="n"/>
    </row>
    <row r="153" ht="15" customHeight="1">
      <c r="A153" s="13" t="n"/>
      <c r="B153" s="14">
        <f>IF(A153="","",IF(COUNTIF(lst_Jobs,A153&amp;"")&gt;0,"OK","CHECK"))</f>
        <v/>
      </c>
      <c r="C153" s="14">
        <f>IF(A153="","",IFERROR(INDEX(lst_JobName,MATCH(A153&amp;"",lst_Jobs,0)),""))</f>
        <v/>
      </c>
      <c r="D153" s="14">
        <f>IF(A153="","",IFERROR(INDEX(tbl_Finance[Client],MATCH(A153&amp;"",tbl_Finance[Job Number],0)),""))</f>
        <v/>
      </c>
      <c r="E153" s="44">
        <f>IF(A153="","",COUNTIFS(tbl_Finance[Job Number],A153&amp;"",tbl_Finance[Ex GST],"&lt;&gt;"))</f>
        <v/>
      </c>
      <c r="F153" s="16">
        <f>IF(A153="","",SUMIFS(tbl_Finance[Ex GST],tbl_Finance[Job Number],A153&amp;""))</f>
        <v/>
      </c>
      <c r="G153" s="14">
        <f>IF(A153="","",IFERROR(INDEX(tbl_Finance[Cost Centre],MATCH(A153&amp;"",tbl_Finance[Job Number],0)),"not invoiced yet"))</f>
        <v/>
      </c>
      <c r="H153" s="13" t="n"/>
      <c r="I153" s="13" t="n"/>
      <c r="J153" s="15" t="n"/>
      <c r="K153" s="15" t="n"/>
      <c r="L153" s="15" t="n"/>
      <c r="M153" s="14">
        <f>IF(A153="","",IF(N(J153)+N(K153)+N(L153)=0,"Not split",IF(ROUND(N(J153)+N(K153)+N(L153),2)=ROUND(F153,2),"OK","MISMATCH")))</f>
        <v/>
      </c>
      <c r="N153" s="15" t="n"/>
      <c r="O153" s="15" t="n"/>
      <c r="P153" s="15" t="n"/>
      <c r="Q153" s="16">
        <f>IF(A153="","",N(N153)+N(O153)+N(P153))</f>
        <v/>
      </c>
      <c r="R153" s="16">
        <f>IF(A153="","",F153-Q153)</f>
        <v/>
      </c>
      <c r="S153" s="46">
        <f>IFERROR(R153/F153,"")</f>
        <v/>
      </c>
      <c r="T153" s="13" t="n"/>
    </row>
    <row r="154" ht="15" customHeight="1">
      <c r="A154" s="13" t="n"/>
      <c r="B154" s="14">
        <f>IF(A154="","",IF(COUNTIF(lst_Jobs,A154&amp;"")&gt;0,"OK","CHECK"))</f>
        <v/>
      </c>
      <c r="C154" s="14">
        <f>IF(A154="","",IFERROR(INDEX(lst_JobName,MATCH(A154&amp;"",lst_Jobs,0)),""))</f>
        <v/>
      </c>
      <c r="D154" s="14">
        <f>IF(A154="","",IFERROR(INDEX(tbl_Finance[Client],MATCH(A154&amp;"",tbl_Finance[Job Number],0)),""))</f>
        <v/>
      </c>
      <c r="E154" s="44">
        <f>IF(A154="","",COUNTIFS(tbl_Finance[Job Number],A154&amp;"",tbl_Finance[Ex GST],"&lt;&gt;"))</f>
        <v/>
      </c>
      <c r="F154" s="16">
        <f>IF(A154="","",SUMIFS(tbl_Finance[Ex GST],tbl_Finance[Job Number],A154&amp;""))</f>
        <v/>
      </c>
      <c r="G154" s="14">
        <f>IF(A154="","",IFERROR(INDEX(tbl_Finance[Cost Centre],MATCH(A154&amp;"",tbl_Finance[Job Number],0)),"not invoiced yet"))</f>
        <v/>
      </c>
      <c r="H154" s="13" t="n"/>
      <c r="I154" s="13" t="n"/>
      <c r="J154" s="15" t="n"/>
      <c r="K154" s="15" t="n"/>
      <c r="L154" s="15" t="n"/>
      <c r="M154" s="14">
        <f>IF(A154="","",IF(N(J154)+N(K154)+N(L154)=0,"Not split",IF(ROUND(N(J154)+N(K154)+N(L154),2)=ROUND(F154,2),"OK","MISMATCH")))</f>
        <v/>
      </c>
      <c r="N154" s="15" t="n"/>
      <c r="O154" s="15" t="n"/>
      <c r="P154" s="15" t="n"/>
      <c r="Q154" s="16">
        <f>IF(A154="","",N(N154)+N(O154)+N(P154))</f>
        <v/>
      </c>
      <c r="R154" s="16">
        <f>IF(A154="","",F154-Q154)</f>
        <v/>
      </c>
      <c r="S154" s="46">
        <f>IFERROR(R154/F154,"")</f>
        <v/>
      </c>
      <c r="T154" s="13" t="n"/>
    </row>
    <row r="155" ht="15" customHeight="1">
      <c r="A155" s="13" t="n"/>
      <c r="B155" s="14">
        <f>IF(A155="","",IF(COUNTIF(lst_Jobs,A155&amp;"")&gt;0,"OK","CHECK"))</f>
        <v/>
      </c>
      <c r="C155" s="14">
        <f>IF(A155="","",IFERROR(INDEX(lst_JobName,MATCH(A155&amp;"",lst_Jobs,0)),""))</f>
        <v/>
      </c>
      <c r="D155" s="14">
        <f>IF(A155="","",IFERROR(INDEX(tbl_Finance[Client],MATCH(A155&amp;"",tbl_Finance[Job Number],0)),""))</f>
        <v/>
      </c>
      <c r="E155" s="44">
        <f>IF(A155="","",COUNTIFS(tbl_Finance[Job Number],A155&amp;"",tbl_Finance[Ex GST],"&lt;&gt;"))</f>
        <v/>
      </c>
      <c r="F155" s="16">
        <f>IF(A155="","",SUMIFS(tbl_Finance[Ex GST],tbl_Finance[Job Number],A155&amp;""))</f>
        <v/>
      </c>
      <c r="G155" s="14">
        <f>IF(A155="","",IFERROR(INDEX(tbl_Finance[Cost Centre],MATCH(A155&amp;"",tbl_Finance[Job Number],0)),"not invoiced yet"))</f>
        <v/>
      </c>
      <c r="H155" s="13" t="n"/>
      <c r="I155" s="13" t="n"/>
      <c r="J155" s="15" t="n"/>
      <c r="K155" s="15" t="n"/>
      <c r="L155" s="15" t="n"/>
      <c r="M155" s="14">
        <f>IF(A155="","",IF(N(J155)+N(K155)+N(L155)=0,"Not split",IF(ROUND(N(J155)+N(K155)+N(L155),2)=ROUND(F155,2),"OK","MISMATCH")))</f>
        <v/>
      </c>
      <c r="N155" s="15" t="n"/>
      <c r="O155" s="15" t="n"/>
      <c r="P155" s="15" t="n"/>
      <c r="Q155" s="16">
        <f>IF(A155="","",N(N155)+N(O155)+N(P155))</f>
        <v/>
      </c>
      <c r="R155" s="16">
        <f>IF(A155="","",F155-Q155)</f>
        <v/>
      </c>
      <c r="S155" s="46">
        <f>IFERROR(R155/F155,"")</f>
        <v/>
      </c>
      <c r="T155" s="13" t="n"/>
    </row>
    <row r="156" ht="15" customHeight="1">
      <c r="A156" s="13" t="n"/>
      <c r="B156" s="14">
        <f>IF(A156="","",IF(COUNTIF(lst_Jobs,A156&amp;"")&gt;0,"OK","CHECK"))</f>
        <v/>
      </c>
      <c r="C156" s="14">
        <f>IF(A156="","",IFERROR(INDEX(lst_JobName,MATCH(A156&amp;"",lst_Jobs,0)),""))</f>
        <v/>
      </c>
      <c r="D156" s="14">
        <f>IF(A156="","",IFERROR(INDEX(tbl_Finance[Client],MATCH(A156&amp;"",tbl_Finance[Job Number],0)),""))</f>
        <v/>
      </c>
      <c r="E156" s="44">
        <f>IF(A156="","",COUNTIFS(tbl_Finance[Job Number],A156&amp;"",tbl_Finance[Ex GST],"&lt;&gt;"))</f>
        <v/>
      </c>
      <c r="F156" s="16">
        <f>IF(A156="","",SUMIFS(tbl_Finance[Ex GST],tbl_Finance[Job Number],A156&amp;""))</f>
        <v/>
      </c>
      <c r="G156" s="14">
        <f>IF(A156="","",IFERROR(INDEX(tbl_Finance[Cost Centre],MATCH(A156&amp;"",tbl_Finance[Job Number],0)),"not invoiced yet"))</f>
        <v/>
      </c>
      <c r="H156" s="13" t="n"/>
      <c r="I156" s="13" t="n"/>
      <c r="J156" s="15" t="n"/>
      <c r="K156" s="15" t="n"/>
      <c r="L156" s="15" t="n"/>
      <c r="M156" s="14">
        <f>IF(A156="","",IF(N(J156)+N(K156)+N(L156)=0,"Not split",IF(ROUND(N(J156)+N(K156)+N(L156),2)=ROUND(F156,2),"OK","MISMATCH")))</f>
        <v/>
      </c>
      <c r="N156" s="15" t="n"/>
      <c r="O156" s="15" t="n"/>
      <c r="P156" s="15" t="n"/>
      <c r="Q156" s="16">
        <f>IF(A156="","",N(N156)+N(O156)+N(P156))</f>
        <v/>
      </c>
      <c r="R156" s="16">
        <f>IF(A156="","",F156-Q156)</f>
        <v/>
      </c>
      <c r="S156" s="46">
        <f>IFERROR(R156/F156,"")</f>
        <v/>
      </c>
      <c r="T156" s="13" t="n"/>
    </row>
    <row r="157" ht="15" customHeight="1">
      <c r="A157" s="13" t="n"/>
      <c r="B157" s="14">
        <f>IF(A157="","",IF(COUNTIF(lst_Jobs,A157&amp;"")&gt;0,"OK","CHECK"))</f>
        <v/>
      </c>
      <c r="C157" s="14">
        <f>IF(A157="","",IFERROR(INDEX(lst_JobName,MATCH(A157&amp;"",lst_Jobs,0)),""))</f>
        <v/>
      </c>
      <c r="D157" s="14">
        <f>IF(A157="","",IFERROR(INDEX(tbl_Finance[Client],MATCH(A157&amp;"",tbl_Finance[Job Number],0)),""))</f>
        <v/>
      </c>
      <c r="E157" s="44">
        <f>IF(A157="","",COUNTIFS(tbl_Finance[Job Number],A157&amp;"",tbl_Finance[Ex GST],"&lt;&gt;"))</f>
        <v/>
      </c>
      <c r="F157" s="16">
        <f>IF(A157="","",SUMIFS(tbl_Finance[Ex GST],tbl_Finance[Job Number],A157&amp;""))</f>
        <v/>
      </c>
      <c r="G157" s="14">
        <f>IF(A157="","",IFERROR(INDEX(tbl_Finance[Cost Centre],MATCH(A157&amp;"",tbl_Finance[Job Number],0)),"not invoiced yet"))</f>
        <v/>
      </c>
      <c r="H157" s="13" t="n"/>
      <c r="I157" s="13" t="n"/>
      <c r="J157" s="15" t="n"/>
      <c r="K157" s="15" t="n"/>
      <c r="L157" s="15" t="n"/>
      <c r="M157" s="14">
        <f>IF(A157="","",IF(N(J157)+N(K157)+N(L157)=0,"Not split",IF(ROUND(N(J157)+N(K157)+N(L157),2)=ROUND(F157,2),"OK","MISMATCH")))</f>
        <v/>
      </c>
      <c r="N157" s="15" t="n"/>
      <c r="O157" s="15" t="n"/>
      <c r="P157" s="15" t="n"/>
      <c r="Q157" s="16">
        <f>IF(A157="","",N(N157)+N(O157)+N(P157))</f>
        <v/>
      </c>
      <c r="R157" s="16">
        <f>IF(A157="","",F157-Q157)</f>
        <v/>
      </c>
      <c r="S157" s="46">
        <f>IFERROR(R157/F157,"")</f>
        <v/>
      </c>
      <c r="T157" s="13" t="n"/>
    </row>
    <row r="158" ht="15" customHeight="1">
      <c r="A158" s="13" t="n"/>
      <c r="B158" s="14">
        <f>IF(A158="","",IF(COUNTIF(lst_Jobs,A158&amp;"")&gt;0,"OK","CHECK"))</f>
        <v/>
      </c>
      <c r="C158" s="14">
        <f>IF(A158="","",IFERROR(INDEX(lst_JobName,MATCH(A158&amp;"",lst_Jobs,0)),""))</f>
        <v/>
      </c>
      <c r="D158" s="14">
        <f>IF(A158="","",IFERROR(INDEX(tbl_Finance[Client],MATCH(A158&amp;"",tbl_Finance[Job Number],0)),""))</f>
        <v/>
      </c>
      <c r="E158" s="44">
        <f>IF(A158="","",COUNTIFS(tbl_Finance[Job Number],A158&amp;"",tbl_Finance[Ex GST],"&lt;&gt;"))</f>
        <v/>
      </c>
      <c r="F158" s="16">
        <f>IF(A158="","",SUMIFS(tbl_Finance[Ex GST],tbl_Finance[Job Number],A158&amp;""))</f>
        <v/>
      </c>
      <c r="G158" s="14">
        <f>IF(A158="","",IFERROR(INDEX(tbl_Finance[Cost Centre],MATCH(A158&amp;"",tbl_Finance[Job Number],0)),"not invoiced yet"))</f>
        <v/>
      </c>
      <c r="H158" s="13" t="n"/>
      <c r="I158" s="13" t="n"/>
      <c r="J158" s="15" t="n"/>
      <c r="K158" s="15" t="n"/>
      <c r="L158" s="15" t="n"/>
      <c r="M158" s="14">
        <f>IF(A158="","",IF(N(J158)+N(K158)+N(L158)=0,"Not split",IF(ROUND(N(J158)+N(K158)+N(L158),2)=ROUND(F158,2),"OK","MISMATCH")))</f>
        <v/>
      </c>
      <c r="N158" s="15" t="n"/>
      <c r="O158" s="15" t="n"/>
      <c r="P158" s="15" t="n"/>
      <c r="Q158" s="16">
        <f>IF(A158="","",N(N158)+N(O158)+N(P158))</f>
        <v/>
      </c>
      <c r="R158" s="16">
        <f>IF(A158="","",F158-Q158)</f>
        <v/>
      </c>
      <c r="S158" s="46">
        <f>IFERROR(R158/F158,"")</f>
        <v/>
      </c>
      <c r="T158" s="13" t="n"/>
    </row>
    <row r="159" ht="15" customHeight="1">
      <c r="A159" s="13" t="n"/>
      <c r="B159" s="14">
        <f>IF(A159="","",IF(COUNTIF(lst_Jobs,A159&amp;"")&gt;0,"OK","CHECK"))</f>
        <v/>
      </c>
      <c r="C159" s="14">
        <f>IF(A159="","",IFERROR(INDEX(lst_JobName,MATCH(A159&amp;"",lst_Jobs,0)),""))</f>
        <v/>
      </c>
      <c r="D159" s="14">
        <f>IF(A159="","",IFERROR(INDEX(tbl_Finance[Client],MATCH(A159&amp;"",tbl_Finance[Job Number],0)),""))</f>
        <v/>
      </c>
      <c r="E159" s="44">
        <f>IF(A159="","",COUNTIFS(tbl_Finance[Job Number],A159&amp;"",tbl_Finance[Ex GST],"&lt;&gt;"))</f>
        <v/>
      </c>
      <c r="F159" s="16">
        <f>IF(A159="","",SUMIFS(tbl_Finance[Ex GST],tbl_Finance[Job Number],A159&amp;""))</f>
        <v/>
      </c>
      <c r="G159" s="14">
        <f>IF(A159="","",IFERROR(INDEX(tbl_Finance[Cost Centre],MATCH(A159&amp;"",tbl_Finance[Job Number],0)),"not invoiced yet"))</f>
        <v/>
      </c>
      <c r="H159" s="13" t="n"/>
      <c r="I159" s="13" t="n"/>
      <c r="J159" s="15" t="n"/>
      <c r="K159" s="15" t="n"/>
      <c r="L159" s="15" t="n"/>
      <c r="M159" s="14">
        <f>IF(A159="","",IF(N(J159)+N(K159)+N(L159)=0,"Not split",IF(ROUND(N(J159)+N(K159)+N(L159),2)=ROUND(F159,2),"OK","MISMATCH")))</f>
        <v/>
      </c>
      <c r="N159" s="15" t="n"/>
      <c r="O159" s="15" t="n"/>
      <c r="P159" s="15" t="n"/>
      <c r="Q159" s="16">
        <f>IF(A159="","",N(N159)+N(O159)+N(P159))</f>
        <v/>
      </c>
      <c r="R159" s="16">
        <f>IF(A159="","",F159-Q159)</f>
        <v/>
      </c>
      <c r="S159" s="46">
        <f>IFERROR(R159/F159,"")</f>
        <v/>
      </c>
      <c r="T159" s="13" t="n"/>
    </row>
    <row r="160" ht="15" customHeight="1">
      <c r="A160" s="13" t="n"/>
      <c r="B160" s="14">
        <f>IF(A160="","",IF(COUNTIF(lst_Jobs,A160&amp;"")&gt;0,"OK","CHECK"))</f>
        <v/>
      </c>
      <c r="C160" s="14">
        <f>IF(A160="","",IFERROR(INDEX(lst_JobName,MATCH(A160&amp;"",lst_Jobs,0)),""))</f>
        <v/>
      </c>
      <c r="D160" s="14">
        <f>IF(A160="","",IFERROR(INDEX(tbl_Finance[Client],MATCH(A160&amp;"",tbl_Finance[Job Number],0)),""))</f>
        <v/>
      </c>
      <c r="E160" s="44">
        <f>IF(A160="","",COUNTIFS(tbl_Finance[Job Number],A160&amp;"",tbl_Finance[Ex GST],"&lt;&gt;"))</f>
        <v/>
      </c>
      <c r="F160" s="16">
        <f>IF(A160="","",SUMIFS(tbl_Finance[Ex GST],tbl_Finance[Job Number],A160&amp;""))</f>
        <v/>
      </c>
      <c r="G160" s="14">
        <f>IF(A160="","",IFERROR(INDEX(tbl_Finance[Cost Centre],MATCH(A160&amp;"",tbl_Finance[Job Number],0)),"not invoiced yet"))</f>
        <v/>
      </c>
      <c r="H160" s="13" t="n"/>
      <c r="I160" s="13" t="n"/>
      <c r="J160" s="15" t="n"/>
      <c r="K160" s="15" t="n"/>
      <c r="L160" s="15" t="n"/>
      <c r="M160" s="14">
        <f>IF(A160="","",IF(N(J160)+N(K160)+N(L160)=0,"Not split",IF(ROUND(N(J160)+N(K160)+N(L160),2)=ROUND(F160,2),"OK","MISMATCH")))</f>
        <v/>
      </c>
      <c r="N160" s="15" t="n"/>
      <c r="O160" s="15" t="n"/>
      <c r="P160" s="15" t="n"/>
      <c r="Q160" s="16">
        <f>IF(A160="","",N(N160)+N(O160)+N(P160))</f>
        <v/>
      </c>
      <c r="R160" s="16">
        <f>IF(A160="","",F160-Q160)</f>
        <v/>
      </c>
      <c r="S160" s="46">
        <f>IFERROR(R160/F160,"")</f>
        <v/>
      </c>
      <c r="T160" s="13" t="n"/>
    </row>
    <row r="161" ht="15" customHeight="1">
      <c r="A161" s="13" t="n"/>
      <c r="B161" s="14">
        <f>IF(A161="","",IF(COUNTIF(lst_Jobs,A161&amp;"")&gt;0,"OK","CHECK"))</f>
        <v/>
      </c>
      <c r="C161" s="14">
        <f>IF(A161="","",IFERROR(INDEX(lst_JobName,MATCH(A161&amp;"",lst_Jobs,0)),""))</f>
        <v/>
      </c>
      <c r="D161" s="14">
        <f>IF(A161="","",IFERROR(INDEX(tbl_Finance[Client],MATCH(A161&amp;"",tbl_Finance[Job Number],0)),""))</f>
        <v/>
      </c>
      <c r="E161" s="44">
        <f>IF(A161="","",COUNTIFS(tbl_Finance[Job Number],A161&amp;"",tbl_Finance[Ex GST],"&lt;&gt;"))</f>
        <v/>
      </c>
      <c r="F161" s="16">
        <f>IF(A161="","",SUMIFS(tbl_Finance[Ex GST],tbl_Finance[Job Number],A161&amp;""))</f>
        <v/>
      </c>
      <c r="G161" s="14">
        <f>IF(A161="","",IFERROR(INDEX(tbl_Finance[Cost Centre],MATCH(A161&amp;"",tbl_Finance[Job Number],0)),"not invoiced yet"))</f>
        <v/>
      </c>
      <c r="H161" s="13" t="n"/>
      <c r="I161" s="13" t="n"/>
      <c r="J161" s="15" t="n"/>
      <c r="K161" s="15" t="n"/>
      <c r="L161" s="15" t="n"/>
      <c r="M161" s="14">
        <f>IF(A161="","",IF(N(J161)+N(K161)+N(L161)=0,"Not split",IF(ROUND(N(J161)+N(K161)+N(L161),2)=ROUND(F161,2),"OK","MISMATCH")))</f>
        <v/>
      </c>
      <c r="N161" s="15" t="n"/>
      <c r="O161" s="15" t="n"/>
      <c r="P161" s="15" t="n"/>
      <c r="Q161" s="16">
        <f>IF(A161="","",N(N161)+N(O161)+N(P161))</f>
        <v/>
      </c>
      <c r="R161" s="16">
        <f>IF(A161="","",F161-Q161)</f>
        <v/>
      </c>
      <c r="S161" s="46">
        <f>IFERROR(R161/F161,"")</f>
        <v/>
      </c>
      <c r="T161" s="13" t="n"/>
    </row>
    <row r="162" ht="15" customHeight="1">
      <c r="A162" s="13" t="n"/>
      <c r="B162" s="14">
        <f>IF(A162="","",IF(COUNTIF(lst_Jobs,A162&amp;"")&gt;0,"OK","CHECK"))</f>
        <v/>
      </c>
      <c r="C162" s="14">
        <f>IF(A162="","",IFERROR(INDEX(lst_JobName,MATCH(A162&amp;"",lst_Jobs,0)),""))</f>
        <v/>
      </c>
      <c r="D162" s="14">
        <f>IF(A162="","",IFERROR(INDEX(tbl_Finance[Client],MATCH(A162&amp;"",tbl_Finance[Job Number],0)),""))</f>
        <v/>
      </c>
      <c r="E162" s="44">
        <f>IF(A162="","",COUNTIFS(tbl_Finance[Job Number],A162&amp;"",tbl_Finance[Ex GST],"&lt;&gt;"))</f>
        <v/>
      </c>
      <c r="F162" s="16">
        <f>IF(A162="","",SUMIFS(tbl_Finance[Ex GST],tbl_Finance[Job Number],A162&amp;""))</f>
        <v/>
      </c>
      <c r="G162" s="14">
        <f>IF(A162="","",IFERROR(INDEX(tbl_Finance[Cost Centre],MATCH(A162&amp;"",tbl_Finance[Job Number],0)),"not invoiced yet"))</f>
        <v/>
      </c>
      <c r="H162" s="13" t="n"/>
      <c r="I162" s="13" t="n"/>
      <c r="J162" s="15" t="n"/>
      <c r="K162" s="15" t="n"/>
      <c r="L162" s="15" t="n"/>
      <c r="M162" s="14">
        <f>IF(A162="","",IF(N(J162)+N(K162)+N(L162)=0,"Not split",IF(ROUND(N(J162)+N(K162)+N(L162),2)=ROUND(F162,2),"OK","MISMATCH")))</f>
        <v/>
      </c>
      <c r="N162" s="15" t="n"/>
      <c r="O162" s="15" t="n"/>
      <c r="P162" s="15" t="n"/>
      <c r="Q162" s="16">
        <f>IF(A162="","",N(N162)+N(O162)+N(P162))</f>
        <v/>
      </c>
      <c r="R162" s="16">
        <f>IF(A162="","",F162-Q162)</f>
        <v/>
      </c>
      <c r="S162" s="46">
        <f>IFERROR(R162/F162,"")</f>
        <v/>
      </c>
      <c r="T162" s="13" t="n"/>
    </row>
    <row r="163" ht="15" customHeight="1">
      <c r="A163" s="13" t="n"/>
      <c r="B163" s="14">
        <f>IF(A163="","",IF(COUNTIF(lst_Jobs,A163&amp;"")&gt;0,"OK","CHECK"))</f>
        <v/>
      </c>
      <c r="C163" s="14">
        <f>IF(A163="","",IFERROR(INDEX(lst_JobName,MATCH(A163&amp;"",lst_Jobs,0)),""))</f>
        <v/>
      </c>
      <c r="D163" s="14">
        <f>IF(A163="","",IFERROR(INDEX(tbl_Finance[Client],MATCH(A163&amp;"",tbl_Finance[Job Number],0)),""))</f>
        <v/>
      </c>
      <c r="E163" s="44">
        <f>IF(A163="","",COUNTIFS(tbl_Finance[Job Number],A163&amp;"",tbl_Finance[Ex GST],"&lt;&gt;"))</f>
        <v/>
      </c>
      <c r="F163" s="16">
        <f>IF(A163="","",SUMIFS(tbl_Finance[Ex GST],tbl_Finance[Job Number],A163&amp;""))</f>
        <v/>
      </c>
      <c r="G163" s="14">
        <f>IF(A163="","",IFERROR(INDEX(tbl_Finance[Cost Centre],MATCH(A163&amp;"",tbl_Finance[Job Number],0)),"not invoiced yet"))</f>
        <v/>
      </c>
      <c r="H163" s="13" t="n"/>
      <c r="I163" s="13" t="n"/>
      <c r="J163" s="15" t="n"/>
      <c r="K163" s="15" t="n"/>
      <c r="L163" s="15" t="n"/>
      <c r="M163" s="14">
        <f>IF(A163="","",IF(N(J163)+N(K163)+N(L163)=0,"Not split",IF(ROUND(N(J163)+N(K163)+N(L163),2)=ROUND(F163,2),"OK","MISMATCH")))</f>
        <v/>
      </c>
      <c r="N163" s="15" t="n"/>
      <c r="O163" s="15" t="n"/>
      <c r="P163" s="15" t="n"/>
      <c r="Q163" s="16">
        <f>IF(A163="","",N(N163)+N(O163)+N(P163))</f>
        <v/>
      </c>
      <c r="R163" s="16">
        <f>IF(A163="","",F163-Q163)</f>
        <v/>
      </c>
      <c r="S163" s="46">
        <f>IFERROR(R163/F163,"")</f>
        <v/>
      </c>
      <c r="T163" s="13" t="n"/>
    </row>
    <row r="164" ht="15" customHeight="1">
      <c r="A164" s="13" t="n"/>
      <c r="B164" s="14">
        <f>IF(A164="","",IF(COUNTIF(lst_Jobs,A164&amp;"")&gt;0,"OK","CHECK"))</f>
        <v/>
      </c>
      <c r="C164" s="14">
        <f>IF(A164="","",IFERROR(INDEX(lst_JobName,MATCH(A164&amp;"",lst_Jobs,0)),""))</f>
        <v/>
      </c>
      <c r="D164" s="14">
        <f>IF(A164="","",IFERROR(INDEX(tbl_Finance[Client],MATCH(A164&amp;"",tbl_Finance[Job Number],0)),""))</f>
        <v/>
      </c>
      <c r="E164" s="44">
        <f>IF(A164="","",COUNTIFS(tbl_Finance[Job Number],A164&amp;"",tbl_Finance[Ex GST],"&lt;&gt;"))</f>
        <v/>
      </c>
      <c r="F164" s="16">
        <f>IF(A164="","",SUMIFS(tbl_Finance[Ex GST],tbl_Finance[Job Number],A164&amp;""))</f>
        <v/>
      </c>
      <c r="G164" s="14">
        <f>IF(A164="","",IFERROR(INDEX(tbl_Finance[Cost Centre],MATCH(A164&amp;"",tbl_Finance[Job Number],0)),"not invoiced yet"))</f>
        <v/>
      </c>
      <c r="H164" s="13" t="n"/>
      <c r="I164" s="13" t="n"/>
      <c r="J164" s="15" t="n"/>
      <c r="K164" s="15" t="n"/>
      <c r="L164" s="15" t="n"/>
      <c r="M164" s="14">
        <f>IF(A164="","",IF(N(J164)+N(K164)+N(L164)=0,"Not split",IF(ROUND(N(J164)+N(K164)+N(L164),2)=ROUND(F164,2),"OK","MISMATCH")))</f>
        <v/>
      </c>
      <c r="N164" s="15" t="n"/>
      <c r="O164" s="15" t="n"/>
      <c r="P164" s="15" t="n"/>
      <c r="Q164" s="16">
        <f>IF(A164="","",N(N164)+N(O164)+N(P164))</f>
        <v/>
      </c>
      <c r="R164" s="16">
        <f>IF(A164="","",F164-Q164)</f>
        <v/>
      </c>
      <c r="S164" s="46">
        <f>IFERROR(R164/F164,"")</f>
        <v/>
      </c>
      <c r="T164" s="13" t="n"/>
    </row>
    <row r="165" ht="15" customHeight="1">
      <c r="A165" s="13" t="n"/>
      <c r="B165" s="14">
        <f>IF(A165="","",IF(COUNTIF(lst_Jobs,A165&amp;"")&gt;0,"OK","CHECK"))</f>
        <v/>
      </c>
      <c r="C165" s="14">
        <f>IF(A165="","",IFERROR(INDEX(lst_JobName,MATCH(A165&amp;"",lst_Jobs,0)),""))</f>
        <v/>
      </c>
      <c r="D165" s="14">
        <f>IF(A165="","",IFERROR(INDEX(tbl_Finance[Client],MATCH(A165&amp;"",tbl_Finance[Job Number],0)),""))</f>
        <v/>
      </c>
      <c r="E165" s="44">
        <f>IF(A165="","",COUNTIFS(tbl_Finance[Job Number],A165&amp;"",tbl_Finance[Ex GST],"&lt;&gt;"))</f>
        <v/>
      </c>
      <c r="F165" s="16">
        <f>IF(A165="","",SUMIFS(tbl_Finance[Ex GST],tbl_Finance[Job Number],A165&amp;""))</f>
        <v/>
      </c>
      <c r="G165" s="14">
        <f>IF(A165="","",IFERROR(INDEX(tbl_Finance[Cost Centre],MATCH(A165&amp;"",tbl_Finance[Job Number],0)),"not invoiced yet"))</f>
        <v/>
      </c>
      <c r="H165" s="13" t="n"/>
      <c r="I165" s="13" t="n"/>
      <c r="J165" s="15" t="n"/>
      <c r="K165" s="15" t="n"/>
      <c r="L165" s="15" t="n"/>
      <c r="M165" s="14">
        <f>IF(A165="","",IF(N(J165)+N(K165)+N(L165)=0,"Not split",IF(ROUND(N(J165)+N(K165)+N(L165),2)=ROUND(F165,2),"OK","MISMATCH")))</f>
        <v/>
      </c>
      <c r="N165" s="15" t="n"/>
      <c r="O165" s="15" t="n"/>
      <c r="P165" s="15" t="n"/>
      <c r="Q165" s="16">
        <f>IF(A165="","",N(N165)+N(O165)+N(P165))</f>
        <v/>
      </c>
      <c r="R165" s="16">
        <f>IF(A165="","",F165-Q165)</f>
        <v/>
      </c>
      <c r="S165" s="46">
        <f>IFERROR(R165/F165,"")</f>
        <v/>
      </c>
      <c r="T165" s="13" t="n"/>
    </row>
    <row r="166" ht="15" customHeight="1">
      <c r="A166" s="13" t="n"/>
      <c r="B166" s="14">
        <f>IF(A166="","",IF(COUNTIF(lst_Jobs,A166&amp;"")&gt;0,"OK","CHECK"))</f>
        <v/>
      </c>
      <c r="C166" s="14">
        <f>IF(A166="","",IFERROR(INDEX(lst_JobName,MATCH(A166&amp;"",lst_Jobs,0)),""))</f>
        <v/>
      </c>
      <c r="D166" s="14">
        <f>IF(A166="","",IFERROR(INDEX(tbl_Finance[Client],MATCH(A166&amp;"",tbl_Finance[Job Number],0)),""))</f>
        <v/>
      </c>
      <c r="E166" s="44">
        <f>IF(A166="","",COUNTIFS(tbl_Finance[Job Number],A166&amp;"",tbl_Finance[Ex GST],"&lt;&gt;"))</f>
        <v/>
      </c>
      <c r="F166" s="16">
        <f>IF(A166="","",SUMIFS(tbl_Finance[Ex GST],tbl_Finance[Job Number],A166&amp;""))</f>
        <v/>
      </c>
      <c r="G166" s="14">
        <f>IF(A166="","",IFERROR(INDEX(tbl_Finance[Cost Centre],MATCH(A166&amp;"",tbl_Finance[Job Number],0)),"not invoiced yet"))</f>
        <v/>
      </c>
      <c r="H166" s="13" t="n"/>
      <c r="I166" s="13" t="n"/>
      <c r="J166" s="15" t="n"/>
      <c r="K166" s="15" t="n"/>
      <c r="L166" s="15" t="n"/>
      <c r="M166" s="14">
        <f>IF(A166="","",IF(N(J166)+N(K166)+N(L166)=0,"Not split",IF(ROUND(N(J166)+N(K166)+N(L166),2)=ROUND(F166,2),"OK","MISMATCH")))</f>
        <v/>
      </c>
      <c r="N166" s="15" t="n"/>
      <c r="O166" s="15" t="n"/>
      <c r="P166" s="15" t="n"/>
      <c r="Q166" s="16">
        <f>IF(A166="","",N(N166)+N(O166)+N(P166))</f>
        <v/>
      </c>
      <c r="R166" s="16">
        <f>IF(A166="","",F166-Q166)</f>
        <v/>
      </c>
      <c r="S166" s="46">
        <f>IFERROR(R166/F166,"")</f>
        <v/>
      </c>
      <c r="T166" s="13" t="n"/>
    </row>
    <row r="167" ht="15" customHeight="1">
      <c r="A167" s="13" t="n"/>
      <c r="B167" s="14">
        <f>IF(A167="","",IF(COUNTIF(lst_Jobs,A167&amp;"")&gt;0,"OK","CHECK"))</f>
        <v/>
      </c>
      <c r="C167" s="14">
        <f>IF(A167="","",IFERROR(INDEX(lst_JobName,MATCH(A167&amp;"",lst_Jobs,0)),""))</f>
        <v/>
      </c>
      <c r="D167" s="14">
        <f>IF(A167="","",IFERROR(INDEX(tbl_Finance[Client],MATCH(A167&amp;"",tbl_Finance[Job Number],0)),""))</f>
        <v/>
      </c>
      <c r="E167" s="44">
        <f>IF(A167="","",COUNTIFS(tbl_Finance[Job Number],A167&amp;"",tbl_Finance[Ex GST],"&lt;&gt;"))</f>
        <v/>
      </c>
      <c r="F167" s="16">
        <f>IF(A167="","",SUMIFS(tbl_Finance[Ex GST],tbl_Finance[Job Number],A167&amp;""))</f>
        <v/>
      </c>
      <c r="G167" s="14">
        <f>IF(A167="","",IFERROR(INDEX(tbl_Finance[Cost Centre],MATCH(A167&amp;"",tbl_Finance[Job Number],0)),"not invoiced yet"))</f>
        <v/>
      </c>
      <c r="H167" s="13" t="n"/>
      <c r="I167" s="13" t="n"/>
      <c r="J167" s="15" t="n"/>
      <c r="K167" s="15" t="n"/>
      <c r="L167" s="15" t="n"/>
      <c r="M167" s="14">
        <f>IF(A167="","",IF(N(J167)+N(K167)+N(L167)=0,"Not split",IF(ROUND(N(J167)+N(K167)+N(L167),2)=ROUND(F167,2),"OK","MISMATCH")))</f>
        <v/>
      </c>
      <c r="N167" s="15" t="n"/>
      <c r="O167" s="15" t="n"/>
      <c r="P167" s="15" t="n"/>
      <c r="Q167" s="16">
        <f>IF(A167="","",N(N167)+N(O167)+N(P167))</f>
        <v/>
      </c>
      <c r="R167" s="16">
        <f>IF(A167="","",F167-Q167)</f>
        <v/>
      </c>
      <c r="S167" s="46">
        <f>IFERROR(R167/F167,"")</f>
        <v/>
      </c>
      <c r="T167" s="13" t="n"/>
    </row>
    <row r="168" ht="15" customHeight="1">
      <c r="A168" s="13" t="n"/>
      <c r="B168" s="14">
        <f>IF(A168="","",IF(COUNTIF(lst_Jobs,A168&amp;"")&gt;0,"OK","CHECK"))</f>
        <v/>
      </c>
      <c r="C168" s="14">
        <f>IF(A168="","",IFERROR(INDEX(lst_JobName,MATCH(A168&amp;"",lst_Jobs,0)),""))</f>
        <v/>
      </c>
      <c r="D168" s="14">
        <f>IF(A168="","",IFERROR(INDEX(tbl_Finance[Client],MATCH(A168&amp;"",tbl_Finance[Job Number],0)),""))</f>
        <v/>
      </c>
      <c r="E168" s="44">
        <f>IF(A168="","",COUNTIFS(tbl_Finance[Job Number],A168&amp;"",tbl_Finance[Ex GST],"&lt;&gt;"))</f>
        <v/>
      </c>
      <c r="F168" s="16">
        <f>IF(A168="","",SUMIFS(tbl_Finance[Ex GST],tbl_Finance[Job Number],A168&amp;""))</f>
        <v/>
      </c>
      <c r="G168" s="14">
        <f>IF(A168="","",IFERROR(INDEX(tbl_Finance[Cost Centre],MATCH(A168&amp;"",tbl_Finance[Job Number],0)),"not invoiced yet"))</f>
        <v/>
      </c>
      <c r="H168" s="13" t="n"/>
      <c r="I168" s="13" t="n"/>
      <c r="J168" s="15" t="n"/>
      <c r="K168" s="15" t="n"/>
      <c r="L168" s="15" t="n"/>
      <c r="M168" s="14">
        <f>IF(A168="","",IF(N(J168)+N(K168)+N(L168)=0,"Not split",IF(ROUND(N(J168)+N(K168)+N(L168),2)=ROUND(F168,2),"OK","MISMATCH")))</f>
        <v/>
      </c>
      <c r="N168" s="15" t="n"/>
      <c r="O168" s="15" t="n"/>
      <c r="P168" s="15" t="n"/>
      <c r="Q168" s="16">
        <f>IF(A168="","",N(N168)+N(O168)+N(P168))</f>
        <v/>
      </c>
      <c r="R168" s="16">
        <f>IF(A168="","",F168-Q168)</f>
        <v/>
      </c>
      <c r="S168" s="46">
        <f>IFERROR(R168/F168,"")</f>
        <v/>
      </c>
      <c r="T168" s="13" t="n"/>
    </row>
    <row r="169" ht="15" customHeight="1">
      <c r="A169" s="13" t="n"/>
      <c r="B169" s="14">
        <f>IF(A169="","",IF(COUNTIF(lst_Jobs,A169&amp;"")&gt;0,"OK","CHECK"))</f>
        <v/>
      </c>
      <c r="C169" s="14">
        <f>IF(A169="","",IFERROR(INDEX(lst_JobName,MATCH(A169&amp;"",lst_Jobs,0)),""))</f>
        <v/>
      </c>
      <c r="D169" s="14">
        <f>IF(A169="","",IFERROR(INDEX(tbl_Finance[Client],MATCH(A169&amp;"",tbl_Finance[Job Number],0)),""))</f>
        <v/>
      </c>
      <c r="E169" s="44">
        <f>IF(A169="","",COUNTIFS(tbl_Finance[Job Number],A169&amp;"",tbl_Finance[Ex GST],"&lt;&gt;"))</f>
        <v/>
      </c>
      <c r="F169" s="16">
        <f>IF(A169="","",SUMIFS(tbl_Finance[Ex GST],tbl_Finance[Job Number],A169&amp;""))</f>
        <v/>
      </c>
      <c r="G169" s="14">
        <f>IF(A169="","",IFERROR(INDEX(tbl_Finance[Cost Centre],MATCH(A169&amp;"",tbl_Finance[Job Number],0)),"not invoiced yet"))</f>
        <v/>
      </c>
      <c r="H169" s="13" t="n"/>
      <c r="I169" s="13" t="n"/>
      <c r="J169" s="15" t="n"/>
      <c r="K169" s="15" t="n"/>
      <c r="L169" s="15" t="n"/>
      <c r="M169" s="14">
        <f>IF(A169="","",IF(N(J169)+N(K169)+N(L169)=0,"Not split",IF(ROUND(N(J169)+N(K169)+N(L169),2)=ROUND(F169,2),"OK","MISMATCH")))</f>
        <v/>
      </c>
      <c r="N169" s="15" t="n"/>
      <c r="O169" s="15" t="n"/>
      <c r="P169" s="15" t="n"/>
      <c r="Q169" s="16">
        <f>IF(A169="","",N(N169)+N(O169)+N(P169))</f>
        <v/>
      </c>
      <c r="R169" s="16">
        <f>IF(A169="","",F169-Q169)</f>
        <v/>
      </c>
      <c r="S169" s="46">
        <f>IFERROR(R169/F169,"")</f>
        <v/>
      </c>
      <c r="T169" s="13" t="n"/>
    </row>
    <row r="170" ht="15" customHeight="1">
      <c r="A170" s="13" t="n"/>
      <c r="B170" s="14">
        <f>IF(A170="","",IF(COUNTIF(lst_Jobs,A170&amp;"")&gt;0,"OK","CHECK"))</f>
        <v/>
      </c>
      <c r="C170" s="14">
        <f>IF(A170="","",IFERROR(INDEX(lst_JobName,MATCH(A170&amp;"",lst_Jobs,0)),""))</f>
        <v/>
      </c>
      <c r="D170" s="14">
        <f>IF(A170="","",IFERROR(INDEX(tbl_Finance[Client],MATCH(A170&amp;"",tbl_Finance[Job Number],0)),""))</f>
        <v/>
      </c>
      <c r="E170" s="44">
        <f>IF(A170="","",COUNTIFS(tbl_Finance[Job Number],A170&amp;"",tbl_Finance[Ex GST],"&lt;&gt;"))</f>
        <v/>
      </c>
      <c r="F170" s="16">
        <f>IF(A170="","",SUMIFS(tbl_Finance[Ex GST],tbl_Finance[Job Number],A170&amp;""))</f>
        <v/>
      </c>
      <c r="G170" s="14">
        <f>IF(A170="","",IFERROR(INDEX(tbl_Finance[Cost Centre],MATCH(A170&amp;"",tbl_Finance[Job Number],0)),"not invoiced yet"))</f>
        <v/>
      </c>
      <c r="H170" s="13" t="n"/>
      <c r="I170" s="13" t="n"/>
      <c r="J170" s="15" t="n"/>
      <c r="K170" s="15" t="n"/>
      <c r="L170" s="15" t="n"/>
      <c r="M170" s="14">
        <f>IF(A170="","",IF(N(J170)+N(K170)+N(L170)=0,"Not split",IF(ROUND(N(J170)+N(K170)+N(L170),2)=ROUND(F170,2),"OK","MISMATCH")))</f>
        <v/>
      </c>
      <c r="N170" s="15" t="n"/>
      <c r="O170" s="15" t="n"/>
      <c r="P170" s="15" t="n"/>
      <c r="Q170" s="16">
        <f>IF(A170="","",N(N170)+N(O170)+N(P170))</f>
        <v/>
      </c>
      <c r="R170" s="16">
        <f>IF(A170="","",F170-Q170)</f>
        <v/>
      </c>
      <c r="S170" s="46">
        <f>IFERROR(R170/F170,"")</f>
        <v/>
      </c>
      <c r="T170" s="13" t="n"/>
    </row>
    <row r="171" ht="15" customHeight="1">
      <c r="A171" s="13" t="n"/>
      <c r="B171" s="14">
        <f>IF(A171="","",IF(COUNTIF(lst_Jobs,A171&amp;"")&gt;0,"OK","CHECK"))</f>
        <v/>
      </c>
      <c r="C171" s="14">
        <f>IF(A171="","",IFERROR(INDEX(lst_JobName,MATCH(A171&amp;"",lst_Jobs,0)),""))</f>
        <v/>
      </c>
      <c r="D171" s="14">
        <f>IF(A171="","",IFERROR(INDEX(tbl_Finance[Client],MATCH(A171&amp;"",tbl_Finance[Job Number],0)),""))</f>
        <v/>
      </c>
      <c r="E171" s="44">
        <f>IF(A171="","",COUNTIFS(tbl_Finance[Job Number],A171&amp;"",tbl_Finance[Ex GST],"&lt;&gt;"))</f>
        <v/>
      </c>
      <c r="F171" s="16">
        <f>IF(A171="","",SUMIFS(tbl_Finance[Ex GST],tbl_Finance[Job Number],A171&amp;""))</f>
        <v/>
      </c>
      <c r="G171" s="14">
        <f>IF(A171="","",IFERROR(INDEX(tbl_Finance[Cost Centre],MATCH(A171&amp;"",tbl_Finance[Job Number],0)),"not invoiced yet"))</f>
        <v/>
      </c>
      <c r="H171" s="13" t="n"/>
      <c r="I171" s="13" t="n"/>
      <c r="J171" s="15" t="n"/>
      <c r="K171" s="15" t="n"/>
      <c r="L171" s="15" t="n"/>
      <c r="M171" s="14">
        <f>IF(A171="","",IF(N(J171)+N(K171)+N(L171)=0,"Not split",IF(ROUND(N(J171)+N(K171)+N(L171),2)=ROUND(F171,2),"OK","MISMATCH")))</f>
        <v/>
      </c>
      <c r="N171" s="15" t="n"/>
      <c r="O171" s="15" t="n"/>
      <c r="P171" s="15" t="n"/>
      <c r="Q171" s="16">
        <f>IF(A171="","",N(N171)+N(O171)+N(P171))</f>
        <v/>
      </c>
      <c r="R171" s="16">
        <f>IF(A171="","",F171-Q171)</f>
        <v/>
      </c>
      <c r="S171" s="46">
        <f>IFERROR(R171/F171,"")</f>
        <v/>
      </c>
      <c r="T171" s="13" t="n"/>
    </row>
    <row r="172" ht="15" customHeight="1">
      <c r="A172" s="13" t="n"/>
      <c r="B172" s="14">
        <f>IF(A172="","",IF(COUNTIF(lst_Jobs,A172&amp;"")&gt;0,"OK","CHECK"))</f>
        <v/>
      </c>
      <c r="C172" s="14">
        <f>IF(A172="","",IFERROR(INDEX(lst_JobName,MATCH(A172&amp;"",lst_Jobs,0)),""))</f>
        <v/>
      </c>
      <c r="D172" s="14">
        <f>IF(A172="","",IFERROR(INDEX(tbl_Finance[Client],MATCH(A172&amp;"",tbl_Finance[Job Number],0)),""))</f>
        <v/>
      </c>
      <c r="E172" s="44">
        <f>IF(A172="","",COUNTIFS(tbl_Finance[Job Number],A172&amp;"",tbl_Finance[Ex GST],"&lt;&gt;"))</f>
        <v/>
      </c>
      <c r="F172" s="16">
        <f>IF(A172="","",SUMIFS(tbl_Finance[Ex GST],tbl_Finance[Job Number],A172&amp;""))</f>
        <v/>
      </c>
      <c r="G172" s="14">
        <f>IF(A172="","",IFERROR(INDEX(tbl_Finance[Cost Centre],MATCH(A172&amp;"",tbl_Finance[Job Number],0)),"not invoiced yet"))</f>
        <v/>
      </c>
      <c r="H172" s="13" t="n"/>
      <c r="I172" s="13" t="n"/>
      <c r="J172" s="15" t="n"/>
      <c r="K172" s="15" t="n"/>
      <c r="L172" s="15" t="n"/>
      <c r="M172" s="14">
        <f>IF(A172="","",IF(N(J172)+N(K172)+N(L172)=0,"Not split",IF(ROUND(N(J172)+N(K172)+N(L172),2)=ROUND(F172,2),"OK","MISMATCH")))</f>
        <v/>
      </c>
      <c r="N172" s="15" t="n"/>
      <c r="O172" s="15" t="n"/>
      <c r="P172" s="15" t="n"/>
      <c r="Q172" s="16">
        <f>IF(A172="","",N(N172)+N(O172)+N(P172))</f>
        <v/>
      </c>
      <c r="R172" s="16">
        <f>IF(A172="","",F172-Q172)</f>
        <v/>
      </c>
      <c r="S172" s="46">
        <f>IFERROR(R172/F172,"")</f>
        <v/>
      </c>
      <c r="T172" s="13" t="n"/>
    </row>
    <row r="173" ht="15" customHeight="1">
      <c r="A173" s="13" t="n"/>
      <c r="B173" s="14">
        <f>IF(A173="","",IF(COUNTIF(lst_Jobs,A173&amp;"")&gt;0,"OK","CHECK"))</f>
        <v/>
      </c>
      <c r="C173" s="14">
        <f>IF(A173="","",IFERROR(INDEX(lst_JobName,MATCH(A173&amp;"",lst_Jobs,0)),""))</f>
        <v/>
      </c>
      <c r="D173" s="14">
        <f>IF(A173="","",IFERROR(INDEX(tbl_Finance[Client],MATCH(A173&amp;"",tbl_Finance[Job Number],0)),""))</f>
        <v/>
      </c>
      <c r="E173" s="44">
        <f>IF(A173="","",COUNTIFS(tbl_Finance[Job Number],A173&amp;"",tbl_Finance[Ex GST],"&lt;&gt;"))</f>
        <v/>
      </c>
      <c r="F173" s="16">
        <f>IF(A173="","",SUMIFS(tbl_Finance[Ex GST],tbl_Finance[Job Number],A173&amp;""))</f>
        <v/>
      </c>
      <c r="G173" s="14">
        <f>IF(A173="","",IFERROR(INDEX(tbl_Finance[Cost Centre],MATCH(A173&amp;"",tbl_Finance[Job Number],0)),"not invoiced yet"))</f>
        <v/>
      </c>
      <c r="H173" s="13" t="n"/>
      <c r="I173" s="13" t="n"/>
      <c r="J173" s="15" t="n"/>
      <c r="K173" s="15" t="n"/>
      <c r="L173" s="15" t="n"/>
      <c r="M173" s="14">
        <f>IF(A173="","",IF(N(J173)+N(K173)+N(L173)=0,"Not split",IF(ROUND(N(J173)+N(K173)+N(L173),2)=ROUND(F173,2),"OK","MISMATCH")))</f>
        <v/>
      </c>
      <c r="N173" s="15" t="n"/>
      <c r="O173" s="15" t="n"/>
      <c r="P173" s="15" t="n"/>
      <c r="Q173" s="16">
        <f>IF(A173="","",N(N173)+N(O173)+N(P173))</f>
        <v/>
      </c>
      <c r="R173" s="16">
        <f>IF(A173="","",F173-Q173)</f>
        <v/>
      </c>
      <c r="S173" s="46">
        <f>IFERROR(R173/F173,"")</f>
        <v/>
      </c>
      <c r="T173" s="13" t="n"/>
    </row>
    <row r="174" ht="15" customHeight="1">
      <c r="A174" s="13" t="n"/>
      <c r="B174" s="14">
        <f>IF(A174="","",IF(COUNTIF(lst_Jobs,A174&amp;"")&gt;0,"OK","CHECK"))</f>
        <v/>
      </c>
      <c r="C174" s="14">
        <f>IF(A174="","",IFERROR(INDEX(lst_JobName,MATCH(A174&amp;"",lst_Jobs,0)),""))</f>
        <v/>
      </c>
      <c r="D174" s="14">
        <f>IF(A174="","",IFERROR(INDEX(tbl_Finance[Client],MATCH(A174&amp;"",tbl_Finance[Job Number],0)),""))</f>
        <v/>
      </c>
      <c r="E174" s="44">
        <f>IF(A174="","",COUNTIFS(tbl_Finance[Job Number],A174&amp;"",tbl_Finance[Ex GST],"&lt;&gt;"))</f>
        <v/>
      </c>
      <c r="F174" s="16">
        <f>IF(A174="","",SUMIFS(tbl_Finance[Ex GST],tbl_Finance[Job Number],A174&amp;""))</f>
        <v/>
      </c>
      <c r="G174" s="14">
        <f>IF(A174="","",IFERROR(INDEX(tbl_Finance[Cost Centre],MATCH(A174&amp;"",tbl_Finance[Job Number],0)),"not invoiced yet"))</f>
        <v/>
      </c>
      <c r="H174" s="13" t="n"/>
      <c r="I174" s="13" t="n"/>
      <c r="J174" s="15" t="n"/>
      <c r="K174" s="15" t="n"/>
      <c r="L174" s="15" t="n"/>
      <c r="M174" s="14">
        <f>IF(A174="","",IF(N(J174)+N(K174)+N(L174)=0,"Not split",IF(ROUND(N(J174)+N(K174)+N(L174),2)=ROUND(F174,2),"OK","MISMATCH")))</f>
        <v/>
      </c>
      <c r="N174" s="15" t="n"/>
      <c r="O174" s="15" t="n"/>
      <c r="P174" s="15" t="n"/>
      <c r="Q174" s="16">
        <f>IF(A174="","",N(N174)+N(O174)+N(P174))</f>
        <v/>
      </c>
      <c r="R174" s="16">
        <f>IF(A174="","",F174-Q174)</f>
        <v/>
      </c>
      <c r="S174" s="46">
        <f>IFERROR(R174/F174,"")</f>
        <v/>
      </c>
      <c r="T174" s="13" t="n"/>
    </row>
    <row r="175" ht="15" customHeight="1">
      <c r="A175" s="13" t="n"/>
      <c r="B175" s="14">
        <f>IF(A175="","",IF(COUNTIF(lst_Jobs,A175&amp;"")&gt;0,"OK","CHECK"))</f>
        <v/>
      </c>
      <c r="C175" s="14">
        <f>IF(A175="","",IFERROR(INDEX(lst_JobName,MATCH(A175&amp;"",lst_Jobs,0)),""))</f>
        <v/>
      </c>
      <c r="D175" s="14">
        <f>IF(A175="","",IFERROR(INDEX(tbl_Finance[Client],MATCH(A175&amp;"",tbl_Finance[Job Number],0)),""))</f>
        <v/>
      </c>
      <c r="E175" s="44">
        <f>IF(A175="","",COUNTIFS(tbl_Finance[Job Number],A175&amp;"",tbl_Finance[Ex GST],"&lt;&gt;"))</f>
        <v/>
      </c>
      <c r="F175" s="16">
        <f>IF(A175="","",SUMIFS(tbl_Finance[Ex GST],tbl_Finance[Job Number],A175&amp;""))</f>
        <v/>
      </c>
      <c r="G175" s="14">
        <f>IF(A175="","",IFERROR(INDEX(tbl_Finance[Cost Centre],MATCH(A175&amp;"",tbl_Finance[Job Number],0)),"not invoiced yet"))</f>
        <v/>
      </c>
      <c r="H175" s="13" t="n"/>
      <c r="I175" s="13" t="n"/>
      <c r="J175" s="15" t="n"/>
      <c r="K175" s="15" t="n"/>
      <c r="L175" s="15" t="n"/>
      <c r="M175" s="14">
        <f>IF(A175="","",IF(N(J175)+N(K175)+N(L175)=0,"Not split",IF(ROUND(N(J175)+N(K175)+N(L175),2)=ROUND(F175,2),"OK","MISMATCH")))</f>
        <v/>
      </c>
      <c r="N175" s="15" t="n"/>
      <c r="O175" s="15" t="n"/>
      <c r="P175" s="15" t="n"/>
      <c r="Q175" s="16">
        <f>IF(A175="","",N(N175)+N(O175)+N(P175))</f>
        <v/>
      </c>
      <c r="R175" s="16">
        <f>IF(A175="","",F175-Q175)</f>
        <v/>
      </c>
      <c r="S175" s="46">
        <f>IFERROR(R175/F175,"")</f>
        <v/>
      </c>
      <c r="T175" s="13" t="n"/>
    </row>
    <row r="176" ht="15" customHeight="1">
      <c r="A176" s="13" t="n"/>
      <c r="B176" s="14">
        <f>IF(A176="","",IF(COUNTIF(lst_Jobs,A176&amp;"")&gt;0,"OK","CHECK"))</f>
        <v/>
      </c>
      <c r="C176" s="14">
        <f>IF(A176="","",IFERROR(INDEX(lst_JobName,MATCH(A176&amp;"",lst_Jobs,0)),""))</f>
        <v/>
      </c>
      <c r="D176" s="14">
        <f>IF(A176="","",IFERROR(INDEX(tbl_Finance[Client],MATCH(A176&amp;"",tbl_Finance[Job Number],0)),""))</f>
        <v/>
      </c>
      <c r="E176" s="44">
        <f>IF(A176="","",COUNTIFS(tbl_Finance[Job Number],A176&amp;"",tbl_Finance[Ex GST],"&lt;&gt;"))</f>
        <v/>
      </c>
      <c r="F176" s="16">
        <f>IF(A176="","",SUMIFS(tbl_Finance[Ex GST],tbl_Finance[Job Number],A176&amp;""))</f>
        <v/>
      </c>
      <c r="G176" s="14">
        <f>IF(A176="","",IFERROR(INDEX(tbl_Finance[Cost Centre],MATCH(A176&amp;"",tbl_Finance[Job Number],0)),"not invoiced yet"))</f>
        <v/>
      </c>
      <c r="H176" s="13" t="n"/>
      <c r="I176" s="13" t="n"/>
      <c r="J176" s="15" t="n"/>
      <c r="K176" s="15" t="n"/>
      <c r="L176" s="15" t="n"/>
      <c r="M176" s="14">
        <f>IF(A176="","",IF(N(J176)+N(K176)+N(L176)=0,"Not split",IF(ROUND(N(J176)+N(K176)+N(L176),2)=ROUND(F176,2),"OK","MISMATCH")))</f>
        <v/>
      </c>
      <c r="N176" s="15" t="n"/>
      <c r="O176" s="15" t="n"/>
      <c r="P176" s="15" t="n"/>
      <c r="Q176" s="16">
        <f>IF(A176="","",N(N176)+N(O176)+N(P176))</f>
        <v/>
      </c>
      <c r="R176" s="16">
        <f>IF(A176="","",F176-Q176)</f>
        <v/>
      </c>
      <c r="S176" s="46">
        <f>IFERROR(R176/F176,"")</f>
        <v/>
      </c>
      <c r="T176" s="13" t="n"/>
    </row>
    <row r="177" ht="15" customHeight="1">
      <c r="A177" s="13" t="n"/>
      <c r="B177" s="14">
        <f>IF(A177="","",IF(COUNTIF(lst_Jobs,A177&amp;"")&gt;0,"OK","CHECK"))</f>
        <v/>
      </c>
      <c r="C177" s="14">
        <f>IF(A177="","",IFERROR(INDEX(lst_JobName,MATCH(A177&amp;"",lst_Jobs,0)),""))</f>
        <v/>
      </c>
      <c r="D177" s="14">
        <f>IF(A177="","",IFERROR(INDEX(tbl_Finance[Client],MATCH(A177&amp;"",tbl_Finance[Job Number],0)),""))</f>
        <v/>
      </c>
      <c r="E177" s="44">
        <f>IF(A177="","",COUNTIFS(tbl_Finance[Job Number],A177&amp;"",tbl_Finance[Ex GST],"&lt;&gt;"))</f>
        <v/>
      </c>
      <c r="F177" s="16">
        <f>IF(A177="","",SUMIFS(tbl_Finance[Ex GST],tbl_Finance[Job Number],A177&amp;""))</f>
        <v/>
      </c>
      <c r="G177" s="14">
        <f>IF(A177="","",IFERROR(INDEX(tbl_Finance[Cost Centre],MATCH(A177&amp;"",tbl_Finance[Job Number],0)),"not invoiced yet"))</f>
        <v/>
      </c>
      <c r="H177" s="13" t="n"/>
      <c r="I177" s="13" t="n"/>
      <c r="J177" s="15" t="n"/>
      <c r="K177" s="15" t="n"/>
      <c r="L177" s="15" t="n"/>
      <c r="M177" s="14">
        <f>IF(A177="","",IF(N(J177)+N(K177)+N(L177)=0,"Not split",IF(ROUND(N(J177)+N(K177)+N(L177),2)=ROUND(F177,2),"OK","MISMATCH")))</f>
        <v/>
      </c>
      <c r="N177" s="15" t="n"/>
      <c r="O177" s="15" t="n"/>
      <c r="P177" s="15" t="n"/>
      <c r="Q177" s="16">
        <f>IF(A177="","",N(N177)+N(O177)+N(P177))</f>
        <v/>
      </c>
      <c r="R177" s="16">
        <f>IF(A177="","",F177-Q177)</f>
        <v/>
      </c>
      <c r="S177" s="46">
        <f>IFERROR(R177/F177,"")</f>
        <v/>
      </c>
      <c r="T177" s="13" t="n"/>
    </row>
    <row r="178" ht="15" customHeight="1">
      <c r="A178" s="13" t="n"/>
      <c r="B178" s="14">
        <f>IF(A178="","",IF(COUNTIF(lst_Jobs,A178&amp;"")&gt;0,"OK","CHECK"))</f>
        <v/>
      </c>
      <c r="C178" s="14">
        <f>IF(A178="","",IFERROR(INDEX(lst_JobName,MATCH(A178&amp;"",lst_Jobs,0)),""))</f>
        <v/>
      </c>
      <c r="D178" s="14">
        <f>IF(A178="","",IFERROR(INDEX(tbl_Finance[Client],MATCH(A178&amp;"",tbl_Finance[Job Number],0)),""))</f>
        <v/>
      </c>
      <c r="E178" s="44">
        <f>IF(A178="","",COUNTIFS(tbl_Finance[Job Number],A178&amp;"",tbl_Finance[Ex GST],"&lt;&gt;"))</f>
        <v/>
      </c>
      <c r="F178" s="16">
        <f>IF(A178="","",SUMIFS(tbl_Finance[Ex GST],tbl_Finance[Job Number],A178&amp;""))</f>
        <v/>
      </c>
      <c r="G178" s="14">
        <f>IF(A178="","",IFERROR(INDEX(tbl_Finance[Cost Centre],MATCH(A178&amp;"",tbl_Finance[Job Number],0)),"not invoiced yet"))</f>
        <v/>
      </c>
      <c r="H178" s="13" t="n"/>
      <c r="I178" s="13" t="n"/>
      <c r="J178" s="15" t="n"/>
      <c r="K178" s="15" t="n"/>
      <c r="L178" s="15" t="n"/>
      <c r="M178" s="14">
        <f>IF(A178="","",IF(N(J178)+N(K178)+N(L178)=0,"Not split",IF(ROUND(N(J178)+N(K178)+N(L178),2)=ROUND(F178,2),"OK","MISMATCH")))</f>
        <v/>
      </c>
      <c r="N178" s="15" t="n"/>
      <c r="O178" s="15" t="n"/>
      <c r="P178" s="15" t="n"/>
      <c r="Q178" s="16">
        <f>IF(A178="","",N(N178)+N(O178)+N(P178))</f>
        <v/>
      </c>
      <c r="R178" s="16">
        <f>IF(A178="","",F178-Q178)</f>
        <v/>
      </c>
      <c r="S178" s="46">
        <f>IFERROR(R178/F178,"")</f>
        <v/>
      </c>
      <c r="T178" s="13" t="n"/>
    </row>
    <row r="179" ht="15" customHeight="1">
      <c r="A179" s="13" t="n"/>
      <c r="B179" s="14">
        <f>IF(A179="","",IF(COUNTIF(lst_Jobs,A179&amp;"")&gt;0,"OK","CHECK"))</f>
        <v/>
      </c>
      <c r="C179" s="14">
        <f>IF(A179="","",IFERROR(INDEX(lst_JobName,MATCH(A179&amp;"",lst_Jobs,0)),""))</f>
        <v/>
      </c>
      <c r="D179" s="14">
        <f>IF(A179="","",IFERROR(INDEX(tbl_Finance[Client],MATCH(A179&amp;"",tbl_Finance[Job Number],0)),""))</f>
        <v/>
      </c>
      <c r="E179" s="44">
        <f>IF(A179="","",COUNTIFS(tbl_Finance[Job Number],A179&amp;"",tbl_Finance[Ex GST],"&lt;&gt;"))</f>
        <v/>
      </c>
      <c r="F179" s="16">
        <f>IF(A179="","",SUMIFS(tbl_Finance[Ex GST],tbl_Finance[Job Number],A179&amp;""))</f>
        <v/>
      </c>
      <c r="G179" s="14">
        <f>IF(A179="","",IFERROR(INDEX(tbl_Finance[Cost Centre],MATCH(A179&amp;"",tbl_Finance[Job Number],0)),"not invoiced yet"))</f>
        <v/>
      </c>
      <c r="H179" s="13" t="n"/>
      <c r="I179" s="13" t="n"/>
      <c r="J179" s="15" t="n"/>
      <c r="K179" s="15" t="n"/>
      <c r="L179" s="15" t="n"/>
      <c r="M179" s="14">
        <f>IF(A179="","",IF(N(J179)+N(K179)+N(L179)=0,"Not split",IF(ROUND(N(J179)+N(K179)+N(L179),2)=ROUND(F179,2),"OK","MISMATCH")))</f>
        <v/>
      </c>
      <c r="N179" s="15" t="n"/>
      <c r="O179" s="15" t="n"/>
      <c r="P179" s="15" t="n"/>
      <c r="Q179" s="16">
        <f>IF(A179="","",N(N179)+N(O179)+N(P179))</f>
        <v/>
      </c>
      <c r="R179" s="16">
        <f>IF(A179="","",F179-Q179)</f>
        <v/>
      </c>
      <c r="S179" s="46">
        <f>IFERROR(R179/F179,"")</f>
        <v/>
      </c>
      <c r="T179" s="13" t="n"/>
    </row>
    <row r="180" ht="15" customHeight="1">
      <c r="A180" s="13" t="n"/>
      <c r="B180" s="14">
        <f>IF(A180="","",IF(COUNTIF(lst_Jobs,A180&amp;"")&gt;0,"OK","CHECK"))</f>
        <v/>
      </c>
      <c r="C180" s="14">
        <f>IF(A180="","",IFERROR(INDEX(lst_JobName,MATCH(A180&amp;"",lst_Jobs,0)),""))</f>
        <v/>
      </c>
      <c r="D180" s="14">
        <f>IF(A180="","",IFERROR(INDEX(tbl_Finance[Client],MATCH(A180&amp;"",tbl_Finance[Job Number],0)),""))</f>
        <v/>
      </c>
      <c r="E180" s="44">
        <f>IF(A180="","",COUNTIFS(tbl_Finance[Job Number],A180&amp;"",tbl_Finance[Ex GST],"&lt;&gt;"))</f>
        <v/>
      </c>
      <c r="F180" s="16">
        <f>IF(A180="","",SUMIFS(tbl_Finance[Ex GST],tbl_Finance[Job Number],A180&amp;""))</f>
        <v/>
      </c>
      <c r="G180" s="14">
        <f>IF(A180="","",IFERROR(INDEX(tbl_Finance[Cost Centre],MATCH(A180&amp;"",tbl_Finance[Job Number],0)),"not invoiced yet"))</f>
        <v/>
      </c>
      <c r="H180" s="13" t="n"/>
      <c r="I180" s="13" t="n"/>
      <c r="J180" s="15" t="n"/>
      <c r="K180" s="15" t="n"/>
      <c r="L180" s="15" t="n"/>
      <c r="M180" s="14">
        <f>IF(A180="","",IF(N(J180)+N(K180)+N(L180)=0,"Not split",IF(ROUND(N(J180)+N(K180)+N(L180),2)=ROUND(F180,2),"OK","MISMATCH")))</f>
        <v/>
      </c>
      <c r="N180" s="15" t="n"/>
      <c r="O180" s="15" t="n"/>
      <c r="P180" s="15" t="n"/>
      <c r="Q180" s="16">
        <f>IF(A180="","",N(N180)+N(O180)+N(P180))</f>
        <v/>
      </c>
      <c r="R180" s="16">
        <f>IF(A180="","",F180-Q180)</f>
        <v/>
      </c>
      <c r="S180" s="46">
        <f>IFERROR(R180/F180,"")</f>
        <v/>
      </c>
      <c r="T180" s="13" t="n"/>
    </row>
    <row r="181" ht="15" customHeight="1">
      <c r="A181" s="13" t="n"/>
      <c r="B181" s="14">
        <f>IF(A181="","",IF(COUNTIF(lst_Jobs,A181&amp;"")&gt;0,"OK","CHECK"))</f>
        <v/>
      </c>
      <c r="C181" s="14">
        <f>IF(A181="","",IFERROR(INDEX(lst_JobName,MATCH(A181&amp;"",lst_Jobs,0)),""))</f>
        <v/>
      </c>
      <c r="D181" s="14">
        <f>IF(A181="","",IFERROR(INDEX(tbl_Finance[Client],MATCH(A181&amp;"",tbl_Finance[Job Number],0)),""))</f>
        <v/>
      </c>
      <c r="E181" s="44">
        <f>IF(A181="","",COUNTIFS(tbl_Finance[Job Number],A181&amp;"",tbl_Finance[Ex GST],"&lt;&gt;"))</f>
        <v/>
      </c>
      <c r="F181" s="16">
        <f>IF(A181="","",SUMIFS(tbl_Finance[Ex GST],tbl_Finance[Job Number],A181&amp;""))</f>
        <v/>
      </c>
      <c r="G181" s="14">
        <f>IF(A181="","",IFERROR(INDEX(tbl_Finance[Cost Centre],MATCH(A181&amp;"",tbl_Finance[Job Number],0)),"not invoiced yet"))</f>
        <v/>
      </c>
      <c r="H181" s="13" t="n"/>
      <c r="I181" s="13" t="n"/>
      <c r="J181" s="15" t="n"/>
      <c r="K181" s="15" t="n"/>
      <c r="L181" s="15" t="n"/>
      <c r="M181" s="14">
        <f>IF(A181="","",IF(N(J181)+N(K181)+N(L181)=0,"Not split",IF(ROUND(N(J181)+N(K181)+N(L181),2)=ROUND(F181,2),"OK","MISMATCH")))</f>
        <v/>
      </c>
      <c r="N181" s="15" t="n"/>
      <c r="O181" s="15" t="n"/>
      <c r="P181" s="15" t="n"/>
      <c r="Q181" s="16">
        <f>IF(A181="","",N(N181)+N(O181)+N(P181))</f>
        <v/>
      </c>
      <c r="R181" s="16">
        <f>IF(A181="","",F181-Q181)</f>
        <v/>
      </c>
      <c r="S181" s="46">
        <f>IFERROR(R181/F181,"")</f>
        <v/>
      </c>
      <c r="T181" s="13" t="n"/>
    </row>
    <row r="182" ht="15" customHeight="1">
      <c r="A182" s="13" t="n"/>
      <c r="B182" s="14">
        <f>IF(A182="","",IF(COUNTIF(lst_Jobs,A182&amp;"")&gt;0,"OK","CHECK"))</f>
        <v/>
      </c>
      <c r="C182" s="14">
        <f>IF(A182="","",IFERROR(INDEX(lst_JobName,MATCH(A182&amp;"",lst_Jobs,0)),""))</f>
        <v/>
      </c>
      <c r="D182" s="14">
        <f>IF(A182="","",IFERROR(INDEX(tbl_Finance[Client],MATCH(A182&amp;"",tbl_Finance[Job Number],0)),""))</f>
        <v/>
      </c>
      <c r="E182" s="44">
        <f>IF(A182="","",COUNTIFS(tbl_Finance[Job Number],A182&amp;"",tbl_Finance[Ex GST],"&lt;&gt;"))</f>
        <v/>
      </c>
      <c r="F182" s="16">
        <f>IF(A182="","",SUMIFS(tbl_Finance[Ex GST],tbl_Finance[Job Number],A182&amp;""))</f>
        <v/>
      </c>
      <c r="G182" s="14">
        <f>IF(A182="","",IFERROR(INDEX(tbl_Finance[Cost Centre],MATCH(A182&amp;"",tbl_Finance[Job Number],0)),"not invoiced yet"))</f>
        <v/>
      </c>
      <c r="H182" s="13" t="n"/>
      <c r="I182" s="13" t="n"/>
      <c r="J182" s="15" t="n"/>
      <c r="K182" s="15" t="n"/>
      <c r="L182" s="15" t="n"/>
      <c r="M182" s="14">
        <f>IF(A182="","",IF(N(J182)+N(K182)+N(L182)=0,"Not split",IF(ROUND(N(J182)+N(K182)+N(L182),2)=ROUND(F182,2),"OK","MISMATCH")))</f>
        <v/>
      </c>
      <c r="N182" s="15" t="n"/>
      <c r="O182" s="15" t="n"/>
      <c r="P182" s="15" t="n"/>
      <c r="Q182" s="16">
        <f>IF(A182="","",N(N182)+N(O182)+N(P182))</f>
        <v/>
      </c>
      <c r="R182" s="16">
        <f>IF(A182="","",F182-Q182)</f>
        <v/>
      </c>
      <c r="S182" s="46">
        <f>IFERROR(R182/F182,"")</f>
        <v/>
      </c>
      <c r="T182" s="13" t="n"/>
    </row>
    <row r="183" ht="15" customHeight="1">
      <c r="A183" s="13" t="n"/>
      <c r="B183" s="14">
        <f>IF(A183="","",IF(COUNTIF(lst_Jobs,A183&amp;"")&gt;0,"OK","CHECK"))</f>
        <v/>
      </c>
      <c r="C183" s="14">
        <f>IF(A183="","",IFERROR(INDEX(lst_JobName,MATCH(A183&amp;"",lst_Jobs,0)),""))</f>
        <v/>
      </c>
      <c r="D183" s="14">
        <f>IF(A183="","",IFERROR(INDEX(tbl_Finance[Client],MATCH(A183&amp;"",tbl_Finance[Job Number],0)),""))</f>
        <v/>
      </c>
      <c r="E183" s="44">
        <f>IF(A183="","",COUNTIFS(tbl_Finance[Job Number],A183&amp;"",tbl_Finance[Ex GST],"&lt;&gt;"))</f>
        <v/>
      </c>
      <c r="F183" s="16">
        <f>IF(A183="","",SUMIFS(tbl_Finance[Ex GST],tbl_Finance[Job Number],A183&amp;""))</f>
        <v/>
      </c>
      <c r="G183" s="14">
        <f>IF(A183="","",IFERROR(INDEX(tbl_Finance[Cost Centre],MATCH(A183&amp;"",tbl_Finance[Job Number],0)),"not invoiced yet"))</f>
        <v/>
      </c>
      <c r="H183" s="13" t="n"/>
      <c r="I183" s="13" t="n"/>
      <c r="J183" s="15" t="n"/>
      <c r="K183" s="15" t="n"/>
      <c r="L183" s="15" t="n"/>
      <c r="M183" s="14">
        <f>IF(A183="","",IF(N(J183)+N(K183)+N(L183)=0,"Not split",IF(ROUND(N(J183)+N(K183)+N(L183),2)=ROUND(F183,2),"OK","MISMATCH")))</f>
        <v/>
      </c>
      <c r="N183" s="15" t="n"/>
      <c r="O183" s="15" t="n"/>
      <c r="P183" s="15" t="n"/>
      <c r="Q183" s="16">
        <f>IF(A183="","",N(N183)+N(O183)+N(P183))</f>
        <v/>
      </c>
      <c r="R183" s="16">
        <f>IF(A183="","",F183-Q183)</f>
        <v/>
      </c>
      <c r="S183" s="46">
        <f>IFERROR(R183/F183,"")</f>
        <v/>
      </c>
      <c r="T183" s="13" t="n"/>
    </row>
    <row r="184" ht="15" customHeight="1">
      <c r="A184" s="13" t="n"/>
      <c r="B184" s="14">
        <f>IF(A184="","",IF(COUNTIF(lst_Jobs,A184&amp;"")&gt;0,"OK","CHECK"))</f>
        <v/>
      </c>
      <c r="C184" s="14">
        <f>IF(A184="","",IFERROR(INDEX(lst_JobName,MATCH(A184&amp;"",lst_Jobs,0)),""))</f>
        <v/>
      </c>
      <c r="D184" s="14">
        <f>IF(A184="","",IFERROR(INDEX(tbl_Finance[Client],MATCH(A184&amp;"",tbl_Finance[Job Number],0)),""))</f>
        <v/>
      </c>
      <c r="E184" s="44">
        <f>IF(A184="","",COUNTIFS(tbl_Finance[Job Number],A184&amp;"",tbl_Finance[Ex GST],"&lt;&gt;"))</f>
        <v/>
      </c>
      <c r="F184" s="16">
        <f>IF(A184="","",SUMIFS(tbl_Finance[Ex GST],tbl_Finance[Job Number],A184&amp;""))</f>
        <v/>
      </c>
      <c r="G184" s="14">
        <f>IF(A184="","",IFERROR(INDEX(tbl_Finance[Cost Centre],MATCH(A184&amp;"",tbl_Finance[Job Number],0)),"not invoiced yet"))</f>
        <v/>
      </c>
      <c r="H184" s="13" t="n"/>
      <c r="I184" s="13" t="n"/>
      <c r="J184" s="15" t="n"/>
      <c r="K184" s="15" t="n"/>
      <c r="L184" s="15" t="n"/>
      <c r="M184" s="14">
        <f>IF(A184="","",IF(N(J184)+N(K184)+N(L184)=0,"Not split",IF(ROUND(N(J184)+N(K184)+N(L184),2)=ROUND(F184,2),"OK","MISMATCH")))</f>
        <v/>
      </c>
      <c r="N184" s="15" t="n"/>
      <c r="O184" s="15" t="n"/>
      <c r="P184" s="15" t="n"/>
      <c r="Q184" s="16">
        <f>IF(A184="","",N(N184)+N(O184)+N(P184))</f>
        <v/>
      </c>
      <c r="R184" s="16">
        <f>IF(A184="","",F184-Q184)</f>
        <v/>
      </c>
      <c r="S184" s="46">
        <f>IFERROR(R184/F184,"")</f>
        <v/>
      </c>
      <c r="T184" s="13" t="n"/>
    </row>
    <row r="185" ht="15" customHeight="1">
      <c r="A185" s="13" t="n"/>
      <c r="B185" s="14">
        <f>IF(A185="","",IF(COUNTIF(lst_Jobs,A185&amp;"")&gt;0,"OK","CHECK"))</f>
        <v/>
      </c>
      <c r="C185" s="14">
        <f>IF(A185="","",IFERROR(INDEX(lst_JobName,MATCH(A185&amp;"",lst_Jobs,0)),""))</f>
        <v/>
      </c>
      <c r="D185" s="14">
        <f>IF(A185="","",IFERROR(INDEX(tbl_Finance[Client],MATCH(A185&amp;"",tbl_Finance[Job Number],0)),""))</f>
        <v/>
      </c>
      <c r="E185" s="44">
        <f>IF(A185="","",COUNTIFS(tbl_Finance[Job Number],A185&amp;"",tbl_Finance[Ex GST],"&lt;&gt;"))</f>
        <v/>
      </c>
      <c r="F185" s="16">
        <f>IF(A185="","",SUMIFS(tbl_Finance[Ex GST],tbl_Finance[Job Number],A185&amp;""))</f>
        <v/>
      </c>
      <c r="G185" s="14">
        <f>IF(A185="","",IFERROR(INDEX(tbl_Finance[Cost Centre],MATCH(A185&amp;"",tbl_Finance[Job Number],0)),"not invoiced yet"))</f>
        <v/>
      </c>
      <c r="H185" s="13" t="n"/>
      <c r="I185" s="13" t="n"/>
      <c r="J185" s="15" t="n"/>
      <c r="K185" s="15" t="n"/>
      <c r="L185" s="15" t="n"/>
      <c r="M185" s="14">
        <f>IF(A185="","",IF(N(J185)+N(K185)+N(L185)=0,"Not split",IF(ROUND(N(J185)+N(K185)+N(L185),2)=ROUND(F185,2),"OK","MISMATCH")))</f>
        <v/>
      </c>
      <c r="N185" s="15" t="n"/>
      <c r="O185" s="15" t="n"/>
      <c r="P185" s="15" t="n"/>
      <c r="Q185" s="16">
        <f>IF(A185="","",N(N185)+N(O185)+N(P185))</f>
        <v/>
      </c>
      <c r="R185" s="16">
        <f>IF(A185="","",F185-Q185)</f>
        <v/>
      </c>
      <c r="S185" s="46">
        <f>IFERROR(R185/F185,"")</f>
        <v/>
      </c>
      <c r="T185" s="13" t="n"/>
    </row>
    <row r="186" ht="15" customHeight="1">
      <c r="A186" s="13" t="n"/>
      <c r="B186" s="14">
        <f>IF(A186="","",IF(COUNTIF(lst_Jobs,A186&amp;"")&gt;0,"OK","CHECK"))</f>
        <v/>
      </c>
      <c r="C186" s="14">
        <f>IF(A186="","",IFERROR(INDEX(lst_JobName,MATCH(A186&amp;"",lst_Jobs,0)),""))</f>
        <v/>
      </c>
      <c r="D186" s="14">
        <f>IF(A186="","",IFERROR(INDEX(tbl_Finance[Client],MATCH(A186&amp;"",tbl_Finance[Job Number],0)),""))</f>
        <v/>
      </c>
      <c r="E186" s="44">
        <f>IF(A186="","",COUNTIFS(tbl_Finance[Job Number],A186&amp;"",tbl_Finance[Ex GST],"&lt;&gt;"))</f>
        <v/>
      </c>
      <c r="F186" s="16">
        <f>IF(A186="","",SUMIFS(tbl_Finance[Ex GST],tbl_Finance[Job Number],A186&amp;""))</f>
        <v/>
      </c>
      <c r="G186" s="14">
        <f>IF(A186="","",IFERROR(INDEX(tbl_Finance[Cost Centre],MATCH(A186&amp;"",tbl_Finance[Job Number],0)),"not invoiced yet"))</f>
        <v/>
      </c>
      <c r="H186" s="13" t="n"/>
      <c r="I186" s="13" t="n"/>
      <c r="J186" s="15" t="n"/>
      <c r="K186" s="15" t="n"/>
      <c r="L186" s="15" t="n"/>
      <c r="M186" s="14">
        <f>IF(A186="","",IF(N(J186)+N(K186)+N(L186)=0,"Not split",IF(ROUND(N(J186)+N(K186)+N(L186),2)=ROUND(F186,2),"OK","MISMATCH")))</f>
        <v/>
      </c>
      <c r="N186" s="15" t="n"/>
      <c r="O186" s="15" t="n"/>
      <c r="P186" s="15" t="n"/>
      <c r="Q186" s="16">
        <f>IF(A186="","",N(N186)+N(O186)+N(P186))</f>
        <v/>
      </c>
      <c r="R186" s="16">
        <f>IF(A186="","",F186-Q186)</f>
        <v/>
      </c>
      <c r="S186" s="46">
        <f>IFERROR(R186/F186,"")</f>
        <v/>
      </c>
      <c r="T186" s="13" t="n"/>
    </row>
    <row r="187" ht="15" customHeight="1">
      <c r="A187" s="13" t="n"/>
      <c r="B187" s="14">
        <f>IF(A187="","",IF(COUNTIF(lst_Jobs,A187&amp;"")&gt;0,"OK","CHECK"))</f>
        <v/>
      </c>
      <c r="C187" s="14">
        <f>IF(A187="","",IFERROR(INDEX(lst_JobName,MATCH(A187&amp;"",lst_Jobs,0)),""))</f>
        <v/>
      </c>
      <c r="D187" s="14">
        <f>IF(A187="","",IFERROR(INDEX(tbl_Finance[Client],MATCH(A187&amp;"",tbl_Finance[Job Number],0)),""))</f>
        <v/>
      </c>
      <c r="E187" s="44">
        <f>IF(A187="","",COUNTIFS(tbl_Finance[Job Number],A187&amp;"",tbl_Finance[Ex GST],"&lt;&gt;"))</f>
        <v/>
      </c>
      <c r="F187" s="16">
        <f>IF(A187="","",SUMIFS(tbl_Finance[Ex GST],tbl_Finance[Job Number],A187&amp;""))</f>
        <v/>
      </c>
      <c r="G187" s="14">
        <f>IF(A187="","",IFERROR(INDEX(tbl_Finance[Cost Centre],MATCH(A187&amp;"",tbl_Finance[Job Number],0)),"not invoiced yet"))</f>
        <v/>
      </c>
      <c r="H187" s="13" t="n"/>
      <c r="I187" s="13" t="n"/>
      <c r="J187" s="15" t="n"/>
      <c r="K187" s="15" t="n"/>
      <c r="L187" s="15" t="n"/>
      <c r="M187" s="14">
        <f>IF(A187="","",IF(N(J187)+N(K187)+N(L187)=0,"Not split",IF(ROUND(N(J187)+N(K187)+N(L187),2)=ROUND(F187,2),"OK","MISMATCH")))</f>
        <v/>
      </c>
      <c r="N187" s="15" t="n"/>
      <c r="O187" s="15" t="n"/>
      <c r="P187" s="15" t="n"/>
      <c r="Q187" s="16">
        <f>IF(A187="","",N(N187)+N(O187)+N(P187))</f>
        <v/>
      </c>
      <c r="R187" s="16">
        <f>IF(A187="","",F187-Q187)</f>
        <v/>
      </c>
      <c r="S187" s="46">
        <f>IFERROR(R187/F187,"")</f>
        <v/>
      </c>
      <c r="T187" s="13" t="n"/>
    </row>
    <row r="188" ht="15" customHeight="1">
      <c r="A188" s="13" t="n"/>
      <c r="B188" s="14">
        <f>IF(A188="","",IF(COUNTIF(lst_Jobs,A188&amp;"")&gt;0,"OK","CHECK"))</f>
        <v/>
      </c>
      <c r="C188" s="14">
        <f>IF(A188="","",IFERROR(INDEX(lst_JobName,MATCH(A188&amp;"",lst_Jobs,0)),""))</f>
        <v/>
      </c>
      <c r="D188" s="14">
        <f>IF(A188="","",IFERROR(INDEX(tbl_Finance[Client],MATCH(A188&amp;"",tbl_Finance[Job Number],0)),""))</f>
        <v/>
      </c>
      <c r="E188" s="44">
        <f>IF(A188="","",COUNTIFS(tbl_Finance[Job Number],A188&amp;"",tbl_Finance[Ex GST],"&lt;&gt;"))</f>
        <v/>
      </c>
      <c r="F188" s="16">
        <f>IF(A188="","",SUMIFS(tbl_Finance[Ex GST],tbl_Finance[Job Number],A188&amp;""))</f>
        <v/>
      </c>
      <c r="G188" s="14">
        <f>IF(A188="","",IFERROR(INDEX(tbl_Finance[Cost Centre],MATCH(A188&amp;"",tbl_Finance[Job Number],0)),"not invoiced yet"))</f>
        <v/>
      </c>
      <c r="H188" s="13" t="n"/>
      <c r="I188" s="13" t="n"/>
      <c r="J188" s="15" t="n"/>
      <c r="K188" s="15" t="n"/>
      <c r="L188" s="15" t="n"/>
      <c r="M188" s="14">
        <f>IF(A188="","",IF(N(J188)+N(K188)+N(L188)=0,"Not split",IF(ROUND(N(J188)+N(K188)+N(L188),2)=ROUND(F188,2),"OK","MISMATCH")))</f>
        <v/>
      </c>
      <c r="N188" s="15" t="n"/>
      <c r="O188" s="15" t="n"/>
      <c r="P188" s="15" t="n"/>
      <c r="Q188" s="16">
        <f>IF(A188="","",N(N188)+N(O188)+N(P188))</f>
        <v/>
      </c>
      <c r="R188" s="16">
        <f>IF(A188="","",F188-Q188)</f>
        <v/>
      </c>
      <c r="S188" s="46">
        <f>IFERROR(R188/F188,"")</f>
        <v/>
      </c>
      <c r="T188" s="13" t="n"/>
    </row>
    <row r="189" ht="15" customHeight="1">
      <c r="A189" s="13" t="n"/>
      <c r="B189" s="14">
        <f>IF(A189="","",IF(COUNTIF(lst_Jobs,A189&amp;"")&gt;0,"OK","CHECK"))</f>
        <v/>
      </c>
      <c r="C189" s="14">
        <f>IF(A189="","",IFERROR(INDEX(lst_JobName,MATCH(A189&amp;"",lst_Jobs,0)),""))</f>
        <v/>
      </c>
      <c r="D189" s="14">
        <f>IF(A189="","",IFERROR(INDEX(tbl_Finance[Client],MATCH(A189&amp;"",tbl_Finance[Job Number],0)),""))</f>
        <v/>
      </c>
      <c r="E189" s="44">
        <f>IF(A189="","",COUNTIFS(tbl_Finance[Job Number],A189&amp;"",tbl_Finance[Ex GST],"&lt;&gt;"))</f>
        <v/>
      </c>
      <c r="F189" s="16">
        <f>IF(A189="","",SUMIFS(tbl_Finance[Ex GST],tbl_Finance[Job Number],A189&amp;""))</f>
        <v/>
      </c>
      <c r="G189" s="14">
        <f>IF(A189="","",IFERROR(INDEX(tbl_Finance[Cost Centre],MATCH(A189&amp;"",tbl_Finance[Job Number],0)),"not invoiced yet"))</f>
        <v/>
      </c>
      <c r="H189" s="13" t="n"/>
      <c r="I189" s="13" t="n"/>
      <c r="J189" s="15" t="n"/>
      <c r="K189" s="15" t="n"/>
      <c r="L189" s="15" t="n"/>
      <c r="M189" s="14">
        <f>IF(A189="","",IF(N(J189)+N(K189)+N(L189)=0,"Not split",IF(ROUND(N(J189)+N(K189)+N(L189),2)=ROUND(F189,2),"OK","MISMATCH")))</f>
        <v/>
      </c>
      <c r="N189" s="15" t="n"/>
      <c r="O189" s="15" t="n"/>
      <c r="P189" s="15" t="n"/>
      <c r="Q189" s="16">
        <f>IF(A189="","",N(N189)+N(O189)+N(P189))</f>
        <v/>
      </c>
      <c r="R189" s="16">
        <f>IF(A189="","",F189-Q189)</f>
        <v/>
      </c>
      <c r="S189" s="46">
        <f>IFERROR(R189/F189,"")</f>
        <v/>
      </c>
      <c r="T189" s="13" t="n"/>
    </row>
    <row r="190" ht="15" customHeight="1">
      <c r="A190" s="13" t="n"/>
      <c r="B190" s="14">
        <f>IF(A190="","",IF(COUNTIF(lst_Jobs,A190&amp;"")&gt;0,"OK","CHECK"))</f>
        <v/>
      </c>
      <c r="C190" s="14">
        <f>IF(A190="","",IFERROR(INDEX(lst_JobName,MATCH(A190&amp;"",lst_Jobs,0)),""))</f>
        <v/>
      </c>
      <c r="D190" s="14">
        <f>IF(A190="","",IFERROR(INDEX(tbl_Finance[Client],MATCH(A190&amp;"",tbl_Finance[Job Number],0)),""))</f>
        <v/>
      </c>
      <c r="E190" s="44">
        <f>IF(A190="","",COUNTIFS(tbl_Finance[Job Number],A190&amp;"",tbl_Finance[Ex GST],"&lt;&gt;"))</f>
        <v/>
      </c>
      <c r="F190" s="16">
        <f>IF(A190="","",SUMIFS(tbl_Finance[Ex GST],tbl_Finance[Job Number],A190&amp;""))</f>
        <v/>
      </c>
      <c r="G190" s="14">
        <f>IF(A190="","",IFERROR(INDEX(tbl_Finance[Cost Centre],MATCH(A190&amp;"",tbl_Finance[Job Number],0)),"not invoiced yet"))</f>
        <v/>
      </c>
      <c r="H190" s="13" t="n"/>
      <c r="I190" s="13" t="n"/>
      <c r="J190" s="15" t="n"/>
      <c r="K190" s="15" t="n"/>
      <c r="L190" s="15" t="n"/>
      <c r="M190" s="14">
        <f>IF(A190="","",IF(N(J190)+N(K190)+N(L190)=0,"Not split",IF(ROUND(N(J190)+N(K190)+N(L190),2)=ROUND(F190,2),"OK","MISMATCH")))</f>
        <v/>
      </c>
      <c r="N190" s="15" t="n"/>
      <c r="O190" s="15" t="n"/>
      <c r="P190" s="15" t="n"/>
      <c r="Q190" s="16">
        <f>IF(A190="","",N(N190)+N(O190)+N(P190))</f>
        <v/>
      </c>
      <c r="R190" s="16">
        <f>IF(A190="","",F190-Q190)</f>
        <v/>
      </c>
      <c r="S190" s="46">
        <f>IFERROR(R190/F190,"")</f>
        <v/>
      </c>
      <c r="T190" s="13" t="n"/>
    </row>
    <row r="191" ht="15" customHeight="1">
      <c r="A191" s="13" t="n"/>
      <c r="B191" s="14">
        <f>IF(A191="","",IF(COUNTIF(lst_Jobs,A191&amp;"")&gt;0,"OK","CHECK"))</f>
        <v/>
      </c>
      <c r="C191" s="14">
        <f>IF(A191="","",IFERROR(INDEX(lst_JobName,MATCH(A191&amp;"",lst_Jobs,0)),""))</f>
        <v/>
      </c>
      <c r="D191" s="14">
        <f>IF(A191="","",IFERROR(INDEX(tbl_Finance[Client],MATCH(A191&amp;"",tbl_Finance[Job Number],0)),""))</f>
        <v/>
      </c>
      <c r="E191" s="44">
        <f>IF(A191="","",COUNTIFS(tbl_Finance[Job Number],A191&amp;"",tbl_Finance[Ex GST],"&lt;&gt;"))</f>
        <v/>
      </c>
      <c r="F191" s="16">
        <f>IF(A191="","",SUMIFS(tbl_Finance[Ex GST],tbl_Finance[Job Number],A191&amp;""))</f>
        <v/>
      </c>
      <c r="G191" s="14">
        <f>IF(A191="","",IFERROR(INDEX(tbl_Finance[Cost Centre],MATCH(A191&amp;"",tbl_Finance[Job Number],0)),"not invoiced yet"))</f>
        <v/>
      </c>
      <c r="H191" s="13" t="n"/>
      <c r="I191" s="13" t="n"/>
      <c r="J191" s="15" t="n"/>
      <c r="K191" s="15" t="n"/>
      <c r="L191" s="15" t="n"/>
      <c r="M191" s="14">
        <f>IF(A191="","",IF(N(J191)+N(K191)+N(L191)=0,"Not split",IF(ROUND(N(J191)+N(K191)+N(L191),2)=ROUND(F191,2),"OK","MISMATCH")))</f>
        <v/>
      </c>
      <c r="N191" s="15" t="n"/>
      <c r="O191" s="15" t="n"/>
      <c r="P191" s="15" t="n"/>
      <c r="Q191" s="16">
        <f>IF(A191="","",N(N191)+N(O191)+N(P191))</f>
        <v/>
      </c>
      <c r="R191" s="16">
        <f>IF(A191="","",F191-Q191)</f>
        <v/>
      </c>
      <c r="S191" s="46">
        <f>IFERROR(R191/F191,"")</f>
        <v/>
      </c>
      <c r="T191" s="13" t="n"/>
    </row>
    <row r="192" ht="15" customHeight="1">
      <c r="A192" s="13" t="n"/>
      <c r="B192" s="14">
        <f>IF(A192="","",IF(COUNTIF(lst_Jobs,A192&amp;"")&gt;0,"OK","CHECK"))</f>
        <v/>
      </c>
      <c r="C192" s="14">
        <f>IF(A192="","",IFERROR(INDEX(lst_JobName,MATCH(A192&amp;"",lst_Jobs,0)),""))</f>
        <v/>
      </c>
      <c r="D192" s="14">
        <f>IF(A192="","",IFERROR(INDEX(tbl_Finance[Client],MATCH(A192&amp;"",tbl_Finance[Job Number],0)),""))</f>
        <v/>
      </c>
      <c r="E192" s="44">
        <f>IF(A192="","",COUNTIFS(tbl_Finance[Job Number],A192&amp;"",tbl_Finance[Ex GST],"&lt;&gt;"))</f>
        <v/>
      </c>
      <c r="F192" s="16">
        <f>IF(A192="","",SUMIFS(tbl_Finance[Ex GST],tbl_Finance[Job Number],A192&amp;""))</f>
        <v/>
      </c>
      <c r="G192" s="14">
        <f>IF(A192="","",IFERROR(INDEX(tbl_Finance[Cost Centre],MATCH(A192&amp;"",tbl_Finance[Job Number],0)),"not invoiced yet"))</f>
        <v/>
      </c>
      <c r="H192" s="13" t="n"/>
      <c r="I192" s="13" t="n"/>
      <c r="J192" s="15" t="n"/>
      <c r="K192" s="15" t="n"/>
      <c r="L192" s="15" t="n"/>
      <c r="M192" s="14">
        <f>IF(A192="","",IF(N(J192)+N(K192)+N(L192)=0,"Not split",IF(ROUND(N(J192)+N(K192)+N(L192),2)=ROUND(F192,2),"OK","MISMATCH")))</f>
        <v/>
      </c>
      <c r="N192" s="15" t="n"/>
      <c r="O192" s="15" t="n"/>
      <c r="P192" s="15" t="n"/>
      <c r="Q192" s="16">
        <f>IF(A192="","",N(N192)+N(O192)+N(P192))</f>
        <v/>
      </c>
      <c r="R192" s="16">
        <f>IF(A192="","",F192-Q192)</f>
        <v/>
      </c>
      <c r="S192" s="46">
        <f>IFERROR(R192/F192,"")</f>
        <v/>
      </c>
      <c r="T192" s="13" t="n"/>
    </row>
    <row r="193" ht="15" customHeight="1">
      <c r="A193" s="13" t="n"/>
      <c r="B193" s="14">
        <f>IF(A193="","",IF(COUNTIF(lst_Jobs,A193&amp;"")&gt;0,"OK","CHECK"))</f>
        <v/>
      </c>
      <c r="C193" s="14">
        <f>IF(A193="","",IFERROR(INDEX(lst_JobName,MATCH(A193&amp;"",lst_Jobs,0)),""))</f>
        <v/>
      </c>
      <c r="D193" s="14">
        <f>IF(A193="","",IFERROR(INDEX(tbl_Finance[Client],MATCH(A193&amp;"",tbl_Finance[Job Number],0)),""))</f>
        <v/>
      </c>
      <c r="E193" s="44">
        <f>IF(A193="","",COUNTIFS(tbl_Finance[Job Number],A193&amp;"",tbl_Finance[Ex GST],"&lt;&gt;"))</f>
        <v/>
      </c>
      <c r="F193" s="16">
        <f>IF(A193="","",SUMIFS(tbl_Finance[Ex GST],tbl_Finance[Job Number],A193&amp;""))</f>
        <v/>
      </c>
      <c r="G193" s="14">
        <f>IF(A193="","",IFERROR(INDEX(tbl_Finance[Cost Centre],MATCH(A193&amp;"",tbl_Finance[Job Number],0)),"not invoiced yet"))</f>
        <v/>
      </c>
      <c r="H193" s="13" t="n"/>
      <c r="I193" s="13" t="n"/>
      <c r="J193" s="15" t="n"/>
      <c r="K193" s="15" t="n"/>
      <c r="L193" s="15" t="n"/>
      <c r="M193" s="14">
        <f>IF(A193="","",IF(N(J193)+N(K193)+N(L193)=0,"Not split",IF(ROUND(N(J193)+N(K193)+N(L193),2)=ROUND(F193,2),"OK","MISMATCH")))</f>
        <v/>
      </c>
      <c r="N193" s="15" t="n"/>
      <c r="O193" s="15" t="n"/>
      <c r="P193" s="15" t="n"/>
      <c r="Q193" s="16">
        <f>IF(A193="","",N(N193)+N(O193)+N(P193))</f>
        <v/>
      </c>
      <c r="R193" s="16">
        <f>IF(A193="","",F193-Q193)</f>
        <v/>
      </c>
      <c r="S193" s="46">
        <f>IFERROR(R193/F193,"")</f>
        <v/>
      </c>
      <c r="T193" s="13" t="n"/>
    </row>
    <row r="194" ht="15" customHeight="1">
      <c r="A194" s="13" t="n"/>
      <c r="B194" s="14">
        <f>IF(A194="","",IF(COUNTIF(lst_Jobs,A194&amp;"")&gt;0,"OK","CHECK"))</f>
        <v/>
      </c>
      <c r="C194" s="14">
        <f>IF(A194="","",IFERROR(INDEX(lst_JobName,MATCH(A194&amp;"",lst_Jobs,0)),""))</f>
        <v/>
      </c>
      <c r="D194" s="14">
        <f>IF(A194="","",IFERROR(INDEX(tbl_Finance[Client],MATCH(A194&amp;"",tbl_Finance[Job Number],0)),""))</f>
        <v/>
      </c>
      <c r="E194" s="44">
        <f>IF(A194="","",COUNTIFS(tbl_Finance[Job Number],A194&amp;"",tbl_Finance[Ex GST],"&lt;&gt;"))</f>
        <v/>
      </c>
      <c r="F194" s="16">
        <f>IF(A194="","",SUMIFS(tbl_Finance[Ex GST],tbl_Finance[Job Number],A194&amp;""))</f>
        <v/>
      </c>
      <c r="G194" s="14">
        <f>IF(A194="","",IFERROR(INDEX(tbl_Finance[Cost Centre],MATCH(A194&amp;"",tbl_Finance[Job Number],0)),"not invoiced yet"))</f>
        <v/>
      </c>
      <c r="H194" s="13" t="n"/>
      <c r="I194" s="13" t="n"/>
      <c r="J194" s="15" t="n"/>
      <c r="K194" s="15" t="n"/>
      <c r="L194" s="15" t="n"/>
      <c r="M194" s="14">
        <f>IF(A194="","",IF(N(J194)+N(K194)+N(L194)=0,"Not split",IF(ROUND(N(J194)+N(K194)+N(L194),2)=ROUND(F194,2),"OK","MISMATCH")))</f>
        <v/>
      </c>
      <c r="N194" s="15" t="n"/>
      <c r="O194" s="15" t="n"/>
      <c r="P194" s="15" t="n"/>
      <c r="Q194" s="16">
        <f>IF(A194="","",N(N194)+N(O194)+N(P194))</f>
        <v/>
      </c>
      <c r="R194" s="16">
        <f>IF(A194="","",F194-Q194)</f>
        <v/>
      </c>
      <c r="S194" s="46">
        <f>IFERROR(R194/F194,"")</f>
        <v/>
      </c>
      <c r="T194" s="13" t="n"/>
    </row>
    <row r="195" ht="15" customHeight="1">
      <c r="A195" s="13" t="n"/>
      <c r="B195" s="14">
        <f>IF(A195="","",IF(COUNTIF(lst_Jobs,A195&amp;"")&gt;0,"OK","CHECK"))</f>
        <v/>
      </c>
      <c r="C195" s="14">
        <f>IF(A195="","",IFERROR(INDEX(lst_JobName,MATCH(A195&amp;"",lst_Jobs,0)),""))</f>
        <v/>
      </c>
      <c r="D195" s="14">
        <f>IF(A195="","",IFERROR(INDEX(tbl_Finance[Client],MATCH(A195&amp;"",tbl_Finance[Job Number],0)),""))</f>
        <v/>
      </c>
      <c r="E195" s="44">
        <f>IF(A195="","",COUNTIFS(tbl_Finance[Job Number],A195&amp;"",tbl_Finance[Ex GST],"&lt;&gt;"))</f>
        <v/>
      </c>
      <c r="F195" s="16">
        <f>IF(A195="","",SUMIFS(tbl_Finance[Ex GST],tbl_Finance[Job Number],A195&amp;""))</f>
        <v/>
      </c>
      <c r="G195" s="14">
        <f>IF(A195="","",IFERROR(INDEX(tbl_Finance[Cost Centre],MATCH(A195&amp;"",tbl_Finance[Job Number],0)),"not invoiced yet"))</f>
        <v/>
      </c>
      <c r="H195" s="13" t="n"/>
      <c r="I195" s="13" t="n"/>
      <c r="J195" s="15" t="n"/>
      <c r="K195" s="15" t="n"/>
      <c r="L195" s="15" t="n"/>
      <c r="M195" s="14">
        <f>IF(A195="","",IF(N(J195)+N(K195)+N(L195)=0,"Not split",IF(ROUND(N(J195)+N(K195)+N(L195),2)=ROUND(F195,2),"OK","MISMATCH")))</f>
        <v/>
      </c>
      <c r="N195" s="15" t="n"/>
      <c r="O195" s="15" t="n"/>
      <c r="P195" s="15" t="n"/>
      <c r="Q195" s="16">
        <f>IF(A195="","",N(N195)+N(O195)+N(P195))</f>
        <v/>
      </c>
      <c r="R195" s="16">
        <f>IF(A195="","",F195-Q195)</f>
        <v/>
      </c>
      <c r="S195" s="46">
        <f>IFERROR(R195/F195,"")</f>
        <v/>
      </c>
      <c r="T195" s="13" t="n"/>
    </row>
    <row r="196" ht="15" customHeight="1">
      <c r="A196" s="13" t="n"/>
      <c r="B196" s="14">
        <f>IF(A196="","",IF(COUNTIF(lst_Jobs,A196&amp;"")&gt;0,"OK","CHECK"))</f>
        <v/>
      </c>
      <c r="C196" s="14">
        <f>IF(A196="","",IFERROR(INDEX(lst_JobName,MATCH(A196&amp;"",lst_Jobs,0)),""))</f>
        <v/>
      </c>
      <c r="D196" s="14">
        <f>IF(A196="","",IFERROR(INDEX(tbl_Finance[Client],MATCH(A196&amp;"",tbl_Finance[Job Number],0)),""))</f>
        <v/>
      </c>
      <c r="E196" s="44">
        <f>IF(A196="","",COUNTIFS(tbl_Finance[Job Number],A196&amp;"",tbl_Finance[Ex GST],"&lt;&gt;"))</f>
        <v/>
      </c>
      <c r="F196" s="16">
        <f>IF(A196="","",SUMIFS(tbl_Finance[Ex GST],tbl_Finance[Job Number],A196&amp;""))</f>
        <v/>
      </c>
      <c r="G196" s="14">
        <f>IF(A196="","",IFERROR(INDEX(tbl_Finance[Cost Centre],MATCH(A196&amp;"",tbl_Finance[Job Number],0)),"not invoiced yet"))</f>
        <v/>
      </c>
      <c r="H196" s="13" t="n"/>
      <c r="I196" s="13" t="n"/>
      <c r="J196" s="15" t="n"/>
      <c r="K196" s="15" t="n"/>
      <c r="L196" s="15" t="n"/>
      <c r="M196" s="14">
        <f>IF(A196="","",IF(N(J196)+N(K196)+N(L196)=0,"Not split",IF(ROUND(N(J196)+N(K196)+N(L196),2)=ROUND(F196,2),"OK","MISMATCH")))</f>
        <v/>
      </c>
      <c r="N196" s="15" t="n"/>
      <c r="O196" s="15" t="n"/>
      <c r="P196" s="15" t="n"/>
      <c r="Q196" s="16">
        <f>IF(A196="","",N(N196)+N(O196)+N(P196))</f>
        <v/>
      </c>
      <c r="R196" s="16">
        <f>IF(A196="","",F196-Q196)</f>
        <v/>
      </c>
      <c r="S196" s="46">
        <f>IFERROR(R196/F196,"")</f>
        <v/>
      </c>
      <c r="T196" s="13" t="n"/>
    </row>
    <row r="197" ht="15" customHeight="1">
      <c r="A197" s="13" t="n"/>
      <c r="B197" s="14">
        <f>IF(A197="","",IF(COUNTIF(lst_Jobs,A197&amp;"")&gt;0,"OK","CHECK"))</f>
        <v/>
      </c>
      <c r="C197" s="14">
        <f>IF(A197="","",IFERROR(INDEX(lst_JobName,MATCH(A197&amp;"",lst_Jobs,0)),""))</f>
        <v/>
      </c>
      <c r="D197" s="14">
        <f>IF(A197="","",IFERROR(INDEX(tbl_Finance[Client],MATCH(A197&amp;"",tbl_Finance[Job Number],0)),""))</f>
        <v/>
      </c>
      <c r="E197" s="44">
        <f>IF(A197="","",COUNTIFS(tbl_Finance[Job Number],A197&amp;"",tbl_Finance[Ex GST],"&lt;&gt;"))</f>
        <v/>
      </c>
      <c r="F197" s="16">
        <f>IF(A197="","",SUMIFS(tbl_Finance[Ex GST],tbl_Finance[Job Number],A197&amp;""))</f>
        <v/>
      </c>
      <c r="G197" s="14">
        <f>IF(A197="","",IFERROR(INDEX(tbl_Finance[Cost Centre],MATCH(A197&amp;"",tbl_Finance[Job Number],0)),"not invoiced yet"))</f>
        <v/>
      </c>
      <c r="H197" s="13" t="n"/>
      <c r="I197" s="13" t="n"/>
      <c r="J197" s="15" t="n"/>
      <c r="K197" s="15" t="n"/>
      <c r="L197" s="15" t="n"/>
      <c r="M197" s="14">
        <f>IF(A197="","",IF(N(J197)+N(K197)+N(L197)=0,"Not split",IF(ROUND(N(J197)+N(K197)+N(L197),2)=ROUND(F197,2),"OK","MISMATCH")))</f>
        <v/>
      </c>
      <c r="N197" s="15" t="n"/>
      <c r="O197" s="15" t="n"/>
      <c r="P197" s="15" t="n"/>
      <c r="Q197" s="16">
        <f>IF(A197="","",N(N197)+N(O197)+N(P197))</f>
        <v/>
      </c>
      <c r="R197" s="16">
        <f>IF(A197="","",F197-Q197)</f>
        <v/>
      </c>
      <c r="S197" s="46">
        <f>IFERROR(R197/F197,"")</f>
        <v/>
      </c>
      <c r="T197" s="13" t="n"/>
    </row>
    <row r="198" ht="15" customHeight="1">
      <c r="A198" s="13" t="n"/>
      <c r="B198" s="14">
        <f>IF(A198="","",IF(COUNTIF(lst_Jobs,A198&amp;"")&gt;0,"OK","CHECK"))</f>
        <v/>
      </c>
      <c r="C198" s="14">
        <f>IF(A198="","",IFERROR(INDEX(lst_JobName,MATCH(A198&amp;"",lst_Jobs,0)),""))</f>
        <v/>
      </c>
      <c r="D198" s="14">
        <f>IF(A198="","",IFERROR(INDEX(tbl_Finance[Client],MATCH(A198&amp;"",tbl_Finance[Job Number],0)),""))</f>
        <v/>
      </c>
      <c r="E198" s="44">
        <f>IF(A198="","",COUNTIFS(tbl_Finance[Job Number],A198&amp;"",tbl_Finance[Ex GST],"&lt;&gt;"))</f>
        <v/>
      </c>
      <c r="F198" s="16">
        <f>IF(A198="","",SUMIFS(tbl_Finance[Ex GST],tbl_Finance[Job Number],A198&amp;""))</f>
        <v/>
      </c>
      <c r="G198" s="14">
        <f>IF(A198="","",IFERROR(INDEX(tbl_Finance[Cost Centre],MATCH(A198&amp;"",tbl_Finance[Job Number],0)),"not invoiced yet"))</f>
        <v/>
      </c>
      <c r="H198" s="13" t="n"/>
      <c r="I198" s="13" t="n"/>
      <c r="J198" s="15" t="n"/>
      <c r="K198" s="15" t="n"/>
      <c r="L198" s="15" t="n"/>
      <c r="M198" s="14">
        <f>IF(A198="","",IF(N(J198)+N(K198)+N(L198)=0,"Not split",IF(ROUND(N(J198)+N(K198)+N(L198),2)=ROUND(F198,2),"OK","MISMATCH")))</f>
        <v/>
      </c>
      <c r="N198" s="15" t="n"/>
      <c r="O198" s="15" t="n"/>
      <c r="P198" s="15" t="n"/>
      <c r="Q198" s="16">
        <f>IF(A198="","",N(N198)+N(O198)+N(P198))</f>
        <v/>
      </c>
      <c r="R198" s="16">
        <f>IF(A198="","",F198-Q198)</f>
        <v/>
      </c>
      <c r="S198" s="46">
        <f>IFERROR(R198/F198,"")</f>
        <v/>
      </c>
      <c r="T198" s="13" t="n"/>
    </row>
    <row r="199" ht="15" customHeight="1">
      <c r="A199" s="13" t="n"/>
      <c r="B199" s="14">
        <f>IF(A199="","",IF(COUNTIF(lst_Jobs,A199&amp;"")&gt;0,"OK","CHECK"))</f>
        <v/>
      </c>
      <c r="C199" s="14">
        <f>IF(A199="","",IFERROR(INDEX(lst_JobName,MATCH(A199&amp;"",lst_Jobs,0)),""))</f>
        <v/>
      </c>
      <c r="D199" s="14">
        <f>IF(A199="","",IFERROR(INDEX(tbl_Finance[Client],MATCH(A199&amp;"",tbl_Finance[Job Number],0)),""))</f>
        <v/>
      </c>
      <c r="E199" s="44">
        <f>IF(A199="","",COUNTIFS(tbl_Finance[Job Number],A199&amp;"",tbl_Finance[Ex GST],"&lt;&gt;"))</f>
        <v/>
      </c>
      <c r="F199" s="16">
        <f>IF(A199="","",SUMIFS(tbl_Finance[Ex GST],tbl_Finance[Job Number],A199&amp;""))</f>
        <v/>
      </c>
      <c r="G199" s="14">
        <f>IF(A199="","",IFERROR(INDEX(tbl_Finance[Cost Centre],MATCH(A199&amp;"",tbl_Finance[Job Number],0)),"not invoiced yet"))</f>
        <v/>
      </c>
      <c r="H199" s="13" t="n"/>
      <c r="I199" s="13" t="n"/>
      <c r="J199" s="15" t="n"/>
      <c r="K199" s="15" t="n"/>
      <c r="L199" s="15" t="n"/>
      <c r="M199" s="14">
        <f>IF(A199="","",IF(N(J199)+N(K199)+N(L199)=0,"Not split",IF(ROUND(N(J199)+N(K199)+N(L199),2)=ROUND(F199,2),"OK","MISMATCH")))</f>
        <v/>
      </c>
      <c r="N199" s="15" t="n"/>
      <c r="O199" s="15" t="n"/>
      <c r="P199" s="15" t="n"/>
      <c r="Q199" s="16">
        <f>IF(A199="","",N(N199)+N(O199)+N(P199))</f>
        <v/>
      </c>
      <c r="R199" s="16">
        <f>IF(A199="","",F199-Q199)</f>
        <v/>
      </c>
      <c r="S199" s="46">
        <f>IFERROR(R199/F199,"")</f>
        <v/>
      </c>
      <c r="T199" s="13" t="n"/>
    </row>
    <row r="200" ht="15" customHeight="1">
      <c r="A200" s="13" t="n"/>
      <c r="B200" s="14">
        <f>IF(A200="","",IF(COUNTIF(lst_Jobs,A200&amp;"")&gt;0,"OK","CHECK"))</f>
        <v/>
      </c>
      <c r="C200" s="14">
        <f>IF(A200="","",IFERROR(INDEX(lst_JobName,MATCH(A200&amp;"",lst_Jobs,0)),""))</f>
        <v/>
      </c>
      <c r="D200" s="14">
        <f>IF(A200="","",IFERROR(INDEX(tbl_Finance[Client],MATCH(A200&amp;"",tbl_Finance[Job Number],0)),""))</f>
        <v/>
      </c>
      <c r="E200" s="44">
        <f>IF(A200="","",COUNTIFS(tbl_Finance[Job Number],A200&amp;"",tbl_Finance[Ex GST],"&lt;&gt;"))</f>
        <v/>
      </c>
      <c r="F200" s="16">
        <f>IF(A200="","",SUMIFS(tbl_Finance[Ex GST],tbl_Finance[Job Number],A200&amp;""))</f>
        <v/>
      </c>
      <c r="G200" s="14">
        <f>IF(A200="","",IFERROR(INDEX(tbl_Finance[Cost Centre],MATCH(A200&amp;"",tbl_Finance[Job Number],0)),"not invoiced yet"))</f>
        <v/>
      </c>
      <c r="H200" s="13" t="n"/>
      <c r="I200" s="13" t="n"/>
      <c r="J200" s="15" t="n"/>
      <c r="K200" s="15" t="n"/>
      <c r="L200" s="15" t="n"/>
      <c r="M200" s="14">
        <f>IF(A200="","",IF(N(J200)+N(K200)+N(L200)=0,"Not split",IF(ROUND(N(J200)+N(K200)+N(L200),2)=ROUND(F200,2),"OK","MISMATCH")))</f>
        <v/>
      </c>
      <c r="N200" s="15" t="n"/>
      <c r="O200" s="15" t="n"/>
      <c r="P200" s="15" t="n"/>
      <c r="Q200" s="16">
        <f>IF(A200="","",N(N200)+N(O200)+N(P200))</f>
        <v/>
      </c>
      <c r="R200" s="16">
        <f>IF(A200="","",F200-Q200)</f>
        <v/>
      </c>
      <c r="S200" s="46">
        <f>IFERROR(R200/F200,"")</f>
        <v/>
      </c>
      <c r="T200" s="13" t="n"/>
    </row>
    <row r="201" ht="15" customHeight="1">
      <c r="A201" s="13" t="n"/>
      <c r="B201" s="14">
        <f>IF(A201="","",IF(COUNTIF(lst_Jobs,A201&amp;"")&gt;0,"OK","CHECK"))</f>
        <v/>
      </c>
      <c r="C201" s="14">
        <f>IF(A201="","",IFERROR(INDEX(lst_JobName,MATCH(A201&amp;"",lst_Jobs,0)),""))</f>
        <v/>
      </c>
      <c r="D201" s="14">
        <f>IF(A201="","",IFERROR(INDEX(tbl_Finance[Client],MATCH(A201&amp;"",tbl_Finance[Job Number],0)),""))</f>
        <v/>
      </c>
      <c r="E201" s="44">
        <f>IF(A201="","",COUNTIFS(tbl_Finance[Job Number],A201&amp;"",tbl_Finance[Ex GST],"&lt;&gt;"))</f>
        <v/>
      </c>
      <c r="F201" s="16">
        <f>IF(A201="","",SUMIFS(tbl_Finance[Ex GST],tbl_Finance[Job Number],A201&amp;""))</f>
        <v/>
      </c>
      <c r="G201" s="14">
        <f>IF(A201="","",IFERROR(INDEX(tbl_Finance[Cost Centre],MATCH(A201&amp;"",tbl_Finance[Job Number],0)),"not invoiced yet"))</f>
        <v/>
      </c>
      <c r="H201" s="13" t="n"/>
      <c r="I201" s="13" t="n"/>
      <c r="J201" s="15" t="n"/>
      <c r="K201" s="15" t="n"/>
      <c r="L201" s="15" t="n"/>
      <c r="M201" s="14">
        <f>IF(A201="","",IF(N(J201)+N(K201)+N(L201)=0,"Not split",IF(ROUND(N(J201)+N(K201)+N(L201),2)=ROUND(F201,2),"OK","MISMATCH")))</f>
        <v/>
      </c>
      <c r="N201" s="15" t="n"/>
      <c r="O201" s="15" t="n"/>
      <c r="P201" s="15" t="n"/>
      <c r="Q201" s="16">
        <f>IF(A201="","",N(N201)+N(O201)+N(P201))</f>
        <v/>
      </c>
      <c r="R201" s="16">
        <f>IF(A201="","",F201-Q201)</f>
        <v/>
      </c>
      <c r="S201" s="46">
        <f>IFERROR(R201/F201,"")</f>
        <v/>
      </c>
      <c r="T201" s="13" t="n"/>
    </row>
    <row r="202" ht="15" customHeight="1">
      <c r="A202" s="13" t="n"/>
      <c r="B202" s="14">
        <f>IF(A202="","",IF(COUNTIF(lst_Jobs,A202&amp;"")&gt;0,"OK","CHECK"))</f>
        <v/>
      </c>
      <c r="C202" s="14">
        <f>IF(A202="","",IFERROR(INDEX(lst_JobName,MATCH(A202&amp;"",lst_Jobs,0)),""))</f>
        <v/>
      </c>
      <c r="D202" s="14">
        <f>IF(A202="","",IFERROR(INDEX(tbl_Finance[Client],MATCH(A202&amp;"",tbl_Finance[Job Number],0)),""))</f>
        <v/>
      </c>
      <c r="E202" s="44">
        <f>IF(A202="","",COUNTIFS(tbl_Finance[Job Number],A202&amp;"",tbl_Finance[Ex GST],"&lt;&gt;"))</f>
        <v/>
      </c>
      <c r="F202" s="16">
        <f>IF(A202="","",SUMIFS(tbl_Finance[Ex GST],tbl_Finance[Job Number],A202&amp;""))</f>
        <v/>
      </c>
      <c r="G202" s="14">
        <f>IF(A202="","",IFERROR(INDEX(tbl_Finance[Cost Centre],MATCH(A202&amp;"",tbl_Finance[Job Number],0)),"not invoiced yet"))</f>
        <v/>
      </c>
      <c r="H202" s="13" t="n"/>
      <c r="I202" s="13" t="n"/>
      <c r="J202" s="15" t="n"/>
      <c r="K202" s="15" t="n"/>
      <c r="L202" s="15" t="n"/>
      <c r="M202" s="14">
        <f>IF(A202="","",IF(N(J202)+N(K202)+N(L202)=0,"Not split",IF(ROUND(N(J202)+N(K202)+N(L202),2)=ROUND(F202,2),"OK","MISMATCH")))</f>
        <v/>
      </c>
      <c r="N202" s="15" t="n"/>
      <c r="O202" s="15" t="n"/>
      <c r="P202" s="15" t="n"/>
      <c r="Q202" s="16">
        <f>IF(A202="","",N(N202)+N(O202)+N(P202))</f>
        <v/>
      </c>
      <c r="R202" s="16">
        <f>IF(A202="","",F202-Q202)</f>
        <v/>
      </c>
      <c r="S202" s="46">
        <f>IFERROR(R202/F202,"")</f>
        <v/>
      </c>
      <c r="T202" s="13" t="n"/>
    </row>
    <row r="203" ht="15" customHeight="1">
      <c r="A203" s="13" t="n"/>
      <c r="B203" s="14">
        <f>IF(A203="","",IF(COUNTIF(lst_Jobs,A203&amp;"")&gt;0,"OK","CHECK"))</f>
        <v/>
      </c>
      <c r="C203" s="14">
        <f>IF(A203="","",IFERROR(INDEX(lst_JobName,MATCH(A203&amp;"",lst_Jobs,0)),""))</f>
        <v/>
      </c>
      <c r="D203" s="14">
        <f>IF(A203="","",IFERROR(INDEX(tbl_Finance[Client],MATCH(A203&amp;"",tbl_Finance[Job Number],0)),""))</f>
        <v/>
      </c>
      <c r="E203" s="44">
        <f>IF(A203="","",COUNTIFS(tbl_Finance[Job Number],A203&amp;"",tbl_Finance[Ex GST],"&lt;&gt;"))</f>
        <v/>
      </c>
      <c r="F203" s="16">
        <f>IF(A203="","",SUMIFS(tbl_Finance[Ex GST],tbl_Finance[Job Number],A203&amp;""))</f>
        <v/>
      </c>
      <c r="G203" s="14">
        <f>IF(A203="","",IFERROR(INDEX(tbl_Finance[Cost Centre],MATCH(A203&amp;"",tbl_Finance[Job Number],0)),"not invoiced yet"))</f>
        <v/>
      </c>
      <c r="H203" s="13" t="n"/>
      <c r="I203" s="13" t="n"/>
      <c r="J203" s="15" t="n"/>
      <c r="K203" s="15" t="n"/>
      <c r="L203" s="15" t="n"/>
      <c r="M203" s="14">
        <f>IF(A203="","",IF(N(J203)+N(K203)+N(L203)=0,"Not split",IF(ROUND(N(J203)+N(K203)+N(L203),2)=ROUND(F203,2),"OK","MISMATCH")))</f>
        <v/>
      </c>
      <c r="N203" s="15" t="n"/>
      <c r="O203" s="15" t="n"/>
      <c r="P203" s="15" t="n"/>
      <c r="Q203" s="16">
        <f>IF(A203="","",N(N203)+N(O203)+N(P203))</f>
        <v/>
      </c>
      <c r="R203" s="16">
        <f>IF(A203="","",F203-Q203)</f>
        <v/>
      </c>
      <c r="S203" s="46">
        <f>IFERROR(R203/F203,"")</f>
        <v/>
      </c>
      <c r="T203" s="13" t="n"/>
    </row>
    <row r="204" ht="15" customHeight="1">
      <c r="A204" s="13" t="n"/>
      <c r="B204" s="14">
        <f>IF(A204="","",IF(COUNTIF(lst_Jobs,A204&amp;"")&gt;0,"OK","CHECK"))</f>
        <v/>
      </c>
      <c r="C204" s="14">
        <f>IF(A204="","",IFERROR(INDEX(lst_JobName,MATCH(A204&amp;"",lst_Jobs,0)),""))</f>
        <v/>
      </c>
      <c r="D204" s="14">
        <f>IF(A204="","",IFERROR(INDEX(tbl_Finance[Client],MATCH(A204&amp;"",tbl_Finance[Job Number],0)),""))</f>
        <v/>
      </c>
      <c r="E204" s="44">
        <f>IF(A204="","",COUNTIFS(tbl_Finance[Job Number],A204&amp;"",tbl_Finance[Ex GST],"&lt;&gt;"))</f>
        <v/>
      </c>
      <c r="F204" s="16">
        <f>IF(A204="","",SUMIFS(tbl_Finance[Ex GST],tbl_Finance[Job Number],A204&amp;""))</f>
        <v/>
      </c>
      <c r="G204" s="14">
        <f>IF(A204="","",IFERROR(INDEX(tbl_Finance[Cost Centre],MATCH(A204&amp;"",tbl_Finance[Job Number],0)),"not invoiced yet"))</f>
        <v/>
      </c>
      <c r="H204" s="13" t="n"/>
      <c r="I204" s="13" t="n"/>
      <c r="J204" s="15" t="n"/>
      <c r="K204" s="15" t="n"/>
      <c r="L204" s="15" t="n"/>
      <c r="M204" s="14">
        <f>IF(A204="","",IF(N(J204)+N(K204)+N(L204)=0,"Not split",IF(ROUND(N(J204)+N(K204)+N(L204),2)=ROUND(F204,2),"OK","MISMATCH")))</f>
        <v/>
      </c>
      <c r="N204" s="15" t="n"/>
      <c r="O204" s="15" t="n"/>
      <c r="P204" s="15" t="n"/>
      <c r="Q204" s="16">
        <f>IF(A204="","",N(N204)+N(O204)+N(P204))</f>
        <v/>
      </c>
      <c r="R204" s="16">
        <f>IF(A204="","",F204-Q204)</f>
        <v/>
      </c>
      <c r="S204" s="46">
        <f>IFERROR(R204/F204,"")</f>
        <v/>
      </c>
      <c r="T204" s="13" t="n"/>
    </row>
    <row r="205" ht="15" customHeight="1">
      <c r="A205" s="13" t="n"/>
      <c r="B205" s="14">
        <f>IF(A205="","",IF(COUNTIF(lst_Jobs,A205&amp;"")&gt;0,"OK","CHECK"))</f>
        <v/>
      </c>
      <c r="C205" s="14">
        <f>IF(A205="","",IFERROR(INDEX(lst_JobName,MATCH(A205&amp;"",lst_Jobs,0)),""))</f>
        <v/>
      </c>
      <c r="D205" s="14">
        <f>IF(A205="","",IFERROR(INDEX(tbl_Finance[Client],MATCH(A205&amp;"",tbl_Finance[Job Number],0)),""))</f>
        <v/>
      </c>
      <c r="E205" s="44">
        <f>IF(A205="","",COUNTIFS(tbl_Finance[Job Number],A205&amp;"",tbl_Finance[Ex GST],"&lt;&gt;"))</f>
        <v/>
      </c>
      <c r="F205" s="16">
        <f>IF(A205="","",SUMIFS(tbl_Finance[Ex GST],tbl_Finance[Job Number],A205&amp;""))</f>
        <v/>
      </c>
      <c r="G205" s="14">
        <f>IF(A205="","",IFERROR(INDEX(tbl_Finance[Cost Centre],MATCH(A205&amp;"",tbl_Finance[Job Number],0)),"not invoiced yet"))</f>
        <v/>
      </c>
      <c r="H205" s="13" t="n"/>
      <c r="I205" s="13" t="n"/>
      <c r="J205" s="15" t="n"/>
      <c r="K205" s="15" t="n"/>
      <c r="L205" s="15" t="n"/>
      <c r="M205" s="14">
        <f>IF(A205="","",IF(N(J205)+N(K205)+N(L205)=0,"Not split",IF(ROUND(N(J205)+N(K205)+N(L205),2)=ROUND(F205,2),"OK","MISMATCH")))</f>
        <v/>
      </c>
      <c r="N205" s="15" t="n"/>
      <c r="O205" s="15" t="n"/>
      <c r="P205" s="15" t="n"/>
      <c r="Q205" s="16">
        <f>IF(A205="","",N(N205)+N(O205)+N(P205))</f>
        <v/>
      </c>
      <c r="R205" s="16">
        <f>IF(A205="","",F205-Q205)</f>
        <v/>
      </c>
      <c r="S205" s="46">
        <f>IFERROR(R205/F205,"")</f>
        <v/>
      </c>
      <c r="T205" s="13" t="n"/>
    </row>
    <row r="206" ht="15" customHeight="1">
      <c r="A206" s="13" t="n"/>
      <c r="B206" s="14">
        <f>IF(A206="","",IF(COUNTIF(lst_Jobs,A206&amp;"")&gt;0,"OK","CHECK"))</f>
        <v/>
      </c>
      <c r="C206" s="14">
        <f>IF(A206="","",IFERROR(INDEX(lst_JobName,MATCH(A206&amp;"",lst_Jobs,0)),""))</f>
        <v/>
      </c>
      <c r="D206" s="14">
        <f>IF(A206="","",IFERROR(INDEX(tbl_Finance[Client],MATCH(A206&amp;"",tbl_Finance[Job Number],0)),""))</f>
        <v/>
      </c>
      <c r="E206" s="44">
        <f>IF(A206="","",COUNTIFS(tbl_Finance[Job Number],A206&amp;"",tbl_Finance[Ex GST],"&lt;&gt;"))</f>
        <v/>
      </c>
      <c r="F206" s="16">
        <f>IF(A206="","",SUMIFS(tbl_Finance[Ex GST],tbl_Finance[Job Number],A206&amp;""))</f>
        <v/>
      </c>
      <c r="G206" s="14">
        <f>IF(A206="","",IFERROR(INDEX(tbl_Finance[Cost Centre],MATCH(A206&amp;"",tbl_Finance[Job Number],0)),"not invoiced yet"))</f>
        <v/>
      </c>
      <c r="H206" s="13" t="n"/>
      <c r="I206" s="13" t="n"/>
      <c r="J206" s="15" t="n"/>
      <c r="K206" s="15" t="n"/>
      <c r="L206" s="15" t="n"/>
      <c r="M206" s="14">
        <f>IF(A206="","",IF(N(J206)+N(K206)+N(L206)=0,"Not split",IF(ROUND(N(J206)+N(K206)+N(L206),2)=ROUND(F206,2),"OK","MISMATCH")))</f>
        <v/>
      </c>
      <c r="N206" s="15" t="n"/>
      <c r="O206" s="15" t="n"/>
      <c r="P206" s="15" t="n"/>
      <c r="Q206" s="16">
        <f>IF(A206="","",N(N206)+N(O206)+N(P206))</f>
        <v/>
      </c>
      <c r="R206" s="16">
        <f>IF(A206="","",F206-Q206)</f>
        <v/>
      </c>
      <c r="S206" s="46">
        <f>IFERROR(R206/F206,"")</f>
        <v/>
      </c>
      <c r="T206" s="13" t="n"/>
    </row>
    <row r="207" ht="15" customHeight="1">
      <c r="A207" s="13" t="n"/>
      <c r="B207" s="14">
        <f>IF(A207="","",IF(COUNTIF(lst_Jobs,A207&amp;"")&gt;0,"OK","CHECK"))</f>
        <v/>
      </c>
      <c r="C207" s="14">
        <f>IF(A207="","",IFERROR(INDEX(lst_JobName,MATCH(A207&amp;"",lst_Jobs,0)),""))</f>
        <v/>
      </c>
      <c r="D207" s="14">
        <f>IF(A207="","",IFERROR(INDEX(tbl_Finance[Client],MATCH(A207&amp;"",tbl_Finance[Job Number],0)),""))</f>
        <v/>
      </c>
      <c r="E207" s="44">
        <f>IF(A207="","",COUNTIFS(tbl_Finance[Job Number],A207&amp;"",tbl_Finance[Ex GST],"&lt;&gt;"))</f>
        <v/>
      </c>
      <c r="F207" s="16">
        <f>IF(A207="","",SUMIFS(tbl_Finance[Ex GST],tbl_Finance[Job Number],A207&amp;""))</f>
        <v/>
      </c>
      <c r="G207" s="14">
        <f>IF(A207="","",IFERROR(INDEX(tbl_Finance[Cost Centre],MATCH(A207&amp;"",tbl_Finance[Job Number],0)),"not invoiced yet"))</f>
        <v/>
      </c>
      <c r="H207" s="13" t="n"/>
      <c r="I207" s="13" t="n"/>
      <c r="J207" s="15" t="n"/>
      <c r="K207" s="15" t="n"/>
      <c r="L207" s="15" t="n"/>
      <c r="M207" s="14">
        <f>IF(A207="","",IF(N(J207)+N(K207)+N(L207)=0,"Not split",IF(ROUND(N(J207)+N(K207)+N(L207),2)=ROUND(F207,2),"OK","MISMATCH")))</f>
        <v/>
      </c>
      <c r="N207" s="15" t="n"/>
      <c r="O207" s="15" t="n"/>
      <c r="P207" s="15" t="n"/>
      <c r="Q207" s="16">
        <f>IF(A207="","",N(N207)+N(O207)+N(P207))</f>
        <v/>
      </c>
      <c r="R207" s="16">
        <f>IF(A207="","",F207-Q207)</f>
        <v/>
      </c>
      <c r="S207" s="46">
        <f>IFERROR(R207/F207,"")</f>
        <v/>
      </c>
      <c r="T207" s="13" t="n"/>
    </row>
    <row r="208" ht="15" customHeight="1">
      <c r="A208" s="13" t="n"/>
      <c r="B208" s="14">
        <f>IF(A208="","",IF(COUNTIF(lst_Jobs,A208&amp;"")&gt;0,"OK","CHECK"))</f>
        <v/>
      </c>
      <c r="C208" s="14">
        <f>IF(A208="","",IFERROR(INDEX(lst_JobName,MATCH(A208&amp;"",lst_Jobs,0)),""))</f>
        <v/>
      </c>
      <c r="D208" s="14">
        <f>IF(A208="","",IFERROR(INDEX(tbl_Finance[Client],MATCH(A208&amp;"",tbl_Finance[Job Number],0)),""))</f>
        <v/>
      </c>
      <c r="E208" s="44">
        <f>IF(A208="","",COUNTIFS(tbl_Finance[Job Number],A208&amp;"",tbl_Finance[Ex GST],"&lt;&gt;"))</f>
        <v/>
      </c>
      <c r="F208" s="16">
        <f>IF(A208="","",SUMIFS(tbl_Finance[Ex GST],tbl_Finance[Job Number],A208&amp;""))</f>
        <v/>
      </c>
      <c r="G208" s="14">
        <f>IF(A208="","",IFERROR(INDEX(tbl_Finance[Cost Centre],MATCH(A208&amp;"",tbl_Finance[Job Number],0)),"not invoiced yet"))</f>
        <v/>
      </c>
      <c r="H208" s="13" t="n"/>
      <c r="I208" s="13" t="n"/>
      <c r="J208" s="15" t="n"/>
      <c r="K208" s="15" t="n"/>
      <c r="L208" s="15" t="n"/>
      <c r="M208" s="14">
        <f>IF(A208="","",IF(N(J208)+N(K208)+N(L208)=0,"Not split",IF(ROUND(N(J208)+N(K208)+N(L208),2)=ROUND(F208,2),"OK","MISMATCH")))</f>
        <v/>
      </c>
      <c r="N208" s="15" t="n"/>
      <c r="O208" s="15" t="n"/>
      <c r="P208" s="15" t="n"/>
      <c r="Q208" s="16">
        <f>IF(A208="","",N(N208)+N(O208)+N(P208))</f>
        <v/>
      </c>
      <c r="R208" s="16">
        <f>IF(A208="","",F208-Q208)</f>
        <v/>
      </c>
      <c r="S208" s="46">
        <f>IFERROR(R208/F208,"")</f>
        <v/>
      </c>
      <c r="T208" s="13" t="n"/>
    </row>
    <row r="209" ht="15" customHeight="1">
      <c r="A209" s="13" t="n"/>
      <c r="B209" s="14">
        <f>IF(A209="","",IF(COUNTIF(lst_Jobs,A209&amp;"")&gt;0,"OK","CHECK"))</f>
        <v/>
      </c>
      <c r="C209" s="14">
        <f>IF(A209="","",IFERROR(INDEX(lst_JobName,MATCH(A209&amp;"",lst_Jobs,0)),""))</f>
        <v/>
      </c>
      <c r="D209" s="14">
        <f>IF(A209="","",IFERROR(INDEX(tbl_Finance[Client],MATCH(A209&amp;"",tbl_Finance[Job Number],0)),""))</f>
        <v/>
      </c>
      <c r="E209" s="44">
        <f>IF(A209="","",COUNTIFS(tbl_Finance[Job Number],A209&amp;"",tbl_Finance[Ex GST],"&lt;&gt;"))</f>
        <v/>
      </c>
      <c r="F209" s="16">
        <f>IF(A209="","",SUMIFS(tbl_Finance[Ex GST],tbl_Finance[Job Number],A209&amp;""))</f>
        <v/>
      </c>
      <c r="G209" s="14">
        <f>IF(A209="","",IFERROR(INDEX(tbl_Finance[Cost Centre],MATCH(A209&amp;"",tbl_Finance[Job Number],0)),"not invoiced yet"))</f>
        <v/>
      </c>
      <c r="H209" s="13" t="n"/>
      <c r="I209" s="13" t="n"/>
      <c r="J209" s="15" t="n"/>
      <c r="K209" s="15" t="n"/>
      <c r="L209" s="15" t="n"/>
      <c r="M209" s="14">
        <f>IF(A209="","",IF(N(J209)+N(K209)+N(L209)=0,"Not split",IF(ROUND(N(J209)+N(K209)+N(L209),2)=ROUND(F209,2),"OK","MISMATCH")))</f>
        <v/>
      </c>
      <c r="N209" s="15" t="n"/>
      <c r="O209" s="15" t="n"/>
      <c r="P209" s="15" t="n"/>
      <c r="Q209" s="16">
        <f>IF(A209="","",N(N209)+N(O209)+N(P209))</f>
        <v/>
      </c>
      <c r="R209" s="16">
        <f>IF(A209="","",F209-Q209)</f>
        <v/>
      </c>
      <c r="S209" s="46">
        <f>IFERROR(R209/F209,"")</f>
        <v/>
      </c>
      <c r="T209" s="13" t="n"/>
    </row>
    <row r="210" ht="15" customHeight="1">
      <c r="A210" s="13" t="n"/>
      <c r="B210" s="14">
        <f>IF(A210="","",IF(COUNTIF(lst_Jobs,A210&amp;"")&gt;0,"OK","CHECK"))</f>
        <v/>
      </c>
      <c r="C210" s="14">
        <f>IF(A210="","",IFERROR(INDEX(lst_JobName,MATCH(A210&amp;"",lst_Jobs,0)),""))</f>
        <v/>
      </c>
      <c r="D210" s="14">
        <f>IF(A210="","",IFERROR(INDEX(tbl_Finance[Client],MATCH(A210&amp;"",tbl_Finance[Job Number],0)),""))</f>
        <v/>
      </c>
      <c r="E210" s="44">
        <f>IF(A210="","",COUNTIFS(tbl_Finance[Job Number],A210&amp;"",tbl_Finance[Ex GST],"&lt;&gt;"))</f>
        <v/>
      </c>
      <c r="F210" s="16">
        <f>IF(A210="","",SUMIFS(tbl_Finance[Ex GST],tbl_Finance[Job Number],A210&amp;""))</f>
        <v/>
      </c>
      <c r="G210" s="14">
        <f>IF(A210="","",IFERROR(INDEX(tbl_Finance[Cost Centre],MATCH(A210&amp;"",tbl_Finance[Job Number],0)),"not invoiced yet"))</f>
        <v/>
      </c>
      <c r="H210" s="13" t="n"/>
      <c r="I210" s="13" t="n"/>
      <c r="J210" s="15" t="n"/>
      <c r="K210" s="15" t="n"/>
      <c r="L210" s="15" t="n"/>
      <c r="M210" s="14">
        <f>IF(A210="","",IF(N(J210)+N(K210)+N(L210)=0,"Not split",IF(ROUND(N(J210)+N(K210)+N(L210),2)=ROUND(F210,2),"OK","MISMATCH")))</f>
        <v/>
      </c>
      <c r="N210" s="15" t="n"/>
      <c r="O210" s="15" t="n"/>
      <c r="P210" s="15" t="n"/>
      <c r="Q210" s="16">
        <f>IF(A210="","",N(N210)+N(O210)+N(P210))</f>
        <v/>
      </c>
      <c r="R210" s="16">
        <f>IF(A210="","",F210-Q210)</f>
        <v/>
      </c>
      <c r="S210" s="46">
        <f>IFERROR(R210/F210,"")</f>
        <v/>
      </c>
      <c r="T210" s="13" t="n"/>
    </row>
    <row r="211" ht="15" customHeight="1">
      <c r="A211" s="13" t="n"/>
      <c r="B211" s="14">
        <f>IF(A211="","",IF(COUNTIF(lst_Jobs,A211&amp;"")&gt;0,"OK","CHECK"))</f>
        <v/>
      </c>
      <c r="C211" s="14">
        <f>IF(A211="","",IFERROR(INDEX(lst_JobName,MATCH(A211&amp;"",lst_Jobs,0)),""))</f>
        <v/>
      </c>
      <c r="D211" s="14">
        <f>IF(A211="","",IFERROR(INDEX(tbl_Finance[Client],MATCH(A211&amp;"",tbl_Finance[Job Number],0)),""))</f>
        <v/>
      </c>
      <c r="E211" s="44">
        <f>IF(A211="","",COUNTIFS(tbl_Finance[Job Number],A211&amp;"",tbl_Finance[Ex GST],"&lt;&gt;"))</f>
        <v/>
      </c>
      <c r="F211" s="16">
        <f>IF(A211="","",SUMIFS(tbl_Finance[Ex GST],tbl_Finance[Job Number],A211&amp;""))</f>
        <v/>
      </c>
      <c r="G211" s="14">
        <f>IF(A211="","",IFERROR(INDEX(tbl_Finance[Cost Centre],MATCH(A211&amp;"",tbl_Finance[Job Number],0)),"not invoiced yet"))</f>
        <v/>
      </c>
      <c r="H211" s="13" t="n"/>
      <c r="I211" s="13" t="n"/>
      <c r="J211" s="15" t="n"/>
      <c r="K211" s="15" t="n"/>
      <c r="L211" s="15" t="n"/>
      <c r="M211" s="14">
        <f>IF(A211="","",IF(N(J211)+N(K211)+N(L211)=0,"Not split",IF(ROUND(N(J211)+N(K211)+N(L211),2)=ROUND(F211,2),"OK","MISMATCH")))</f>
        <v/>
      </c>
      <c r="N211" s="15" t="n"/>
      <c r="O211" s="15" t="n"/>
      <c r="P211" s="15" t="n"/>
      <c r="Q211" s="16">
        <f>IF(A211="","",N(N211)+N(O211)+N(P211))</f>
        <v/>
      </c>
      <c r="R211" s="16">
        <f>IF(A211="","",F211-Q211)</f>
        <v/>
      </c>
      <c r="S211" s="46">
        <f>IFERROR(R211/F211,"")</f>
        <v/>
      </c>
      <c r="T211" s="13" t="n"/>
    </row>
    <row r="212" ht="15" customHeight="1">
      <c r="A212" s="13" t="n"/>
      <c r="B212" s="14">
        <f>IF(A212="","",IF(COUNTIF(lst_Jobs,A212&amp;"")&gt;0,"OK","CHECK"))</f>
        <v/>
      </c>
      <c r="C212" s="14">
        <f>IF(A212="","",IFERROR(INDEX(lst_JobName,MATCH(A212&amp;"",lst_Jobs,0)),""))</f>
        <v/>
      </c>
      <c r="D212" s="14">
        <f>IF(A212="","",IFERROR(INDEX(tbl_Finance[Client],MATCH(A212&amp;"",tbl_Finance[Job Number],0)),""))</f>
        <v/>
      </c>
      <c r="E212" s="44">
        <f>IF(A212="","",COUNTIFS(tbl_Finance[Job Number],A212&amp;"",tbl_Finance[Ex GST],"&lt;&gt;"))</f>
        <v/>
      </c>
      <c r="F212" s="16">
        <f>IF(A212="","",SUMIFS(tbl_Finance[Ex GST],tbl_Finance[Job Number],A212&amp;""))</f>
        <v/>
      </c>
      <c r="G212" s="14">
        <f>IF(A212="","",IFERROR(INDEX(tbl_Finance[Cost Centre],MATCH(A212&amp;"",tbl_Finance[Job Number],0)),"not invoiced yet"))</f>
        <v/>
      </c>
      <c r="H212" s="13" t="n"/>
      <c r="I212" s="13" t="n"/>
      <c r="J212" s="15" t="n"/>
      <c r="K212" s="15" t="n"/>
      <c r="L212" s="15" t="n"/>
      <c r="M212" s="14">
        <f>IF(A212="","",IF(N(J212)+N(K212)+N(L212)=0,"Not split",IF(ROUND(N(J212)+N(K212)+N(L212),2)=ROUND(F212,2),"OK","MISMATCH")))</f>
        <v/>
      </c>
      <c r="N212" s="15" t="n"/>
      <c r="O212" s="15" t="n"/>
      <c r="P212" s="15" t="n"/>
      <c r="Q212" s="16">
        <f>IF(A212="","",N(N212)+N(O212)+N(P212))</f>
        <v/>
      </c>
      <c r="R212" s="16">
        <f>IF(A212="","",F212-Q212)</f>
        <v/>
      </c>
      <c r="S212" s="46">
        <f>IFERROR(R212/F212,"")</f>
        <v/>
      </c>
      <c r="T212" s="13" t="n"/>
    </row>
    <row r="213" ht="15" customHeight="1">
      <c r="A213" s="13" t="n"/>
      <c r="B213" s="14">
        <f>IF(A213="","",IF(COUNTIF(lst_Jobs,A213&amp;"")&gt;0,"OK","CHECK"))</f>
        <v/>
      </c>
      <c r="C213" s="14">
        <f>IF(A213="","",IFERROR(INDEX(lst_JobName,MATCH(A213&amp;"",lst_Jobs,0)),""))</f>
        <v/>
      </c>
      <c r="D213" s="14">
        <f>IF(A213="","",IFERROR(INDEX(tbl_Finance[Client],MATCH(A213&amp;"",tbl_Finance[Job Number],0)),""))</f>
        <v/>
      </c>
      <c r="E213" s="44">
        <f>IF(A213="","",COUNTIFS(tbl_Finance[Job Number],A213&amp;"",tbl_Finance[Ex GST],"&lt;&gt;"))</f>
        <v/>
      </c>
      <c r="F213" s="16">
        <f>IF(A213="","",SUMIFS(tbl_Finance[Ex GST],tbl_Finance[Job Number],A213&amp;""))</f>
        <v/>
      </c>
      <c r="G213" s="14">
        <f>IF(A213="","",IFERROR(INDEX(tbl_Finance[Cost Centre],MATCH(A213&amp;"",tbl_Finance[Job Number],0)),"not invoiced yet"))</f>
        <v/>
      </c>
      <c r="H213" s="13" t="n"/>
      <c r="I213" s="13" t="n"/>
      <c r="J213" s="15" t="n"/>
      <c r="K213" s="15" t="n"/>
      <c r="L213" s="15" t="n"/>
      <c r="M213" s="14">
        <f>IF(A213="","",IF(N(J213)+N(K213)+N(L213)=0,"Not split",IF(ROUND(N(J213)+N(K213)+N(L213),2)=ROUND(F213,2),"OK","MISMATCH")))</f>
        <v/>
      </c>
      <c r="N213" s="15" t="n"/>
      <c r="O213" s="15" t="n"/>
      <c r="P213" s="15" t="n"/>
      <c r="Q213" s="16">
        <f>IF(A213="","",N(N213)+N(O213)+N(P213))</f>
        <v/>
      </c>
      <c r="R213" s="16">
        <f>IF(A213="","",F213-Q213)</f>
        <v/>
      </c>
      <c r="S213" s="46">
        <f>IFERROR(R213/F213,"")</f>
        <v/>
      </c>
      <c r="T213" s="13" t="n"/>
    </row>
    <row r="214" ht="15" customHeight="1">
      <c r="A214" s="13" t="n"/>
      <c r="B214" s="14">
        <f>IF(A214="","",IF(COUNTIF(lst_Jobs,A214&amp;"")&gt;0,"OK","CHECK"))</f>
        <v/>
      </c>
      <c r="C214" s="14">
        <f>IF(A214="","",IFERROR(INDEX(lst_JobName,MATCH(A214&amp;"",lst_Jobs,0)),""))</f>
        <v/>
      </c>
      <c r="D214" s="14">
        <f>IF(A214="","",IFERROR(INDEX(tbl_Finance[Client],MATCH(A214&amp;"",tbl_Finance[Job Number],0)),""))</f>
        <v/>
      </c>
      <c r="E214" s="44">
        <f>IF(A214="","",COUNTIFS(tbl_Finance[Job Number],A214&amp;"",tbl_Finance[Ex GST],"&lt;&gt;"))</f>
        <v/>
      </c>
      <c r="F214" s="16">
        <f>IF(A214="","",SUMIFS(tbl_Finance[Ex GST],tbl_Finance[Job Number],A214&amp;""))</f>
        <v/>
      </c>
      <c r="G214" s="14">
        <f>IF(A214="","",IFERROR(INDEX(tbl_Finance[Cost Centre],MATCH(A214&amp;"",tbl_Finance[Job Number],0)),"not invoiced yet"))</f>
        <v/>
      </c>
      <c r="H214" s="13" t="n"/>
      <c r="I214" s="13" t="n"/>
      <c r="J214" s="15" t="n"/>
      <c r="K214" s="15" t="n"/>
      <c r="L214" s="15" t="n"/>
      <c r="M214" s="14">
        <f>IF(A214="","",IF(N(J214)+N(K214)+N(L214)=0,"Not split",IF(ROUND(N(J214)+N(K214)+N(L214),2)=ROUND(F214,2),"OK","MISMATCH")))</f>
        <v/>
      </c>
      <c r="N214" s="15" t="n"/>
      <c r="O214" s="15" t="n"/>
      <c r="P214" s="15" t="n"/>
      <c r="Q214" s="16">
        <f>IF(A214="","",N(N214)+N(O214)+N(P214))</f>
        <v/>
      </c>
      <c r="R214" s="16">
        <f>IF(A214="","",F214-Q214)</f>
        <v/>
      </c>
      <c r="S214" s="46">
        <f>IFERROR(R214/F214,"")</f>
        <v/>
      </c>
      <c r="T214" s="13" t="n"/>
    </row>
    <row r="215" ht="15" customHeight="1">
      <c r="A215" s="13" t="n"/>
      <c r="B215" s="14">
        <f>IF(A215="","",IF(COUNTIF(lst_Jobs,A215&amp;"")&gt;0,"OK","CHECK"))</f>
        <v/>
      </c>
      <c r="C215" s="14">
        <f>IF(A215="","",IFERROR(INDEX(lst_JobName,MATCH(A215&amp;"",lst_Jobs,0)),""))</f>
        <v/>
      </c>
      <c r="D215" s="14">
        <f>IF(A215="","",IFERROR(INDEX(tbl_Finance[Client],MATCH(A215&amp;"",tbl_Finance[Job Number],0)),""))</f>
        <v/>
      </c>
      <c r="E215" s="44">
        <f>IF(A215="","",COUNTIFS(tbl_Finance[Job Number],A215&amp;"",tbl_Finance[Ex GST],"&lt;&gt;"))</f>
        <v/>
      </c>
      <c r="F215" s="16">
        <f>IF(A215="","",SUMIFS(tbl_Finance[Ex GST],tbl_Finance[Job Number],A215&amp;""))</f>
        <v/>
      </c>
      <c r="G215" s="14">
        <f>IF(A215="","",IFERROR(INDEX(tbl_Finance[Cost Centre],MATCH(A215&amp;"",tbl_Finance[Job Number],0)),"not invoiced yet"))</f>
        <v/>
      </c>
      <c r="H215" s="13" t="n"/>
      <c r="I215" s="13" t="n"/>
      <c r="J215" s="15" t="n"/>
      <c r="K215" s="15" t="n"/>
      <c r="L215" s="15" t="n"/>
      <c r="M215" s="14">
        <f>IF(A215="","",IF(N(J215)+N(K215)+N(L215)=0,"Not split",IF(ROUND(N(J215)+N(K215)+N(L215),2)=ROUND(F215,2),"OK","MISMATCH")))</f>
        <v/>
      </c>
      <c r="N215" s="15" t="n"/>
      <c r="O215" s="15" t="n"/>
      <c r="P215" s="15" t="n"/>
      <c r="Q215" s="16">
        <f>IF(A215="","",N(N215)+N(O215)+N(P215))</f>
        <v/>
      </c>
      <c r="R215" s="16">
        <f>IF(A215="","",F215-Q215)</f>
        <v/>
      </c>
      <c r="S215" s="46">
        <f>IFERROR(R215/F215,"")</f>
        <v/>
      </c>
      <c r="T215" s="13" t="n"/>
    </row>
    <row r="216" ht="15" customHeight="1">
      <c r="A216" s="13" t="n"/>
      <c r="B216" s="14">
        <f>IF(A216="","",IF(COUNTIF(lst_Jobs,A216&amp;"")&gt;0,"OK","CHECK"))</f>
        <v/>
      </c>
      <c r="C216" s="14">
        <f>IF(A216="","",IFERROR(INDEX(lst_JobName,MATCH(A216&amp;"",lst_Jobs,0)),""))</f>
        <v/>
      </c>
      <c r="D216" s="14">
        <f>IF(A216="","",IFERROR(INDEX(tbl_Finance[Client],MATCH(A216&amp;"",tbl_Finance[Job Number],0)),""))</f>
        <v/>
      </c>
      <c r="E216" s="44">
        <f>IF(A216="","",COUNTIFS(tbl_Finance[Job Number],A216&amp;"",tbl_Finance[Ex GST],"&lt;&gt;"))</f>
        <v/>
      </c>
      <c r="F216" s="16">
        <f>IF(A216="","",SUMIFS(tbl_Finance[Ex GST],tbl_Finance[Job Number],A216&amp;""))</f>
        <v/>
      </c>
      <c r="G216" s="14">
        <f>IF(A216="","",IFERROR(INDEX(tbl_Finance[Cost Centre],MATCH(A216&amp;"",tbl_Finance[Job Number],0)),"not invoiced yet"))</f>
        <v/>
      </c>
      <c r="H216" s="13" t="n"/>
      <c r="I216" s="13" t="n"/>
      <c r="J216" s="15" t="n"/>
      <c r="K216" s="15" t="n"/>
      <c r="L216" s="15" t="n"/>
      <c r="M216" s="14">
        <f>IF(A216="","",IF(N(J216)+N(K216)+N(L216)=0,"Not split",IF(ROUND(N(J216)+N(K216)+N(L216),2)=ROUND(F216,2),"OK","MISMATCH")))</f>
        <v/>
      </c>
      <c r="N216" s="15" t="n"/>
      <c r="O216" s="15" t="n"/>
      <c r="P216" s="15" t="n"/>
      <c r="Q216" s="16">
        <f>IF(A216="","",N(N216)+N(O216)+N(P216))</f>
        <v/>
      </c>
      <c r="R216" s="16">
        <f>IF(A216="","",F216-Q216)</f>
        <v/>
      </c>
      <c r="S216" s="46">
        <f>IFERROR(R216/F216,"")</f>
        <v/>
      </c>
      <c r="T216" s="13" t="n"/>
    </row>
    <row r="217" ht="15" customHeight="1">
      <c r="A217" s="13" t="n"/>
      <c r="B217" s="14">
        <f>IF(A217="","",IF(COUNTIF(lst_Jobs,A217&amp;"")&gt;0,"OK","CHECK"))</f>
        <v/>
      </c>
      <c r="C217" s="14">
        <f>IF(A217="","",IFERROR(INDEX(lst_JobName,MATCH(A217&amp;"",lst_Jobs,0)),""))</f>
        <v/>
      </c>
      <c r="D217" s="14">
        <f>IF(A217="","",IFERROR(INDEX(tbl_Finance[Client],MATCH(A217&amp;"",tbl_Finance[Job Number],0)),""))</f>
        <v/>
      </c>
      <c r="E217" s="44">
        <f>IF(A217="","",COUNTIFS(tbl_Finance[Job Number],A217&amp;"",tbl_Finance[Ex GST],"&lt;&gt;"))</f>
        <v/>
      </c>
      <c r="F217" s="16">
        <f>IF(A217="","",SUMIFS(tbl_Finance[Ex GST],tbl_Finance[Job Number],A217&amp;""))</f>
        <v/>
      </c>
      <c r="G217" s="14">
        <f>IF(A217="","",IFERROR(INDEX(tbl_Finance[Cost Centre],MATCH(A217&amp;"",tbl_Finance[Job Number],0)),"not invoiced yet"))</f>
        <v/>
      </c>
      <c r="H217" s="13" t="n"/>
      <c r="I217" s="13" t="n"/>
      <c r="J217" s="15" t="n"/>
      <c r="K217" s="15" t="n"/>
      <c r="L217" s="15" t="n"/>
      <c r="M217" s="14">
        <f>IF(A217="","",IF(N(J217)+N(K217)+N(L217)=0,"Not split",IF(ROUND(N(J217)+N(K217)+N(L217),2)=ROUND(F217,2),"OK","MISMATCH")))</f>
        <v/>
      </c>
      <c r="N217" s="15" t="n"/>
      <c r="O217" s="15" t="n"/>
      <c r="P217" s="15" t="n"/>
      <c r="Q217" s="16">
        <f>IF(A217="","",N(N217)+N(O217)+N(P217))</f>
        <v/>
      </c>
      <c r="R217" s="16">
        <f>IF(A217="","",F217-Q217)</f>
        <v/>
      </c>
      <c r="S217" s="46">
        <f>IFERROR(R217/F217,"")</f>
        <v/>
      </c>
      <c r="T217" s="13" t="n"/>
    </row>
    <row r="218" ht="15" customHeight="1">
      <c r="A218" s="13" t="n"/>
      <c r="B218" s="14">
        <f>IF(A218="","",IF(COUNTIF(lst_Jobs,A218&amp;"")&gt;0,"OK","CHECK"))</f>
        <v/>
      </c>
      <c r="C218" s="14">
        <f>IF(A218="","",IFERROR(INDEX(lst_JobName,MATCH(A218&amp;"",lst_Jobs,0)),""))</f>
        <v/>
      </c>
      <c r="D218" s="14">
        <f>IF(A218="","",IFERROR(INDEX(tbl_Finance[Client],MATCH(A218&amp;"",tbl_Finance[Job Number],0)),""))</f>
        <v/>
      </c>
      <c r="E218" s="44">
        <f>IF(A218="","",COUNTIFS(tbl_Finance[Job Number],A218&amp;"",tbl_Finance[Ex GST],"&lt;&gt;"))</f>
        <v/>
      </c>
      <c r="F218" s="16">
        <f>IF(A218="","",SUMIFS(tbl_Finance[Ex GST],tbl_Finance[Job Number],A218&amp;""))</f>
        <v/>
      </c>
      <c r="G218" s="14">
        <f>IF(A218="","",IFERROR(INDEX(tbl_Finance[Cost Centre],MATCH(A218&amp;"",tbl_Finance[Job Number],0)),"not invoiced yet"))</f>
        <v/>
      </c>
      <c r="H218" s="13" t="n"/>
      <c r="I218" s="13" t="n"/>
      <c r="J218" s="15" t="n"/>
      <c r="K218" s="15" t="n"/>
      <c r="L218" s="15" t="n"/>
      <c r="M218" s="14">
        <f>IF(A218="","",IF(N(J218)+N(K218)+N(L218)=0,"Not split",IF(ROUND(N(J218)+N(K218)+N(L218),2)=ROUND(F218,2),"OK","MISMATCH")))</f>
        <v/>
      </c>
      <c r="N218" s="15" t="n"/>
      <c r="O218" s="15" t="n"/>
      <c r="P218" s="15" t="n"/>
      <c r="Q218" s="16">
        <f>IF(A218="","",N(N218)+N(O218)+N(P218))</f>
        <v/>
      </c>
      <c r="R218" s="16">
        <f>IF(A218="","",F218-Q218)</f>
        <v/>
      </c>
      <c r="S218" s="46">
        <f>IFERROR(R218/F218,"")</f>
        <v/>
      </c>
      <c r="T218" s="13" t="n"/>
    </row>
    <row r="219" ht="15" customHeight="1">
      <c r="A219" s="13" t="n"/>
      <c r="B219" s="14">
        <f>IF(A219="","",IF(COUNTIF(lst_Jobs,A219&amp;"")&gt;0,"OK","CHECK"))</f>
        <v/>
      </c>
      <c r="C219" s="14">
        <f>IF(A219="","",IFERROR(INDEX(lst_JobName,MATCH(A219&amp;"",lst_Jobs,0)),""))</f>
        <v/>
      </c>
      <c r="D219" s="14">
        <f>IF(A219="","",IFERROR(INDEX(tbl_Finance[Client],MATCH(A219&amp;"",tbl_Finance[Job Number],0)),""))</f>
        <v/>
      </c>
      <c r="E219" s="44">
        <f>IF(A219="","",COUNTIFS(tbl_Finance[Job Number],A219&amp;"",tbl_Finance[Ex GST],"&lt;&gt;"))</f>
        <v/>
      </c>
      <c r="F219" s="16">
        <f>IF(A219="","",SUMIFS(tbl_Finance[Ex GST],tbl_Finance[Job Number],A219&amp;""))</f>
        <v/>
      </c>
      <c r="G219" s="14">
        <f>IF(A219="","",IFERROR(INDEX(tbl_Finance[Cost Centre],MATCH(A219&amp;"",tbl_Finance[Job Number],0)),"not invoiced yet"))</f>
        <v/>
      </c>
      <c r="H219" s="13" t="n"/>
      <c r="I219" s="13" t="n"/>
      <c r="J219" s="15" t="n"/>
      <c r="K219" s="15" t="n"/>
      <c r="L219" s="15" t="n"/>
      <c r="M219" s="14">
        <f>IF(A219="","",IF(N(J219)+N(K219)+N(L219)=0,"Not split",IF(ROUND(N(J219)+N(K219)+N(L219),2)=ROUND(F219,2),"OK","MISMATCH")))</f>
        <v/>
      </c>
      <c r="N219" s="15" t="n"/>
      <c r="O219" s="15" t="n"/>
      <c r="P219" s="15" t="n"/>
      <c r="Q219" s="16">
        <f>IF(A219="","",N(N219)+N(O219)+N(P219))</f>
        <v/>
      </c>
      <c r="R219" s="16">
        <f>IF(A219="","",F219-Q219)</f>
        <v/>
      </c>
      <c r="S219" s="46">
        <f>IFERROR(R219/F219,"")</f>
        <v/>
      </c>
      <c r="T219" s="13" t="n"/>
    </row>
    <row r="220" ht="15" customHeight="1">
      <c r="A220" s="13" t="n"/>
      <c r="B220" s="14">
        <f>IF(A220="","",IF(COUNTIF(lst_Jobs,A220&amp;"")&gt;0,"OK","CHECK"))</f>
        <v/>
      </c>
      <c r="C220" s="14">
        <f>IF(A220="","",IFERROR(INDEX(lst_JobName,MATCH(A220&amp;"",lst_Jobs,0)),""))</f>
        <v/>
      </c>
      <c r="D220" s="14">
        <f>IF(A220="","",IFERROR(INDEX(tbl_Finance[Client],MATCH(A220&amp;"",tbl_Finance[Job Number],0)),""))</f>
        <v/>
      </c>
      <c r="E220" s="44">
        <f>IF(A220="","",COUNTIFS(tbl_Finance[Job Number],A220&amp;"",tbl_Finance[Ex GST],"&lt;&gt;"))</f>
        <v/>
      </c>
      <c r="F220" s="16">
        <f>IF(A220="","",SUMIFS(tbl_Finance[Ex GST],tbl_Finance[Job Number],A220&amp;""))</f>
        <v/>
      </c>
      <c r="G220" s="14">
        <f>IF(A220="","",IFERROR(INDEX(tbl_Finance[Cost Centre],MATCH(A220&amp;"",tbl_Finance[Job Number],0)),"not invoiced yet"))</f>
        <v/>
      </c>
      <c r="H220" s="13" t="n"/>
      <c r="I220" s="13" t="n"/>
      <c r="J220" s="15" t="n"/>
      <c r="K220" s="15" t="n"/>
      <c r="L220" s="15" t="n"/>
      <c r="M220" s="14">
        <f>IF(A220="","",IF(N(J220)+N(K220)+N(L220)=0,"Not split",IF(ROUND(N(J220)+N(K220)+N(L220),2)=ROUND(F220,2),"OK","MISMATCH")))</f>
        <v/>
      </c>
      <c r="N220" s="15" t="n"/>
      <c r="O220" s="15" t="n"/>
      <c r="P220" s="15" t="n"/>
      <c r="Q220" s="16">
        <f>IF(A220="","",N(N220)+N(O220)+N(P220))</f>
        <v/>
      </c>
      <c r="R220" s="16">
        <f>IF(A220="","",F220-Q220)</f>
        <v/>
      </c>
      <c r="S220" s="46">
        <f>IFERROR(R220/F220,"")</f>
        <v/>
      </c>
      <c r="T220" s="13" t="n"/>
    </row>
    <row r="221" ht="15" customHeight="1">
      <c r="A221" s="13" t="n"/>
      <c r="B221" s="14">
        <f>IF(A221="","",IF(COUNTIF(lst_Jobs,A221&amp;"")&gt;0,"OK","CHECK"))</f>
        <v/>
      </c>
      <c r="C221" s="14">
        <f>IF(A221="","",IFERROR(INDEX(lst_JobName,MATCH(A221&amp;"",lst_Jobs,0)),""))</f>
        <v/>
      </c>
      <c r="D221" s="14">
        <f>IF(A221="","",IFERROR(INDEX(tbl_Finance[Client],MATCH(A221&amp;"",tbl_Finance[Job Number],0)),""))</f>
        <v/>
      </c>
      <c r="E221" s="44">
        <f>IF(A221="","",COUNTIFS(tbl_Finance[Job Number],A221&amp;"",tbl_Finance[Ex GST],"&lt;&gt;"))</f>
        <v/>
      </c>
      <c r="F221" s="16">
        <f>IF(A221="","",SUMIFS(tbl_Finance[Ex GST],tbl_Finance[Job Number],A221&amp;""))</f>
        <v/>
      </c>
      <c r="G221" s="14">
        <f>IF(A221="","",IFERROR(INDEX(tbl_Finance[Cost Centre],MATCH(A221&amp;"",tbl_Finance[Job Number],0)),"not invoiced yet"))</f>
        <v/>
      </c>
      <c r="H221" s="13" t="n"/>
      <c r="I221" s="13" t="n"/>
      <c r="J221" s="15" t="n"/>
      <c r="K221" s="15" t="n"/>
      <c r="L221" s="15" t="n"/>
      <c r="M221" s="14">
        <f>IF(A221="","",IF(N(J221)+N(K221)+N(L221)=0,"Not split",IF(ROUND(N(J221)+N(K221)+N(L221),2)=ROUND(F221,2),"OK","MISMATCH")))</f>
        <v/>
      </c>
      <c r="N221" s="15" t="n"/>
      <c r="O221" s="15" t="n"/>
      <c r="P221" s="15" t="n"/>
      <c r="Q221" s="16">
        <f>IF(A221="","",N(N221)+N(O221)+N(P221))</f>
        <v/>
      </c>
      <c r="R221" s="16">
        <f>IF(A221="","",F221-Q221)</f>
        <v/>
      </c>
      <c r="S221" s="46">
        <f>IFERROR(R221/F221,"")</f>
        <v/>
      </c>
      <c r="T221" s="13" t="n"/>
    </row>
    <row r="222" ht="15" customHeight="1">
      <c r="A222" s="13" t="n"/>
      <c r="B222" s="14">
        <f>IF(A222="","",IF(COUNTIF(lst_Jobs,A222&amp;"")&gt;0,"OK","CHECK"))</f>
        <v/>
      </c>
      <c r="C222" s="14">
        <f>IF(A222="","",IFERROR(INDEX(lst_JobName,MATCH(A222&amp;"",lst_Jobs,0)),""))</f>
        <v/>
      </c>
      <c r="D222" s="14">
        <f>IF(A222="","",IFERROR(INDEX(tbl_Finance[Client],MATCH(A222&amp;"",tbl_Finance[Job Number],0)),""))</f>
        <v/>
      </c>
      <c r="E222" s="44">
        <f>IF(A222="","",COUNTIFS(tbl_Finance[Job Number],A222&amp;"",tbl_Finance[Ex GST],"&lt;&gt;"))</f>
        <v/>
      </c>
      <c r="F222" s="16">
        <f>IF(A222="","",SUMIFS(tbl_Finance[Ex GST],tbl_Finance[Job Number],A222&amp;""))</f>
        <v/>
      </c>
      <c r="G222" s="14">
        <f>IF(A222="","",IFERROR(INDEX(tbl_Finance[Cost Centre],MATCH(A222&amp;"",tbl_Finance[Job Number],0)),"not invoiced yet"))</f>
        <v/>
      </c>
      <c r="H222" s="13" t="n"/>
      <c r="I222" s="13" t="n"/>
      <c r="J222" s="15" t="n"/>
      <c r="K222" s="15" t="n"/>
      <c r="L222" s="15" t="n"/>
      <c r="M222" s="14">
        <f>IF(A222="","",IF(N(J222)+N(K222)+N(L222)=0,"Not split",IF(ROUND(N(J222)+N(K222)+N(L222),2)=ROUND(F222,2),"OK","MISMATCH")))</f>
        <v/>
      </c>
      <c r="N222" s="15" t="n"/>
      <c r="O222" s="15" t="n"/>
      <c r="P222" s="15" t="n"/>
      <c r="Q222" s="16">
        <f>IF(A222="","",N(N222)+N(O222)+N(P222))</f>
        <v/>
      </c>
      <c r="R222" s="16">
        <f>IF(A222="","",F222-Q222)</f>
        <v/>
      </c>
      <c r="S222" s="46">
        <f>IFERROR(R222/F222,"")</f>
        <v/>
      </c>
      <c r="T222" s="13" t="n"/>
    </row>
    <row r="223" ht="15" customHeight="1">
      <c r="A223" s="13" t="n"/>
      <c r="B223" s="14">
        <f>IF(A223="","",IF(COUNTIF(lst_Jobs,A223&amp;"")&gt;0,"OK","CHECK"))</f>
        <v/>
      </c>
      <c r="C223" s="14">
        <f>IF(A223="","",IFERROR(INDEX(lst_JobName,MATCH(A223&amp;"",lst_Jobs,0)),""))</f>
        <v/>
      </c>
      <c r="D223" s="14">
        <f>IF(A223="","",IFERROR(INDEX(tbl_Finance[Client],MATCH(A223&amp;"",tbl_Finance[Job Number],0)),""))</f>
        <v/>
      </c>
      <c r="E223" s="44">
        <f>IF(A223="","",COUNTIFS(tbl_Finance[Job Number],A223&amp;"",tbl_Finance[Ex GST],"&lt;&gt;"))</f>
        <v/>
      </c>
      <c r="F223" s="16">
        <f>IF(A223="","",SUMIFS(tbl_Finance[Ex GST],tbl_Finance[Job Number],A223&amp;""))</f>
        <v/>
      </c>
      <c r="G223" s="14">
        <f>IF(A223="","",IFERROR(INDEX(tbl_Finance[Cost Centre],MATCH(A223&amp;"",tbl_Finance[Job Number],0)),"not invoiced yet"))</f>
        <v/>
      </c>
      <c r="H223" s="13" t="n"/>
      <c r="I223" s="13" t="n"/>
      <c r="J223" s="15" t="n"/>
      <c r="K223" s="15" t="n"/>
      <c r="L223" s="15" t="n"/>
      <c r="M223" s="14">
        <f>IF(A223="","",IF(N(J223)+N(K223)+N(L223)=0,"Not split",IF(ROUND(N(J223)+N(K223)+N(L223),2)=ROUND(F223,2),"OK","MISMATCH")))</f>
        <v/>
      </c>
      <c r="N223" s="15" t="n"/>
      <c r="O223" s="15" t="n"/>
      <c r="P223" s="15" t="n"/>
      <c r="Q223" s="16">
        <f>IF(A223="","",N(N223)+N(O223)+N(P223))</f>
        <v/>
      </c>
      <c r="R223" s="16">
        <f>IF(A223="","",F223-Q223)</f>
        <v/>
      </c>
      <c r="S223" s="46">
        <f>IFERROR(R223/F223,"")</f>
        <v/>
      </c>
      <c r="T223" s="13" t="n"/>
    </row>
    <row r="224" ht="15" customHeight="1">
      <c r="A224" s="13" t="n"/>
      <c r="B224" s="14">
        <f>IF(A224="","",IF(COUNTIF(lst_Jobs,A224&amp;"")&gt;0,"OK","CHECK"))</f>
        <v/>
      </c>
      <c r="C224" s="14">
        <f>IF(A224="","",IFERROR(INDEX(lst_JobName,MATCH(A224&amp;"",lst_Jobs,0)),""))</f>
        <v/>
      </c>
      <c r="D224" s="14">
        <f>IF(A224="","",IFERROR(INDEX(tbl_Finance[Client],MATCH(A224&amp;"",tbl_Finance[Job Number],0)),""))</f>
        <v/>
      </c>
      <c r="E224" s="44">
        <f>IF(A224="","",COUNTIFS(tbl_Finance[Job Number],A224&amp;"",tbl_Finance[Ex GST],"&lt;&gt;"))</f>
        <v/>
      </c>
      <c r="F224" s="16">
        <f>IF(A224="","",SUMIFS(tbl_Finance[Ex GST],tbl_Finance[Job Number],A224&amp;""))</f>
        <v/>
      </c>
      <c r="G224" s="14">
        <f>IF(A224="","",IFERROR(INDEX(tbl_Finance[Cost Centre],MATCH(A224&amp;"",tbl_Finance[Job Number],0)),"not invoiced yet"))</f>
        <v/>
      </c>
      <c r="H224" s="13" t="n"/>
      <c r="I224" s="13" t="n"/>
      <c r="J224" s="15" t="n"/>
      <c r="K224" s="15" t="n"/>
      <c r="L224" s="15" t="n"/>
      <c r="M224" s="14">
        <f>IF(A224="","",IF(N(J224)+N(K224)+N(L224)=0,"Not split",IF(ROUND(N(J224)+N(K224)+N(L224),2)=ROUND(F224,2),"OK","MISMATCH")))</f>
        <v/>
      </c>
      <c r="N224" s="15" t="n"/>
      <c r="O224" s="15" t="n"/>
      <c r="P224" s="15" t="n"/>
      <c r="Q224" s="16">
        <f>IF(A224="","",N(N224)+N(O224)+N(P224))</f>
        <v/>
      </c>
      <c r="R224" s="16">
        <f>IF(A224="","",F224-Q224)</f>
        <v/>
      </c>
      <c r="S224" s="46">
        <f>IFERROR(R224/F224,"")</f>
        <v/>
      </c>
      <c r="T224" s="13" t="n"/>
    </row>
    <row r="225" ht="15" customHeight="1">
      <c r="A225" s="13" t="n"/>
      <c r="B225" s="14">
        <f>IF(A225="","",IF(COUNTIF(lst_Jobs,A225&amp;"")&gt;0,"OK","CHECK"))</f>
        <v/>
      </c>
      <c r="C225" s="14">
        <f>IF(A225="","",IFERROR(INDEX(lst_JobName,MATCH(A225&amp;"",lst_Jobs,0)),""))</f>
        <v/>
      </c>
      <c r="D225" s="14">
        <f>IF(A225="","",IFERROR(INDEX(tbl_Finance[Client],MATCH(A225&amp;"",tbl_Finance[Job Number],0)),""))</f>
        <v/>
      </c>
      <c r="E225" s="44">
        <f>IF(A225="","",COUNTIFS(tbl_Finance[Job Number],A225&amp;"",tbl_Finance[Ex GST],"&lt;&gt;"))</f>
        <v/>
      </c>
      <c r="F225" s="16">
        <f>IF(A225="","",SUMIFS(tbl_Finance[Ex GST],tbl_Finance[Job Number],A225&amp;""))</f>
        <v/>
      </c>
      <c r="G225" s="14">
        <f>IF(A225="","",IFERROR(INDEX(tbl_Finance[Cost Centre],MATCH(A225&amp;"",tbl_Finance[Job Number],0)),"not invoiced yet"))</f>
        <v/>
      </c>
      <c r="H225" s="13" t="n"/>
      <c r="I225" s="13" t="n"/>
      <c r="J225" s="15" t="n"/>
      <c r="K225" s="15" t="n"/>
      <c r="L225" s="15" t="n"/>
      <c r="M225" s="14">
        <f>IF(A225="","",IF(N(J225)+N(K225)+N(L225)=0,"Not split",IF(ROUND(N(J225)+N(K225)+N(L225),2)=ROUND(F225,2),"OK","MISMATCH")))</f>
        <v/>
      </c>
      <c r="N225" s="15" t="n"/>
      <c r="O225" s="15" t="n"/>
      <c r="P225" s="15" t="n"/>
      <c r="Q225" s="16">
        <f>IF(A225="","",N(N225)+N(O225)+N(P225))</f>
        <v/>
      </c>
      <c r="R225" s="16">
        <f>IF(A225="","",F225-Q225)</f>
        <v/>
      </c>
      <c r="S225" s="46">
        <f>IFERROR(R225/F225,"")</f>
        <v/>
      </c>
      <c r="T225" s="13" t="n"/>
    </row>
    <row r="226" ht="15" customHeight="1">
      <c r="A226" s="13" t="n"/>
      <c r="B226" s="14">
        <f>IF(A226="","",IF(COUNTIF(lst_Jobs,A226&amp;"")&gt;0,"OK","CHECK"))</f>
        <v/>
      </c>
      <c r="C226" s="14">
        <f>IF(A226="","",IFERROR(INDEX(lst_JobName,MATCH(A226&amp;"",lst_Jobs,0)),""))</f>
        <v/>
      </c>
      <c r="D226" s="14">
        <f>IF(A226="","",IFERROR(INDEX(tbl_Finance[Client],MATCH(A226&amp;"",tbl_Finance[Job Number],0)),""))</f>
        <v/>
      </c>
      <c r="E226" s="44">
        <f>IF(A226="","",COUNTIFS(tbl_Finance[Job Number],A226&amp;"",tbl_Finance[Ex GST],"&lt;&gt;"))</f>
        <v/>
      </c>
      <c r="F226" s="16">
        <f>IF(A226="","",SUMIFS(tbl_Finance[Ex GST],tbl_Finance[Job Number],A226&amp;""))</f>
        <v/>
      </c>
      <c r="G226" s="14">
        <f>IF(A226="","",IFERROR(INDEX(tbl_Finance[Cost Centre],MATCH(A226&amp;"",tbl_Finance[Job Number],0)),"not invoiced yet"))</f>
        <v/>
      </c>
      <c r="H226" s="13" t="n"/>
      <c r="I226" s="13" t="n"/>
      <c r="J226" s="15" t="n"/>
      <c r="K226" s="15" t="n"/>
      <c r="L226" s="15" t="n"/>
      <c r="M226" s="14">
        <f>IF(A226="","",IF(N(J226)+N(K226)+N(L226)=0,"Not split",IF(ROUND(N(J226)+N(K226)+N(L226),2)=ROUND(F226,2),"OK","MISMATCH")))</f>
        <v/>
      </c>
      <c r="N226" s="15" t="n"/>
      <c r="O226" s="15" t="n"/>
      <c r="P226" s="15" t="n"/>
      <c r="Q226" s="16">
        <f>IF(A226="","",N(N226)+N(O226)+N(P226))</f>
        <v/>
      </c>
      <c r="R226" s="16">
        <f>IF(A226="","",F226-Q226)</f>
        <v/>
      </c>
      <c r="S226" s="46">
        <f>IFERROR(R226/F226,"")</f>
        <v/>
      </c>
      <c r="T226" s="13" t="n"/>
    </row>
    <row r="227" ht="15" customHeight="1">
      <c r="A227" s="13" t="n"/>
      <c r="B227" s="14">
        <f>IF(A227="","",IF(COUNTIF(lst_Jobs,A227&amp;"")&gt;0,"OK","CHECK"))</f>
        <v/>
      </c>
      <c r="C227" s="14">
        <f>IF(A227="","",IFERROR(INDEX(lst_JobName,MATCH(A227&amp;"",lst_Jobs,0)),""))</f>
        <v/>
      </c>
      <c r="D227" s="14">
        <f>IF(A227="","",IFERROR(INDEX(tbl_Finance[Client],MATCH(A227&amp;"",tbl_Finance[Job Number],0)),""))</f>
        <v/>
      </c>
      <c r="E227" s="44">
        <f>IF(A227="","",COUNTIFS(tbl_Finance[Job Number],A227&amp;"",tbl_Finance[Ex GST],"&lt;&gt;"))</f>
        <v/>
      </c>
      <c r="F227" s="16">
        <f>IF(A227="","",SUMIFS(tbl_Finance[Ex GST],tbl_Finance[Job Number],A227&amp;""))</f>
        <v/>
      </c>
      <c r="G227" s="14">
        <f>IF(A227="","",IFERROR(INDEX(tbl_Finance[Cost Centre],MATCH(A227&amp;"",tbl_Finance[Job Number],0)),"not invoiced yet"))</f>
        <v/>
      </c>
      <c r="H227" s="13" t="n"/>
      <c r="I227" s="13" t="n"/>
      <c r="J227" s="15" t="n"/>
      <c r="K227" s="15" t="n"/>
      <c r="L227" s="15" t="n"/>
      <c r="M227" s="14">
        <f>IF(A227="","",IF(N(J227)+N(K227)+N(L227)=0,"Not split",IF(ROUND(N(J227)+N(K227)+N(L227),2)=ROUND(F227,2),"OK","MISMATCH")))</f>
        <v/>
      </c>
      <c r="N227" s="15" t="n"/>
      <c r="O227" s="15" t="n"/>
      <c r="P227" s="15" t="n"/>
      <c r="Q227" s="16">
        <f>IF(A227="","",N(N227)+N(O227)+N(P227))</f>
        <v/>
      </c>
      <c r="R227" s="16">
        <f>IF(A227="","",F227-Q227)</f>
        <v/>
      </c>
      <c r="S227" s="46">
        <f>IFERROR(R227/F227,"")</f>
        <v/>
      </c>
      <c r="T227" s="13" t="n"/>
    </row>
    <row r="228" ht="15" customHeight="1">
      <c r="A228" s="13" t="n"/>
      <c r="B228" s="14">
        <f>IF(A228="","",IF(COUNTIF(lst_Jobs,A228&amp;"")&gt;0,"OK","CHECK"))</f>
        <v/>
      </c>
      <c r="C228" s="14">
        <f>IF(A228="","",IFERROR(INDEX(lst_JobName,MATCH(A228&amp;"",lst_Jobs,0)),""))</f>
        <v/>
      </c>
      <c r="D228" s="14">
        <f>IF(A228="","",IFERROR(INDEX(tbl_Finance[Client],MATCH(A228&amp;"",tbl_Finance[Job Number],0)),""))</f>
        <v/>
      </c>
      <c r="E228" s="44">
        <f>IF(A228="","",COUNTIFS(tbl_Finance[Job Number],A228&amp;"",tbl_Finance[Ex GST],"&lt;&gt;"))</f>
        <v/>
      </c>
      <c r="F228" s="16">
        <f>IF(A228="","",SUMIFS(tbl_Finance[Ex GST],tbl_Finance[Job Number],A228&amp;""))</f>
        <v/>
      </c>
      <c r="G228" s="14">
        <f>IF(A228="","",IFERROR(INDEX(tbl_Finance[Cost Centre],MATCH(A228&amp;"",tbl_Finance[Job Number],0)),"not invoiced yet"))</f>
        <v/>
      </c>
      <c r="H228" s="13" t="n"/>
      <c r="I228" s="13" t="n"/>
      <c r="J228" s="15" t="n"/>
      <c r="K228" s="15" t="n"/>
      <c r="L228" s="15" t="n"/>
      <c r="M228" s="14">
        <f>IF(A228="","",IF(N(J228)+N(K228)+N(L228)=0,"Not split",IF(ROUND(N(J228)+N(K228)+N(L228),2)=ROUND(F228,2),"OK","MISMATCH")))</f>
        <v/>
      </c>
      <c r="N228" s="15" t="n"/>
      <c r="O228" s="15" t="n"/>
      <c r="P228" s="15" t="n"/>
      <c r="Q228" s="16">
        <f>IF(A228="","",N(N228)+N(O228)+N(P228))</f>
        <v/>
      </c>
      <c r="R228" s="16">
        <f>IF(A228="","",F228-Q228)</f>
        <v/>
      </c>
      <c r="S228" s="46">
        <f>IFERROR(R228/F228,"")</f>
        <v/>
      </c>
      <c r="T228" s="13" t="n"/>
    </row>
    <row r="229" ht="15" customHeight="1">
      <c r="A229" s="13" t="n"/>
      <c r="B229" s="14">
        <f>IF(A229="","",IF(COUNTIF(lst_Jobs,A229&amp;"")&gt;0,"OK","CHECK"))</f>
        <v/>
      </c>
      <c r="C229" s="14">
        <f>IF(A229="","",IFERROR(INDEX(lst_JobName,MATCH(A229&amp;"",lst_Jobs,0)),""))</f>
        <v/>
      </c>
      <c r="D229" s="14">
        <f>IF(A229="","",IFERROR(INDEX(tbl_Finance[Client],MATCH(A229&amp;"",tbl_Finance[Job Number],0)),""))</f>
        <v/>
      </c>
      <c r="E229" s="44">
        <f>IF(A229="","",COUNTIFS(tbl_Finance[Job Number],A229&amp;"",tbl_Finance[Ex GST],"&lt;&gt;"))</f>
        <v/>
      </c>
      <c r="F229" s="16">
        <f>IF(A229="","",SUMIFS(tbl_Finance[Ex GST],tbl_Finance[Job Number],A229&amp;""))</f>
        <v/>
      </c>
      <c r="G229" s="14">
        <f>IF(A229="","",IFERROR(INDEX(tbl_Finance[Cost Centre],MATCH(A229&amp;"",tbl_Finance[Job Number],0)),"not invoiced yet"))</f>
        <v/>
      </c>
      <c r="H229" s="13" t="n"/>
      <c r="I229" s="13" t="n"/>
      <c r="J229" s="15" t="n"/>
      <c r="K229" s="15" t="n"/>
      <c r="L229" s="15" t="n"/>
      <c r="M229" s="14">
        <f>IF(A229="","",IF(N(J229)+N(K229)+N(L229)=0,"Not split",IF(ROUND(N(J229)+N(K229)+N(L229),2)=ROUND(F229,2),"OK","MISMATCH")))</f>
        <v/>
      </c>
      <c r="N229" s="15" t="n"/>
      <c r="O229" s="15" t="n"/>
      <c r="P229" s="15" t="n"/>
      <c r="Q229" s="16">
        <f>IF(A229="","",N(N229)+N(O229)+N(P229))</f>
        <v/>
      </c>
      <c r="R229" s="16">
        <f>IF(A229="","",F229-Q229)</f>
        <v/>
      </c>
      <c r="S229" s="46">
        <f>IFERROR(R229/F229,"")</f>
        <v/>
      </c>
      <c r="T229" s="13" t="n"/>
    </row>
    <row r="230" ht="15" customHeight="1">
      <c r="A230" s="13" t="n"/>
      <c r="B230" s="14">
        <f>IF(A230="","",IF(COUNTIF(lst_Jobs,A230&amp;"")&gt;0,"OK","CHECK"))</f>
        <v/>
      </c>
      <c r="C230" s="14">
        <f>IF(A230="","",IFERROR(INDEX(lst_JobName,MATCH(A230&amp;"",lst_Jobs,0)),""))</f>
        <v/>
      </c>
      <c r="D230" s="14">
        <f>IF(A230="","",IFERROR(INDEX(tbl_Finance[Client],MATCH(A230&amp;"",tbl_Finance[Job Number],0)),""))</f>
        <v/>
      </c>
      <c r="E230" s="44">
        <f>IF(A230="","",COUNTIFS(tbl_Finance[Job Number],A230&amp;"",tbl_Finance[Ex GST],"&lt;&gt;"))</f>
        <v/>
      </c>
      <c r="F230" s="16">
        <f>IF(A230="","",SUMIFS(tbl_Finance[Ex GST],tbl_Finance[Job Number],A230&amp;""))</f>
        <v/>
      </c>
      <c r="G230" s="14">
        <f>IF(A230="","",IFERROR(INDEX(tbl_Finance[Cost Centre],MATCH(A230&amp;"",tbl_Finance[Job Number],0)),"not invoiced yet"))</f>
        <v/>
      </c>
      <c r="H230" s="13" t="n"/>
      <c r="I230" s="13" t="n"/>
      <c r="J230" s="15" t="n"/>
      <c r="K230" s="15" t="n"/>
      <c r="L230" s="15" t="n"/>
      <c r="M230" s="14">
        <f>IF(A230="","",IF(N(J230)+N(K230)+N(L230)=0,"Not split",IF(ROUND(N(J230)+N(K230)+N(L230),2)=ROUND(F230,2),"OK","MISMATCH")))</f>
        <v/>
      </c>
      <c r="N230" s="15" t="n"/>
      <c r="O230" s="15" t="n"/>
      <c r="P230" s="15" t="n"/>
      <c r="Q230" s="16">
        <f>IF(A230="","",N(N230)+N(O230)+N(P230))</f>
        <v/>
      </c>
      <c r="R230" s="16">
        <f>IF(A230="","",F230-Q230)</f>
        <v/>
      </c>
      <c r="S230" s="46">
        <f>IFERROR(R230/F230,"")</f>
        <v/>
      </c>
      <c r="T230" s="13" t="n"/>
    </row>
    <row r="231" ht="15" customHeight="1">
      <c r="A231" s="13" t="n"/>
      <c r="B231" s="14">
        <f>IF(A231="","",IF(COUNTIF(lst_Jobs,A231&amp;"")&gt;0,"OK","CHECK"))</f>
        <v/>
      </c>
      <c r="C231" s="14">
        <f>IF(A231="","",IFERROR(INDEX(lst_JobName,MATCH(A231&amp;"",lst_Jobs,0)),""))</f>
        <v/>
      </c>
      <c r="D231" s="14">
        <f>IF(A231="","",IFERROR(INDEX(tbl_Finance[Client],MATCH(A231&amp;"",tbl_Finance[Job Number],0)),""))</f>
        <v/>
      </c>
      <c r="E231" s="44">
        <f>IF(A231="","",COUNTIFS(tbl_Finance[Job Number],A231&amp;"",tbl_Finance[Ex GST],"&lt;&gt;"))</f>
        <v/>
      </c>
      <c r="F231" s="16">
        <f>IF(A231="","",SUMIFS(tbl_Finance[Ex GST],tbl_Finance[Job Number],A231&amp;""))</f>
        <v/>
      </c>
      <c r="G231" s="14">
        <f>IF(A231="","",IFERROR(INDEX(tbl_Finance[Cost Centre],MATCH(A231&amp;"",tbl_Finance[Job Number],0)),"not invoiced yet"))</f>
        <v/>
      </c>
      <c r="H231" s="13" t="n"/>
      <c r="I231" s="13" t="n"/>
      <c r="J231" s="15" t="n"/>
      <c r="K231" s="15" t="n"/>
      <c r="L231" s="15" t="n"/>
      <c r="M231" s="14">
        <f>IF(A231="","",IF(N(J231)+N(K231)+N(L231)=0,"Not split",IF(ROUND(N(J231)+N(K231)+N(L231),2)=ROUND(F231,2),"OK","MISMATCH")))</f>
        <v/>
      </c>
      <c r="N231" s="15" t="n"/>
      <c r="O231" s="15" t="n"/>
      <c r="P231" s="15" t="n"/>
      <c r="Q231" s="16">
        <f>IF(A231="","",N(N231)+N(O231)+N(P231))</f>
        <v/>
      </c>
      <c r="R231" s="16">
        <f>IF(A231="","",F231-Q231)</f>
        <v/>
      </c>
      <c r="S231" s="46">
        <f>IFERROR(R231/F231,"")</f>
        <v/>
      </c>
      <c r="T231" s="13" t="n"/>
    </row>
    <row r="232" ht="15" customHeight="1">
      <c r="A232" s="13" t="n"/>
      <c r="B232" s="14">
        <f>IF(A232="","",IF(COUNTIF(lst_Jobs,A232&amp;"")&gt;0,"OK","CHECK"))</f>
        <v/>
      </c>
      <c r="C232" s="14">
        <f>IF(A232="","",IFERROR(INDEX(lst_JobName,MATCH(A232&amp;"",lst_Jobs,0)),""))</f>
        <v/>
      </c>
      <c r="D232" s="14">
        <f>IF(A232="","",IFERROR(INDEX(tbl_Finance[Client],MATCH(A232&amp;"",tbl_Finance[Job Number],0)),""))</f>
        <v/>
      </c>
      <c r="E232" s="44">
        <f>IF(A232="","",COUNTIFS(tbl_Finance[Job Number],A232&amp;"",tbl_Finance[Ex GST],"&lt;&gt;"))</f>
        <v/>
      </c>
      <c r="F232" s="16">
        <f>IF(A232="","",SUMIFS(tbl_Finance[Ex GST],tbl_Finance[Job Number],A232&amp;""))</f>
        <v/>
      </c>
      <c r="G232" s="14">
        <f>IF(A232="","",IFERROR(INDEX(tbl_Finance[Cost Centre],MATCH(A232&amp;"",tbl_Finance[Job Number],0)),"not invoiced yet"))</f>
        <v/>
      </c>
      <c r="H232" s="13" t="n"/>
      <c r="I232" s="13" t="n"/>
      <c r="J232" s="15" t="n"/>
      <c r="K232" s="15" t="n"/>
      <c r="L232" s="15" t="n"/>
      <c r="M232" s="14">
        <f>IF(A232="","",IF(N(J232)+N(K232)+N(L232)=0,"Not split",IF(ROUND(N(J232)+N(K232)+N(L232),2)=ROUND(F232,2),"OK","MISMATCH")))</f>
        <v/>
      </c>
      <c r="N232" s="15" t="n"/>
      <c r="O232" s="15" t="n"/>
      <c r="P232" s="15" t="n"/>
      <c r="Q232" s="16">
        <f>IF(A232="","",N(N232)+N(O232)+N(P232))</f>
        <v/>
      </c>
      <c r="R232" s="16">
        <f>IF(A232="","",F232-Q232)</f>
        <v/>
      </c>
      <c r="S232" s="46">
        <f>IFERROR(R232/F232,"")</f>
        <v/>
      </c>
      <c r="T232" s="13" t="n"/>
    </row>
    <row r="233" ht="15" customHeight="1">
      <c r="A233" s="13" t="n"/>
      <c r="B233" s="14">
        <f>IF(A233="","",IF(COUNTIF(lst_Jobs,A233&amp;"")&gt;0,"OK","CHECK"))</f>
        <v/>
      </c>
      <c r="C233" s="14">
        <f>IF(A233="","",IFERROR(INDEX(lst_JobName,MATCH(A233&amp;"",lst_Jobs,0)),""))</f>
        <v/>
      </c>
      <c r="D233" s="14">
        <f>IF(A233="","",IFERROR(INDEX(tbl_Finance[Client],MATCH(A233&amp;"",tbl_Finance[Job Number],0)),""))</f>
        <v/>
      </c>
      <c r="E233" s="44">
        <f>IF(A233="","",COUNTIFS(tbl_Finance[Job Number],A233&amp;"",tbl_Finance[Ex GST],"&lt;&gt;"))</f>
        <v/>
      </c>
      <c r="F233" s="16">
        <f>IF(A233="","",SUMIFS(tbl_Finance[Ex GST],tbl_Finance[Job Number],A233&amp;""))</f>
        <v/>
      </c>
      <c r="G233" s="14">
        <f>IF(A233="","",IFERROR(INDEX(tbl_Finance[Cost Centre],MATCH(A233&amp;"",tbl_Finance[Job Number],0)),"not invoiced yet"))</f>
        <v/>
      </c>
      <c r="H233" s="13" t="n"/>
      <c r="I233" s="13" t="n"/>
      <c r="J233" s="15" t="n"/>
      <c r="K233" s="15" t="n"/>
      <c r="L233" s="15" t="n"/>
      <c r="M233" s="14">
        <f>IF(A233="","",IF(N(J233)+N(K233)+N(L233)=0,"Not split",IF(ROUND(N(J233)+N(K233)+N(L233),2)=ROUND(F233,2),"OK","MISMATCH")))</f>
        <v/>
      </c>
      <c r="N233" s="15" t="n"/>
      <c r="O233" s="15" t="n"/>
      <c r="P233" s="15" t="n"/>
      <c r="Q233" s="16">
        <f>IF(A233="","",N(N233)+N(O233)+N(P233))</f>
        <v/>
      </c>
      <c r="R233" s="16">
        <f>IF(A233="","",F233-Q233)</f>
        <v/>
      </c>
      <c r="S233" s="46">
        <f>IFERROR(R233/F233,"")</f>
        <v/>
      </c>
      <c r="T233" s="13" t="n"/>
    </row>
    <row r="234" ht="15" customHeight="1">
      <c r="A234" s="13" t="n"/>
      <c r="B234" s="14">
        <f>IF(A234="","",IF(COUNTIF(lst_Jobs,A234&amp;"")&gt;0,"OK","CHECK"))</f>
        <v/>
      </c>
      <c r="C234" s="14">
        <f>IF(A234="","",IFERROR(INDEX(lst_JobName,MATCH(A234&amp;"",lst_Jobs,0)),""))</f>
        <v/>
      </c>
      <c r="D234" s="14">
        <f>IF(A234="","",IFERROR(INDEX(tbl_Finance[Client],MATCH(A234&amp;"",tbl_Finance[Job Number],0)),""))</f>
        <v/>
      </c>
      <c r="E234" s="44">
        <f>IF(A234="","",COUNTIFS(tbl_Finance[Job Number],A234&amp;"",tbl_Finance[Ex GST],"&lt;&gt;"))</f>
        <v/>
      </c>
      <c r="F234" s="16">
        <f>IF(A234="","",SUMIFS(tbl_Finance[Ex GST],tbl_Finance[Job Number],A234&amp;""))</f>
        <v/>
      </c>
      <c r="G234" s="14">
        <f>IF(A234="","",IFERROR(INDEX(tbl_Finance[Cost Centre],MATCH(A234&amp;"",tbl_Finance[Job Number],0)),"not invoiced yet"))</f>
        <v/>
      </c>
      <c r="H234" s="13" t="n"/>
      <c r="I234" s="13" t="n"/>
      <c r="J234" s="15" t="n"/>
      <c r="K234" s="15" t="n"/>
      <c r="L234" s="15" t="n"/>
      <c r="M234" s="14">
        <f>IF(A234="","",IF(N(J234)+N(K234)+N(L234)=0,"Not split",IF(ROUND(N(J234)+N(K234)+N(L234),2)=ROUND(F234,2),"OK","MISMATCH")))</f>
        <v/>
      </c>
      <c r="N234" s="15" t="n"/>
      <c r="O234" s="15" t="n"/>
      <c r="P234" s="15" t="n"/>
      <c r="Q234" s="16">
        <f>IF(A234="","",N(N234)+N(O234)+N(P234))</f>
        <v/>
      </c>
      <c r="R234" s="16">
        <f>IF(A234="","",F234-Q234)</f>
        <v/>
      </c>
      <c r="S234" s="46">
        <f>IFERROR(R234/F234,"")</f>
        <v/>
      </c>
      <c r="T234" s="13" t="n"/>
    </row>
    <row r="235" ht="15" customHeight="1">
      <c r="A235" s="13" t="n"/>
      <c r="B235" s="14">
        <f>IF(A235="","",IF(COUNTIF(lst_Jobs,A235&amp;"")&gt;0,"OK","CHECK"))</f>
        <v/>
      </c>
      <c r="C235" s="14">
        <f>IF(A235="","",IFERROR(INDEX(lst_JobName,MATCH(A235&amp;"",lst_Jobs,0)),""))</f>
        <v/>
      </c>
      <c r="D235" s="14">
        <f>IF(A235="","",IFERROR(INDEX(tbl_Finance[Client],MATCH(A235&amp;"",tbl_Finance[Job Number],0)),""))</f>
        <v/>
      </c>
      <c r="E235" s="44">
        <f>IF(A235="","",COUNTIFS(tbl_Finance[Job Number],A235&amp;"",tbl_Finance[Ex GST],"&lt;&gt;"))</f>
        <v/>
      </c>
      <c r="F235" s="16">
        <f>IF(A235="","",SUMIFS(tbl_Finance[Ex GST],tbl_Finance[Job Number],A235&amp;""))</f>
        <v/>
      </c>
      <c r="G235" s="14">
        <f>IF(A235="","",IFERROR(INDEX(tbl_Finance[Cost Centre],MATCH(A235&amp;"",tbl_Finance[Job Number],0)),"not invoiced yet"))</f>
        <v/>
      </c>
      <c r="H235" s="13" t="n"/>
      <c r="I235" s="13" t="n"/>
      <c r="J235" s="15" t="n"/>
      <c r="K235" s="15" t="n"/>
      <c r="L235" s="15" t="n"/>
      <c r="M235" s="14">
        <f>IF(A235="","",IF(N(J235)+N(K235)+N(L235)=0,"Not split",IF(ROUND(N(J235)+N(K235)+N(L235),2)=ROUND(F235,2),"OK","MISMATCH")))</f>
        <v/>
      </c>
      <c r="N235" s="15" t="n"/>
      <c r="O235" s="15" t="n"/>
      <c r="P235" s="15" t="n"/>
      <c r="Q235" s="16">
        <f>IF(A235="","",N(N235)+N(O235)+N(P235))</f>
        <v/>
      </c>
      <c r="R235" s="16">
        <f>IF(A235="","",F235-Q235)</f>
        <v/>
      </c>
      <c r="S235" s="46">
        <f>IFERROR(R235/F235,"")</f>
        <v/>
      </c>
      <c r="T235" s="13" t="n"/>
    </row>
    <row r="236" ht="15" customHeight="1">
      <c r="A236" s="13" t="n"/>
      <c r="B236" s="14">
        <f>IF(A236="","",IF(COUNTIF(lst_Jobs,A236&amp;"")&gt;0,"OK","CHECK"))</f>
        <v/>
      </c>
      <c r="C236" s="14">
        <f>IF(A236="","",IFERROR(INDEX(lst_JobName,MATCH(A236&amp;"",lst_Jobs,0)),""))</f>
        <v/>
      </c>
      <c r="D236" s="14">
        <f>IF(A236="","",IFERROR(INDEX(tbl_Finance[Client],MATCH(A236&amp;"",tbl_Finance[Job Number],0)),""))</f>
        <v/>
      </c>
      <c r="E236" s="44">
        <f>IF(A236="","",COUNTIFS(tbl_Finance[Job Number],A236&amp;"",tbl_Finance[Ex GST],"&lt;&gt;"))</f>
        <v/>
      </c>
      <c r="F236" s="16">
        <f>IF(A236="","",SUMIFS(tbl_Finance[Ex GST],tbl_Finance[Job Number],A236&amp;""))</f>
        <v/>
      </c>
      <c r="G236" s="14">
        <f>IF(A236="","",IFERROR(INDEX(tbl_Finance[Cost Centre],MATCH(A236&amp;"",tbl_Finance[Job Number],0)),"not invoiced yet"))</f>
        <v/>
      </c>
      <c r="H236" s="13" t="n"/>
      <c r="I236" s="13" t="n"/>
      <c r="J236" s="15" t="n"/>
      <c r="K236" s="15" t="n"/>
      <c r="L236" s="15" t="n"/>
      <c r="M236" s="14">
        <f>IF(A236="","",IF(N(J236)+N(K236)+N(L236)=0,"Not split",IF(ROUND(N(J236)+N(K236)+N(L236),2)=ROUND(F236,2),"OK","MISMATCH")))</f>
        <v/>
      </c>
      <c r="N236" s="15" t="n"/>
      <c r="O236" s="15" t="n"/>
      <c r="P236" s="15" t="n"/>
      <c r="Q236" s="16">
        <f>IF(A236="","",N(N236)+N(O236)+N(P236))</f>
        <v/>
      </c>
      <c r="R236" s="16">
        <f>IF(A236="","",F236-Q236)</f>
        <v/>
      </c>
      <c r="S236" s="46">
        <f>IFERROR(R236/F236,"")</f>
        <v/>
      </c>
      <c r="T236" s="13" t="n"/>
    </row>
    <row r="237" ht="15" customHeight="1">
      <c r="A237" s="13" t="n"/>
      <c r="B237" s="14">
        <f>IF(A237="","",IF(COUNTIF(lst_Jobs,A237&amp;"")&gt;0,"OK","CHECK"))</f>
        <v/>
      </c>
      <c r="C237" s="14">
        <f>IF(A237="","",IFERROR(INDEX(lst_JobName,MATCH(A237&amp;"",lst_Jobs,0)),""))</f>
        <v/>
      </c>
      <c r="D237" s="14">
        <f>IF(A237="","",IFERROR(INDEX(tbl_Finance[Client],MATCH(A237&amp;"",tbl_Finance[Job Number],0)),""))</f>
        <v/>
      </c>
      <c r="E237" s="44">
        <f>IF(A237="","",COUNTIFS(tbl_Finance[Job Number],A237&amp;"",tbl_Finance[Ex GST],"&lt;&gt;"))</f>
        <v/>
      </c>
      <c r="F237" s="16">
        <f>IF(A237="","",SUMIFS(tbl_Finance[Ex GST],tbl_Finance[Job Number],A237&amp;""))</f>
        <v/>
      </c>
      <c r="G237" s="14">
        <f>IF(A237="","",IFERROR(INDEX(tbl_Finance[Cost Centre],MATCH(A237&amp;"",tbl_Finance[Job Number],0)),"not invoiced yet"))</f>
        <v/>
      </c>
      <c r="H237" s="13" t="n"/>
      <c r="I237" s="13" t="n"/>
      <c r="J237" s="15" t="n"/>
      <c r="K237" s="15" t="n"/>
      <c r="L237" s="15" t="n"/>
      <c r="M237" s="14">
        <f>IF(A237="","",IF(N(J237)+N(K237)+N(L237)=0,"Not split",IF(ROUND(N(J237)+N(K237)+N(L237),2)=ROUND(F237,2),"OK","MISMATCH")))</f>
        <v/>
      </c>
      <c r="N237" s="15" t="n"/>
      <c r="O237" s="15" t="n"/>
      <c r="P237" s="15" t="n"/>
      <c r="Q237" s="16">
        <f>IF(A237="","",N(N237)+N(O237)+N(P237))</f>
        <v/>
      </c>
      <c r="R237" s="16">
        <f>IF(A237="","",F237-Q237)</f>
        <v/>
      </c>
      <c r="S237" s="46">
        <f>IFERROR(R237/F237,"")</f>
        <v/>
      </c>
      <c r="T237" s="13" t="n"/>
    </row>
    <row r="238" ht="15" customHeight="1">
      <c r="A238" s="13" t="n"/>
      <c r="B238" s="14">
        <f>IF(A238="","",IF(COUNTIF(lst_Jobs,A238&amp;"")&gt;0,"OK","CHECK"))</f>
        <v/>
      </c>
      <c r="C238" s="14">
        <f>IF(A238="","",IFERROR(INDEX(lst_JobName,MATCH(A238&amp;"",lst_Jobs,0)),""))</f>
        <v/>
      </c>
      <c r="D238" s="14">
        <f>IF(A238="","",IFERROR(INDEX(tbl_Finance[Client],MATCH(A238&amp;"",tbl_Finance[Job Number],0)),""))</f>
        <v/>
      </c>
      <c r="E238" s="44">
        <f>IF(A238="","",COUNTIFS(tbl_Finance[Job Number],A238&amp;"",tbl_Finance[Ex GST],"&lt;&gt;"))</f>
        <v/>
      </c>
      <c r="F238" s="16">
        <f>IF(A238="","",SUMIFS(tbl_Finance[Ex GST],tbl_Finance[Job Number],A238&amp;""))</f>
        <v/>
      </c>
      <c r="G238" s="14">
        <f>IF(A238="","",IFERROR(INDEX(tbl_Finance[Cost Centre],MATCH(A238&amp;"",tbl_Finance[Job Number],0)),"not invoiced yet"))</f>
        <v/>
      </c>
      <c r="H238" s="13" t="n"/>
      <c r="I238" s="13" t="n"/>
      <c r="J238" s="15" t="n"/>
      <c r="K238" s="15" t="n"/>
      <c r="L238" s="15" t="n"/>
      <c r="M238" s="14">
        <f>IF(A238="","",IF(N(J238)+N(K238)+N(L238)=0,"Not split",IF(ROUND(N(J238)+N(K238)+N(L238),2)=ROUND(F238,2),"OK","MISMATCH")))</f>
        <v/>
      </c>
      <c r="N238" s="15" t="n"/>
      <c r="O238" s="15" t="n"/>
      <c r="P238" s="15" t="n"/>
      <c r="Q238" s="16">
        <f>IF(A238="","",N(N238)+N(O238)+N(P238))</f>
        <v/>
      </c>
      <c r="R238" s="16">
        <f>IF(A238="","",F238-Q238)</f>
        <v/>
      </c>
      <c r="S238" s="46">
        <f>IFERROR(R238/F238,"")</f>
        <v/>
      </c>
      <c r="T238" s="13" t="n"/>
    </row>
    <row r="239" ht="15" customHeight="1">
      <c r="A239" s="13" t="n"/>
      <c r="B239" s="14">
        <f>IF(A239="","",IF(COUNTIF(lst_Jobs,A239&amp;"")&gt;0,"OK","CHECK"))</f>
        <v/>
      </c>
      <c r="C239" s="14">
        <f>IF(A239="","",IFERROR(INDEX(lst_JobName,MATCH(A239&amp;"",lst_Jobs,0)),""))</f>
        <v/>
      </c>
      <c r="D239" s="14">
        <f>IF(A239="","",IFERROR(INDEX(tbl_Finance[Client],MATCH(A239&amp;"",tbl_Finance[Job Number],0)),""))</f>
        <v/>
      </c>
      <c r="E239" s="44">
        <f>IF(A239="","",COUNTIFS(tbl_Finance[Job Number],A239&amp;"",tbl_Finance[Ex GST],"&lt;&gt;"))</f>
        <v/>
      </c>
      <c r="F239" s="16">
        <f>IF(A239="","",SUMIFS(tbl_Finance[Ex GST],tbl_Finance[Job Number],A239&amp;""))</f>
        <v/>
      </c>
      <c r="G239" s="14">
        <f>IF(A239="","",IFERROR(INDEX(tbl_Finance[Cost Centre],MATCH(A239&amp;"",tbl_Finance[Job Number],0)),"not invoiced yet"))</f>
        <v/>
      </c>
      <c r="H239" s="13" t="n"/>
      <c r="I239" s="13" t="n"/>
      <c r="J239" s="15" t="n"/>
      <c r="K239" s="15" t="n"/>
      <c r="L239" s="15" t="n"/>
      <c r="M239" s="14">
        <f>IF(A239="","",IF(N(J239)+N(K239)+N(L239)=0,"Not split",IF(ROUND(N(J239)+N(K239)+N(L239),2)=ROUND(F239,2),"OK","MISMATCH")))</f>
        <v/>
      </c>
      <c r="N239" s="15" t="n"/>
      <c r="O239" s="15" t="n"/>
      <c r="P239" s="15" t="n"/>
      <c r="Q239" s="16">
        <f>IF(A239="","",N(N239)+N(O239)+N(P239))</f>
        <v/>
      </c>
      <c r="R239" s="16">
        <f>IF(A239="","",F239-Q239)</f>
        <v/>
      </c>
      <c r="S239" s="46">
        <f>IFERROR(R239/F239,"")</f>
        <v/>
      </c>
      <c r="T239" s="13" t="n"/>
    </row>
    <row r="240" ht="15" customHeight="1">
      <c r="A240" s="13" t="n"/>
      <c r="B240" s="14">
        <f>IF(A240="","",IF(COUNTIF(lst_Jobs,A240&amp;"")&gt;0,"OK","CHECK"))</f>
        <v/>
      </c>
      <c r="C240" s="14">
        <f>IF(A240="","",IFERROR(INDEX(lst_JobName,MATCH(A240&amp;"",lst_Jobs,0)),""))</f>
        <v/>
      </c>
      <c r="D240" s="14">
        <f>IF(A240="","",IFERROR(INDEX(tbl_Finance[Client],MATCH(A240&amp;"",tbl_Finance[Job Number],0)),""))</f>
        <v/>
      </c>
      <c r="E240" s="44">
        <f>IF(A240="","",COUNTIFS(tbl_Finance[Job Number],A240&amp;"",tbl_Finance[Ex GST],"&lt;&gt;"))</f>
        <v/>
      </c>
      <c r="F240" s="16">
        <f>IF(A240="","",SUMIFS(tbl_Finance[Ex GST],tbl_Finance[Job Number],A240&amp;""))</f>
        <v/>
      </c>
      <c r="G240" s="14">
        <f>IF(A240="","",IFERROR(INDEX(tbl_Finance[Cost Centre],MATCH(A240&amp;"",tbl_Finance[Job Number],0)),"not invoiced yet"))</f>
        <v/>
      </c>
      <c r="H240" s="13" t="n"/>
      <c r="I240" s="13" t="n"/>
      <c r="J240" s="15" t="n"/>
      <c r="K240" s="15" t="n"/>
      <c r="L240" s="15" t="n"/>
      <c r="M240" s="14">
        <f>IF(A240="","",IF(N(J240)+N(K240)+N(L240)=0,"Not split",IF(ROUND(N(J240)+N(K240)+N(L240),2)=ROUND(F240,2),"OK","MISMATCH")))</f>
        <v/>
      </c>
      <c r="N240" s="15" t="n"/>
      <c r="O240" s="15" t="n"/>
      <c r="P240" s="15" t="n"/>
      <c r="Q240" s="16">
        <f>IF(A240="","",N(N240)+N(O240)+N(P240))</f>
        <v/>
      </c>
      <c r="R240" s="16">
        <f>IF(A240="","",F240-Q240)</f>
        <v/>
      </c>
      <c r="S240" s="46">
        <f>IFERROR(R240/F240,"")</f>
        <v/>
      </c>
      <c r="T240" s="13" t="n"/>
    </row>
    <row r="241" ht="15" customHeight="1">
      <c r="A241" s="13" t="n"/>
      <c r="B241" s="14">
        <f>IF(A241="","",IF(COUNTIF(lst_Jobs,A241&amp;"")&gt;0,"OK","CHECK"))</f>
        <v/>
      </c>
      <c r="C241" s="14">
        <f>IF(A241="","",IFERROR(INDEX(lst_JobName,MATCH(A241&amp;"",lst_Jobs,0)),""))</f>
        <v/>
      </c>
      <c r="D241" s="14">
        <f>IF(A241="","",IFERROR(INDEX(tbl_Finance[Client],MATCH(A241&amp;"",tbl_Finance[Job Number],0)),""))</f>
        <v/>
      </c>
      <c r="E241" s="44">
        <f>IF(A241="","",COUNTIFS(tbl_Finance[Job Number],A241&amp;"",tbl_Finance[Ex GST],"&lt;&gt;"))</f>
        <v/>
      </c>
      <c r="F241" s="16">
        <f>IF(A241="","",SUMIFS(tbl_Finance[Ex GST],tbl_Finance[Job Number],A241&amp;""))</f>
        <v/>
      </c>
      <c r="G241" s="14">
        <f>IF(A241="","",IFERROR(INDEX(tbl_Finance[Cost Centre],MATCH(A241&amp;"",tbl_Finance[Job Number],0)),"not invoiced yet"))</f>
        <v/>
      </c>
      <c r="H241" s="13" t="n"/>
      <c r="I241" s="13" t="n"/>
      <c r="J241" s="15" t="n"/>
      <c r="K241" s="15" t="n"/>
      <c r="L241" s="15" t="n"/>
      <c r="M241" s="14">
        <f>IF(A241="","",IF(N(J241)+N(K241)+N(L241)=0,"Not split",IF(ROUND(N(J241)+N(K241)+N(L241),2)=ROUND(F241,2),"OK","MISMATCH")))</f>
        <v/>
      </c>
      <c r="N241" s="15" t="n"/>
      <c r="O241" s="15" t="n"/>
      <c r="P241" s="15" t="n"/>
      <c r="Q241" s="16">
        <f>IF(A241="","",N(N241)+N(O241)+N(P241))</f>
        <v/>
      </c>
      <c r="R241" s="16">
        <f>IF(A241="","",F241-Q241)</f>
        <v/>
      </c>
      <c r="S241" s="46">
        <f>IFERROR(R241/F241,"")</f>
        <v/>
      </c>
      <c r="T241" s="13" t="n"/>
    </row>
    <row r="242" ht="15" customHeight="1">
      <c r="A242" s="13" t="n"/>
      <c r="B242" s="14">
        <f>IF(A242="","",IF(COUNTIF(lst_Jobs,A242&amp;"")&gt;0,"OK","CHECK"))</f>
        <v/>
      </c>
      <c r="C242" s="14">
        <f>IF(A242="","",IFERROR(INDEX(lst_JobName,MATCH(A242&amp;"",lst_Jobs,0)),""))</f>
        <v/>
      </c>
      <c r="D242" s="14">
        <f>IF(A242="","",IFERROR(INDEX(tbl_Finance[Client],MATCH(A242&amp;"",tbl_Finance[Job Number],0)),""))</f>
        <v/>
      </c>
      <c r="E242" s="44">
        <f>IF(A242="","",COUNTIFS(tbl_Finance[Job Number],A242&amp;"",tbl_Finance[Ex GST],"&lt;&gt;"))</f>
        <v/>
      </c>
      <c r="F242" s="16">
        <f>IF(A242="","",SUMIFS(tbl_Finance[Ex GST],tbl_Finance[Job Number],A242&amp;""))</f>
        <v/>
      </c>
      <c r="G242" s="14">
        <f>IF(A242="","",IFERROR(INDEX(tbl_Finance[Cost Centre],MATCH(A242&amp;"",tbl_Finance[Job Number],0)),"not invoiced yet"))</f>
        <v/>
      </c>
      <c r="H242" s="13" t="n"/>
      <c r="I242" s="13" t="n"/>
      <c r="J242" s="15" t="n"/>
      <c r="K242" s="15" t="n"/>
      <c r="L242" s="15" t="n"/>
      <c r="M242" s="14">
        <f>IF(A242="","",IF(N(J242)+N(K242)+N(L242)=0,"Not split",IF(ROUND(N(J242)+N(K242)+N(L242),2)=ROUND(F242,2),"OK","MISMATCH")))</f>
        <v/>
      </c>
      <c r="N242" s="15" t="n"/>
      <c r="O242" s="15" t="n"/>
      <c r="P242" s="15" t="n"/>
      <c r="Q242" s="16">
        <f>IF(A242="","",N(N242)+N(O242)+N(P242))</f>
        <v/>
      </c>
      <c r="R242" s="16">
        <f>IF(A242="","",F242-Q242)</f>
        <v/>
      </c>
      <c r="S242" s="46">
        <f>IFERROR(R242/F242,"")</f>
        <v/>
      </c>
      <c r="T242" s="13" t="n"/>
    </row>
    <row r="243" ht="15" customHeight="1">
      <c r="A243" s="13" t="n"/>
      <c r="B243" s="14">
        <f>IF(A243="","",IF(COUNTIF(lst_Jobs,A243&amp;"")&gt;0,"OK","CHECK"))</f>
        <v/>
      </c>
      <c r="C243" s="14">
        <f>IF(A243="","",IFERROR(INDEX(lst_JobName,MATCH(A243&amp;"",lst_Jobs,0)),""))</f>
        <v/>
      </c>
      <c r="D243" s="14">
        <f>IF(A243="","",IFERROR(INDEX(tbl_Finance[Client],MATCH(A243&amp;"",tbl_Finance[Job Number],0)),""))</f>
        <v/>
      </c>
      <c r="E243" s="44">
        <f>IF(A243="","",COUNTIFS(tbl_Finance[Job Number],A243&amp;"",tbl_Finance[Ex GST],"&lt;&gt;"))</f>
        <v/>
      </c>
      <c r="F243" s="16">
        <f>IF(A243="","",SUMIFS(tbl_Finance[Ex GST],tbl_Finance[Job Number],A243&amp;""))</f>
        <v/>
      </c>
      <c r="G243" s="14">
        <f>IF(A243="","",IFERROR(INDEX(tbl_Finance[Cost Centre],MATCH(A243&amp;"",tbl_Finance[Job Number],0)),"not invoiced yet"))</f>
        <v/>
      </c>
      <c r="H243" s="13" t="n"/>
      <c r="I243" s="13" t="n"/>
      <c r="J243" s="15" t="n"/>
      <c r="K243" s="15" t="n"/>
      <c r="L243" s="15" t="n"/>
      <c r="M243" s="14">
        <f>IF(A243="","",IF(N(J243)+N(K243)+N(L243)=0,"Not split",IF(ROUND(N(J243)+N(K243)+N(L243),2)=ROUND(F243,2),"OK","MISMATCH")))</f>
        <v/>
      </c>
      <c r="N243" s="15" t="n"/>
      <c r="O243" s="15" t="n"/>
      <c r="P243" s="15" t="n"/>
      <c r="Q243" s="16">
        <f>IF(A243="","",N(N243)+N(O243)+N(P243))</f>
        <v/>
      </c>
      <c r="R243" s="16">
        <f>IF(A243="","",F243-Q243)</f>
        <v/>
      </c>
      <c r="S243" s="46">
        <f>IFERROR(R243/F243,"")</f>
        <v/>
      </c>
      <c r="T243" s="13" t="n"/>
    </row>
    <row r="244" ht="15" customHeight="1">
      <c r="A244" s="13" t="n"/>
      <c r="B244" s="14">
        <f>IF(A244="","",IF(COUNTIF(lst_Jobs,A244&amp;"")&gt;0,"OK","CHECK"))</f>
        <v/>
      </c>
      <c r="C244" s="14">
        <f>IF(A244="","",IFERROR(INDEX(lst_JobName,MATCH(A244&amp;"",lst_Jobs,0)),""))</f>
        <v/>
      </c>
      <c r="D244" s="14">
        <f>IF(A244="","",IFERROR(INDEX(tbl_Finance[Client],MATCH(A244&amp;"",tbl_Finance[Job Number],0)),""))</f>
        <v/>
      </c>
      <c r="E244" s="44">
        <f>IF(A244="","",COUNTIFS(tbl_Finance[Job Number],A244&amp;"",tbl_Finance[Ex GST],"&lt;&gt;"))</f>
        <v/>
      </c>
      <c r="F244" s="16">
        <f>IF(A244="","",SUMIFS(tbl_Finance[Ex GST],tbl_Finance[Job Number],A244&amp;""))</f>
        <v/>
      </c>
      <c r="G244" s="14">
        <f>IF(A244="","",IFERROR(INDEX(tbl_Finance[Cost Centre],MATCH(A244&amp;"",tbl_Finance[Job Number],0)),"not invoiced yet"))</f>
        <v/>
      </c>
      <c r="H244" s="13" t="n"/>
      <c r="I244" s="13" t="n"/>
      <c r="J244" s="15" t="n"/>
      <c r="K244" s="15" t="n"/>
      <c r="L244" s="15" t="n"/>
      <c r="M244" s="14">
        <f>IF(A244="","",IF(N(J244)+N(K244)+N(L244)=0,"Not split",IF(ROUND(N(J244)+N(K244)+N(L244),2)=ROUND(F244,2),"OK","MISMATCH")))</f>
        <v/>
      </c>
      <c r="N244" s="15" t="n"/>
      <c r="O244" s="15" t="n"/>
      <c r="P244" s="15" t="n"/>
      <c r="Q244" s="16">
        <f>IF(A244="","",N(N244)+N(O244)+N(P244))</f>
        <v/>
      </c>
      <c r="R244" s="16">
        <f>IF(A244="","",F244-Q244)</f>
        <v/>
      </c>
      <c r="S244" s="46">
        <f>IFERROR(R244/F244,"")</f>
        <v/>
      </c>
      <c r="T244" s="13" t="n"/>
    </row>
    <row r="245" ht="15" customHeight="1">
      <c r="A245" s="13" t="n"/>
      <c r="B245" s="14">
        <f>IF(A245="","",IF(COUNTIF(lst_Jobs,A245&amp;"")&gt;0,"OK","CHECK"))</f>
        <v/>
      </c>
      <c r="C245" s="14">
        <f>IF(A245="","",IFERROR(INDEX(lst_JobName,MATCH(A245&amp;"",lst_Jobs,0)),""))</f>
        <v/>
      </c>
      <c r="D245" s="14">
        <f>IF(A245="","",IFERROR(INDEX(tbl_Finance[Client],MATCH(A245&amp;"",tbl_Finance[Job Number],0)),""))</f>
        <v/>
      </c>
      <c r="E245" s="44">
        <f>IF(A245="","",COUNTIFS(tbl_Finance[Job Number],A245&amp;"",tbl_Finance[Ex GST],"&lt;&gt;"))</f>
        <v/>
      </c>
      <c r="F245" s="16">
        <f>IF(A245="","",SUMIFS(tbl_Finance[Ex GST],tbl_Finance[Job Number],A245&amp;""))</f>
        <v/>
      </c>
      <c r="G245" s="14">
        <f>IF(A245="","",IFERROR(INDEX(tbl_Finance[Cost Centre],MATCH(A245&amp;"",tbl_Finance[Job Number],0)),"not invoiced yet"))</f>
        <v/>
      </c>
      <c r="H245" s="13" t="n"/>
      <c r="I245" s="13" t="n"/>
      <c r="J245" s="15" t="n"/>
      <c r="K245" s="15" t="n"/>
      <c r="L245" s="15" t="n"/>
      <c r="M245" s="14">
        <f>IF(A245="","",IF(N(J245)+N(K245)+N(L245)=0,"Not split",IF(ROUND(N(J245)+N(K245)+N(L245),2)=ROUND(F245,2),"OK","MISMATCH")))</f>
        <v/>
      </c>
      <c r="N245" s="15" t="n"/>
      <c r="O245" s="15" t="n"/>
      <c r="P245" s="15" t="n"/>
      <c r="Q245" s="16">
        <f>IF(A245="","",N(N245)+N(O245)+N(P245))</f>
        <v/>
      </c>
      <c r="R245" s="16">
        <f>IF(A245="","",F245-Q245)</f>
        <v/>
      </c>
      <c r="S245" s="46">
        <f>IFERROR(R245/F245,"")</f>
        <v/>
      </c>
      <c r="T245" s="13" t="n"/>
    </row>
    <row r="246" ht="15" customHeight="1">
      <c r="A246" s="13" t="n"/>
      <c r="B246" s="14">
        <f>IF(A246="","",IF(COUNTIF(lst_Jobs,A246&amp;"")&gt;0,"OK","CHECK"))</f>
        <v/>
      </c>
      <c r="C246" s="14">
        <f>IF(A246="","",IFERROR(INDEX(lst_JobName,MATCH(A246&amp;"",lst_Jobs,0)),""))</f>
        <v/>
      </c>
      <c r="D246" s="14">
        <f>IF(A246="","",IFERROR(INDEX(tbl_Finance[Client],MATCH(A246&amp;"",tbl_Finance[Job Number],0)),""))</f>
        <v/>
      </c>
      <c r="E246" s="44">
        <f>IF(A246="","",COUNTIFS(tbl_Finance[Job Number],A246&amp;"",tbl_Finance[Ex GST],"&lt;&gt;"))</f>
        <v/>
      </c>
      <c r="F246" s="16">
        <f>IF(A246="","",SUMIFS(tbl_Finance[Ex GST],tbl_Finance[Job Number],A246&amp;""))</f>
        <v/>
      </c>
      <c r="G246" s="14">
        <f>IF(A246="","",IFERROR(INDEX(tbl_Finance[Cost Centre],MATCH(A246&amp;"",tbl_Finance[Job Number],0)),"not invoiced yet"))</f>
        <v/>
      </c>
      <c r="H246" s="13" t="n"/>
      <c r="I246" s="13" t="n"/>
      <c r="J246" s="15" t="n"/>
      <c r="K246" s="15" t="n"/>
      <c r="L246" s="15" t="n"/>
      <c r="M246" s="14">
        <f>IF(A246="","",IF(N(J246)+N(K246)+N(L246)=0,"Not split",IF(ROUND(N(J246)+N(K246)+N(L246),2)=ROUND(F246,2),"OK","MISMATCH")))</f>
        <v/>
      </c>
      <c r="N246" s="15" t="n"/>
      <c r="O246" s="15" t="n"/>
      <c r="P246" s="15" t="n"/>
      <c r="Q246" s="16">
        <f>IF(A246="","",N(N246)+N(O246)+N(P246))</f>
        <v/>
      </c>
      <c r="R246" s="16">
        <f>IF(A246="","",F246-Q246)</f>
        <v/>
      </c>
      <c r="S246" s="46">
        <f>IFERROR(R246/F246,"")</f>
        <v/>
      </c>
      <c r="T246" s="13" t="n"/>
    </row>
    <row r="247" ht="15" customHeight="1">
      <c r="A247" s="13" t="n"/>
      <c r="B247" s="14">
        <f>IF(A247="","",IF(COUNTIF(lst_Jobs,A247&amp;"")&gt;0,"OK","CHECK"))</f>
        <v/>
      </c>
      <c r="C247" s="14">
        <f>IF(A247="","",IFERROR(INDEX(lst_JobName,MATCH(A247&amp;"",lst_Jobs,0)),""))</f>
        <v/>
      </c>
      <c r="D247" s="14">
        <f>IF(A247="","",IFERROR(INDEX(tbl_Finance[Client],MATCH(A247&amp;"",tbl_Finance[Job Number],0)),""))</f>
        <v/>
      </c>
      <c r="E247" s="44">
        <f>IF(A247="","",COUNTIFS(tbl_Finance[Job Number],A247&amp;"",tbl_Finance[Ex GST],"&lt;&gt;"))</f>
        <v/>
      </c>
      <c r="F247" s="16">
        <f>IF(A247="","",SUMIFS(tbl_Finance[Ex GST],tbl_Finance[Job Number],A247&amp;""))</f>
        <v/>
      </c>
      <c r="G247" s="14">
        <f>IF(A247="","",IFERROR(INDEX(tbl_Finance[Cost Centre],MATCH(A247&amp;"",tbl_Finance[Job Number],0)),"not invoiced yet"))</f>
        <v/>
      </c>
      <c r="H247" s="13" t="n"/>
      <c r="I247" s="13" t="n"/>
      <c r="J247" s="15" t="n"/>
      <c r="K247" s="15" t="n"/>
      <c r="L247" s="15" t="n"/>
      <c r="M247" s="14">
        <f>IF(A247="","",IF(N(J247)+N(K247)+N(L247)=0,"Not split",IF(ROUND(N(J247)+N(K247)+N(L247),2)=ROUND(F247,2),"OK","MISMATCH")))</f>
        <v/>
      </c>
      <c r="N247" s="15" t="n"/>
      <c r="O247" s="15" t="n"/>
      <c r="P247" s="15" t="n"/>
      <c r="Q247" s="16">
        <f>IF(A247="","",N(N247)+N(O247)+N(P247))</f>
        <v/>
      </c>
      <c r="R247" s="16">
        <f>IF(A247="","",F247-Q247)</f>
        <v/>
      </c>
      <c r="S247" s="46">
        <f>IFERROR(R247/F247,"")</f>
        <v/>
      </c>
      <c r="T247" s="13" t="n"/>
    </row>
    <row r="248" ht="15" customHeight="1">
      <c r="A248" s="13" t="n"/>
      <c r="B248" s="14">
        <f>IF(A248="","",IF(COUNTIF(lst_Jobs,A248&amp;"")&gt;0,"OK","CHECK"))</f>
        <v/>
      </c>
      <c r="C248" s="14">
        <f>IF(A248="","",IFERROR(INDEX(lst_JobName,MATCH(A248&amp;"",lst_Jobs,0)),""))</f>
        <v/>
      </c>
      <c r="D248" s="14">
        <f>IF(A248="","",IFERROR(INDEX(tbl_Finance[Client],MATCH(A248&amp;"",tbl_Finance[Job Number],0)),""))</f>
        <v/>
      </c>
      <c r="E248" s="44">
        <f>IF(A248="","",COUNTIFS(tbl_Finance[Job Number],A248&amp;"",tbl_Finance[Ex GST],"&lt;&gt;"))</f>
        <v/>
      </c>
      <c r="F248" s="16">
        <f>IF(A248="","",SUMIFS(tbl_Finance[Ex GST],tbl_Finance[Job Number],A248&amp;""))</f>
        <v/>
      </c>
      <c r="G248" s="14">
        <f>IF(A248="","",IFERROR(INDEX(tbl_Finance[Cost Centre],MATCH(A248&amp;"",tbl_Finance[Job Number],0)),"not invoiced yet"))</f>
        <v/>
      </c>
      <c r="H248" s="13" t="n"/>
      <c r="I248" s="13" t="n"/>
      <c r="J248" s="15" t="n"/>
      <c r="K248" s="15" t="n"/>
      <c r="L248" s="15" t="n"/>
      <c r="M248" s="14">
        <f>IF(A248="","",IF(N(J248)+N(K248)+N(L248)=0,"Not split",IF(ROUND(N(J248)+N(K248)+N(L248),2)=ROUND(F248,2),"OK","MISMATCH")))</f>
        <v/>
      </c>
      <c r="N248" s="15" t="n"/>
      <c r="O248" s="15" t="n"/>
      <c r="P248" s="15" t="n"/>
      <c r="Q248" s="16">
        <f>IF(A248="","",N(N248)+N(O248)+N(P248))</f>
        <v/>
      </c>
      <c r="R248" s="16">
        <f>IF(A248="","",F248-Q248)</f>
        <v/>
      </c>
      <c r="S248" s="46">
        <f>IFERROR(R248/F248,"")</f>
        <v/>
      </c>
      <c r="T248" s="13" t="n"/>
    </row>
    <row r="249" ht="15" customHeight="1">
      <c r="A249" s="13" t="n"/>
      <c r="B249" s="14">
        <f>IF(A249="","",IF(COUNTIF(lst_Jobs,A249&amp;"")&gt;0,"OK","CHECK"))</f>
        <v/>
      </c>
      <c r="C249" s="14">
        <f>IF(A249="","",IFERROR(INDEX(lst_JobName,MATCH(A249&amp;"",lst_Jobs,0)),""))</f>
        <v/>
      </c>
      <c r="D249" s="14">
        <f>IF(A249="","",IFERROR(INDEX(tbl_Finance[Client],MATCH(A249&amp;"",tbl_Finance[Job Number],0)),""))</f>
        <v/>
      </c>
      <c r="E249" s="44">
        <f>IF(A249="","",COUNTIFS(tbl_Finance[Job Number],A249&amp;"",tbl_Finance[Ex GST],"&lt;&gt;"))</f>
        <v/>
      </c>
      <c r="F249" s="16">
        <f>IF(A249="","",SUMIFS(tbl_Finance[Ex GST],tbl_Finance[Job Number],A249&amp;""))</f>
        <v/>
      </c>
      <c r="G249" s="14">
        <f>IF(A249="","",IFERROR(INDEX(tbl_Finance[Cost Centre],MATCH(A249&amp;"",tbl_Finance[Job Number],0)),"not invoiced yet"))</f>
        <v/>
      </c>
      <c r="H249" s="13" t="n"/>
      <c r="I249" s="13" t="n"/>
      <c r="J249" s="15" t="n"/>
      <c r="K249" s="15" t="n"/>
      <c r="L249" s="15" t="n"/>
      <c r="M249" s="14">
        <f>IF(A249="","",IF(N(J249)+N(K249)+N(L249)=0,"Not split",IF(ROUND(N(J249)+N(K249)+N(L249),2)=ROUND(F249,2),"OK","MISMATCH")))</f>
        <v/>
      </c>
      <c r="N249" s="15" t="n"/>
      <c r="O249" s="15" t="n"/>
      <c r="P249" s="15" t="n"/>
      <c r="Q249" s="16">
        <f>IF(A249="","",N(N249)+N(O249)+N(P249))</f>
        <v/>
      </c>
      <c r="R249" s="16">
        <f>IF(A249="","",F249-Q249)</f>
        <v/>
      </c>
      <c r="S249" s="46">
        <f>IFERROR(R249/F249,"")</f>
        <v/>
      </c>
      <c r="T249" s="13" t="n"/>
    </row>
    <row r="250" ht="15" customHeight="1">
      <c r="A250" s="13" t="n"/>
      <c r="B250" s="14">
        <f>IF(A250="","",IF(COUNTIF(lst_Jobs,A250&amp;"")&gt;0,"OK","CHECK"))</f>
        <v/>
      </c>
      <c r="C250" s="14">
        <f>IF(A250="","",IFERROR(INDEX(lst_JobName,MATCH(A250&amp;"",lst_Jobs,0)),""))</f>
        <v/>
      </c>
      <c r="D250" s="14">
        <f>IF(A250="","",IFERROR(INDEX(tbl_Finance[Client],MATCH(A250&amp;"",tbl_Finance[Job Number],0)),""))</f>
        <v/>
      </c>
      <c r="E250" s="44">
        <f>IF(A250="","",COUNTIFS(tbl_Finance[Job Number],A250&amp;"",tbl_Finance[Ex GST],"&lt;&gt;"))</f>
        <v/>
      </c>
      <c r="F250" s="16">
        <f>IF(A250="","",SUMIFS(tbl_Finance[Ex GST],tbl_Finance[Job Number],A250&amp;""))</f>
        <v/>
      </c>
      <c r="G250" s="14">
        <f>IF(A250="","",IFERROR(INDEX(tbl_Finance[Cost Centre],MATCH(A250&amp;"",tbl_Finance[Job Number],0)),"not invoiced yet"))</f>
        <v/>
      </c>
      <c r="H250" s="13" t="n"/>
      <c r="I250" s="13" t="n"/>
      <c r="J250" s="15" t="n"/>
      <c r="K250" s="15" t="n"/>
      <c r="L250" s="15" t="n"/>
      <c r="M250" s="14">
        <f>IF(A250="","",IF(N(J250)+N(K250)+N(L250)=0,"Not split",IF(ROUND(N(J250)+N(K250)+N(L250),2)=ROUND(F250,2),"OK","MISMATCH")))</f>
        <v/>
      </c>
      <c r="N250" s="15" t="n"/>
      <c r="O250" s="15" t="n"/>
      <c r="P250" s="15" t="n"/>
      <c r="Q250" s="16">
        <f>IF(A250="","",N(N250)+N(O250)+N(P250))</f>
        <v/>
      </c>
      <c r="R250" s="16">
        <f>IF(A250="","",F250-Q250)</f>
        <v/>
      </c>
      <c r="S250" s="46">
        <f>IFERROR(R250/F250,"")</f>
        <v/>
      </c>
      <c r="T250" s="13" t="n"/>
    </row>
    <row r="251" ht="15" customHeight="1">
      <c r="A251" s="13" t="n"/>
      <c r="B251" s="14">
        <f>IF(A251="","",IF(COUNTIF(lst_Jobs,A251&amp;"")&gt;0,"OK","CHECK"))</f>
        <v/>
      </c>
      <c r="C251" s="14">
        <f>IF(A251="","",IFERROR(INDEX(lst_JobName,MATCH(A251&amp;"",lst_Jobs,0)),""))</f>
        <v/>
      </c>
      <c r="D251" s="14">
        <f>IF(A251="","",IFERROR(INDEX(tbl_Finance[Client],MATCH(A251&amp;"",tbl_Finance[Job Number],0)),""))</f>
        <v/>
      </c>
      <c r="E251" s="44">
        <f>IF(A251="","",COUNTIFS(tbl_Finance[Job Number],A251&amp;"",tbl_Finance[Ex GST],"&lt;&gt;"))</f>
        <v/>
      </c>
      <c r="F251" s="16">
        <f>IF(A251="","",SUMIFS(tbl_Finance[Ex GST],tbl_Finance[Job Number],A251&amp;""))</f>
        <v/>
      </c>
      <c r="G251" s="14">
        <f>IF(A251="","",IFERROR(INDEX(tbl_Finance[Cost Centre],MATCH(A251&amp;"",tbl_Finance[Job Number],0)),"not invoiced yet"))</f>
        <v/>
      </c>
      <c r="H251" s="13" t="n"/>
      <c r="I251" s="13" t="n"/>
      <c r="J251" s="15" t="n"/>
      <c r="K251" s="15" t="n"/>
      <c r="L251" s="15" t="n"/>
      <c r="M251" s="14">
        <f>IF(A251="","",IF(N(J251)+N(K251)+N(L251)=0,"Not split",IF(ROUND(N(J251)+N(K251)+N(L251),2)=ROUND(F251,2),"OK","MISMATCH")))</f>
        <v/>
      </c>
      <c r="N251" s="15" t="n"/>
      <c r="O251" s="15" t="n"/>
      <c r="P251" s="15" t="n"/>
      <c r="Q251" s="16">
        <f>IF(A251="","",N(N251)+N(O251)+N(P251))</f>
        <v/>
      </c>
      <c r="R251" s="16">
        <f>IF(A251="","",F251-Q251)</f>
        <v/>
      </c>
      <c r="S251" s="46">
        <f>IFERROR(R251/F251,"")</f>
        <v/>
      </c>
      <c r="T251" s="13" t="n"/>
    </row>
    <row r="252" ht="15" customHeight="1">
      <c r="A252" s="13" t="n"/>
      <c r="B252" s="14">
        <f>IF(A252="","",IF(COUNTIF(lst_Jobs,A252&amp;"")&gt;0,"OK","CHECK"))</f>
        <v/>
      </c>
      <c r="C252" s="14">
        <f>IF(A252="","",IFERROR(INDEX(lst_JobName,MATCH(A252&amp;"",lst_Jobs,0)),""))</f>
        <v/>
      </c>
      <c r="D252" s="14">
        <f>IF(A252="","",IFERROR(INDEX(tbl_Finance[Client],MATCH(A252&amp;"",tbl_Finance[Job Number],0)),""))</f>
        <v/>
      </c>
      <c r="E252" s="44">
        <f>IF(A252="","",COUNTIFS(tbl_Finance[Job Number],A252&amp;"",tbl_Finance[Ex GST],"&lt;&gt;"))</f>
        <v/>
      </c>
      <c r="F252" s="16">
        <f>IF(A252="","",SUMIFS(tbl_Finance[Ex GST],tbl_Finance[Job Number],A252&amp;""))</f>
        <v/>
      </c>
      <c r="G252" s="14">
        <f>IF(A252="","",IFERROR(INDEX(tbl_Finance[Cost Centre],MATCH(A252&amp;"",tbl_Finance[Job Number],0)),"not invoiced yet"))</f>
        <v/>
      </c>
      <c r="H252" s="13" t="n"/>
      <c r="I252" s="13" t="n"/>
      <c r="J252" s="15" t="n"/>
      <c r="K252" s="15" t="n"/>
      <c r="L252" s="15" t="n"/>
      <c r="M252" s="14">
        <f>IF(A252="","",IF(N(J252)+N(K252)+N(L252)=0,"Not split",IF(ROUND(N(J252)+N(K252)+N(L252),2)=ROUND(F252,2),"OK","MISMATCH")))</f>
        <v/>
      </c>
      <c r="N252" s="15" t="n"/>
      <c r="O252" s="15" t="n"/>
      <c r="P252" s="15" t="n"/>
      <c r="Q252" s="16">
        <f>IF(A252="","",N(N252)+N(O252)+N(P252))</f>
        <v/>
      </c>
      <c r="R252" s="16">
        <f>IF(A252="","",F252-Q252)</f>
        <v/>
      </c>
      <c r="S252" s="46">
        <f>IFERROR(R252/F252,"")</f>
        <v/>
      </c>
      <c r="T252" s="13" t="n"/>
    </row>
    <row r="253" ht="15" customHeight="1">
      <c r="A253" s="13" t="n"/>
      <c r="B253" s="14">
        <f>IF(A253="","",IF(COUNTIF(lst_Jobs,A253&amp;"")&gt;0,"OK","CHECK"))</f>
        <v/>
      </c>
      <c r="C253" s="14">
        <f>IF(A253="","",IFERROR(INDEX(lst_JobName,MATCH(A253&amp;"",lst_Jobs,0)),""))</f>
        <v/>
      </c>
      <c r="D253" s="14">
        <f>IF(A253="","",IFERROR(INDEX(tbl_Finance[Client],MATCH(A253&amp;"",tbl_Finance[Job Number],0)),""))</f>
        <v/>
      </c>
      <c r="E253" s="44">
        <f>IF(A253="","",COUNTIFS(tbl_Finance[Job Number],A253&amp;"",tbl_Finance[Ex GST],"&lt;&gt;"))</f>
        <v/>
      </c>
      <c r="F253" s="16">
        <f>IF(A253="","",SUMIFS(tbl_Finance[Ex GST],tbl_Finance[Job Number],A253&amp;""))</f>
        <v/>
      </c>
      <c r="G253" s="14">
        <f>IF(A253="","",IFERROR(INDEX(tbl_Finance[Cost Centre],MATCH(A253&amp;"",tbl_Finance[Job Number],0)),"not invoiced yet"))</f>
        <v/>
      </c>
      <c r="H253" s="13" t="n"/>
      <c r="I253" s="13" t="n"/>
      <c r="J253" s="15" t="n"/>
      <c r="K253" s="15" t="n"/>
      <c r="L253" s="15" t="n"/>
      <c r="M253" s="14">
        <f>IF(A253="","",IF(N(J253)+N(K253)+N(L253)=0,"Not split",IF(ROUND(N(J253)+N(K253)+N(L253),2)=ROUND(F253,2),"OK","MISMATCH")))</f>
        <v/>
      </c>
      <c r="N253" s="15" t="n"/>
      <c r="O253" s="15" t="n"/>
      <c r="P253" s="15" t="n"/>
      <c r="Q253" s="16">
        <f>IF(A253="","",N(N253)+N(O253)+N(P253))</f>
        <v/>
      </c>
      <c r="R253" s="16">
        <f>IF(A253="","",F253-Q253)</f>
        <v/>
      </c>
      <c r="S253" s="46">
        <f>IFERROR(R253/F253,"")</f>
        <v/>
      </c>
      <c r="T253" s="13" t="n"/>
    </row>
    <row r="254" ht="15" customHeight="1">
      <c r="A254" s="13" t="n"/>
      <c r="B254" s="14">
        <f>IF(A254="","",IF(COUNTIF(lst_Jobs,A254&amp;"")&gt;0,"OK","CHECK"))</f>
        <v/>
      </c>
      <c r="C254" s="14">
        <f>IF(A254="","",IFERROR(INDEX(lst_JobName,MATCH(A254&amp;"",lst_Jobs,0)),""))</f>
        <v/>
      </c>
      <c r="D254" s="14">
        <f>IF(A254="","",IFERROR(INDEX(tbl_Finance[Client],MATCH(A254&amp;"",tbl_Finance[Job Number],0)),""))</f>
        <v/>
      </c>
      <c r="E254" s="44">
        <f>IF(A254="","",COUNTIFS(tbl_Finance[Job Number],A254&amp;"",tbl_Finance[Ex GST],"&lt;&gt;"))</f>
        <v/>
      </c>
      <c r="F254" s="16">
        <f>IF(A254="","",SUMIFS(tbl_Finance[Ex GST],tbl_Finance[Job Number],A254&amp;""))</f>
        <v/>
      </c>
      <c r="G254" s="14">
        <f>IF(A254="","",IFERROR(INDEX(tbl_Finance[Cost Centre],MATCH(A254&amp;"",tbl_Finance[Job Number],0)),"not invoiced yet"))</f>
        <v/>
      </c>
      <c r="H254" s="13" t="n"/>
      <c r="I254" s="13" t="n"/>
      <c r="J254" s="15" t="n"/>
      <c r="K254" s="15" t="n"/>
      <c r="L254" s="15" t="n"/>
      <c r="M254" s="14">
        <f>IF(A254="","",IF(N(J254)+N(K254)+N(L254)=0,"Not split",IF(ROUND(N(J254)+N(K254)+N(L254),2)=ROUND(F254,2),"OK","MISMATCH")))</f>
        <v/>
      </c>
      <c r="N254" s="15" t="n"/>
      <c r="O254" s="15" t="n"/>
      <c r="P254" s="15" t="n"/>
      <c r="Q254" s="16">
        <f>IF(A254="","",N(N254)+N(O254)+N(P254))</f>
        <v/>
      </c>
      <c r="R254" s="16">
        <f>IF(A254="","",F254-Q254)</f>
        <v/>
      </c>
      <c r="S254" s="46">
        <f>IFERROR(R254/F254,"")</f>
        <v/>
      </c>
      <c r="T254" s="13" t="n"/>
    </row>
    <row r="255" ht="15" customHeight="1">
      <c r="A255" s="13" t="n"/>
      <c r="B255" s="14">
        <f>IF(A255="","",IF(COUNTIF(lst_Jobs,A255&amp;"")&gt;0,"OK","CHECK"))</f>
        <v/>
      </c>
      <c r="C255" s="14">
        <f>IF(A255="","",IFERROR(INDEX(lst_JobName,MATCH(A255&amp;"",lst_Jobs,0)),""))</f>
        <v/>
      </c>
      <c r="D255" s="14">
        <f>IF(A255="","",IFERROR(INDEX(tbl_Finance[Client],MATCH(A255&amp;"",tbl_Finance[Job Number],0)),""))</f>
        <v/>
      </c>
      <c r="E255" s="44">
        <f>IF(A255="","",COUNTIFS(tbl_Finance[Job Number],A255&amp;"",tbl_Finance[Ex GST],"&lt;&gt;"))</f>
        <v/>
      </c>
      <c r="F255" s="16">
        <f>IF(A255="","",SUMIFS(tbl_Finance[Ex GST],tbl_Finance[Job Number],A255&amp;""))</f>
        <v/>
      </c>
      <c r="G255" s="14">
        <f>IF(A255="","",IFERROR(INDEX(tbl_Finance[Cost Centre],MATCH(A255&amp;"",tbl_Finance[Job Number],0)),"not invoiced yet"))</f>
        <v/>
      </c>
      <c r="H255" s="13" t="n"/>
      <c r="I255" s="13" t="n"/>
      <c r="J255" s="15" t="n"/>
      <c r="K255" s="15" t="n"/>
      <c r="L255" s="15" t="n"/>
      <c r="M255" s="14">
        <f>IF(A255="","",IF(N(J255)+N(K255)+N(L255)=0,"Not split",IF(ROUND(N(J255)+N(K255)+N(L255),2)=ROUND(F255,2),"OK","MISMATCH")))</f>
        <v/>
      </c>
      <c r="N255" s="15" t="n"/>
      <c r="O255" s="15" t="n"/>
      <c r="P255" s="15" t="n"/>
      <c r="Q255" s="16">
        <f>IF(A255="","",N(N255)+N(O255)+N(P255))</f>
        <v/>
      </c>
      <c r="R255" s="16">
        <f>IF(A255="","",F255-Q255)</f>
        <v/>
      </c>
      <c r="S255" s="46">
        <f>IFERROR(R255/F255,"")</f>
        <v/>
      </c>
      <c r="T255" s="13" t="n"/>
    </row>
    <row r="256" ht="15" customHeight="1">
      <c r="A256" s="13" t="n"/>
      <c r="B256" s="14">
        <f>IF(A256="","",IF(COUNTIF(lst_Jobs,A256&amp;"")&gt;0,"OK","CHECK"))</f>
        <v/>
      </c>
      <c r="C256" s="14">
        <f>IF(A256="","",IFERROR(INDEX(lst_JobName,MATCH(A256&amp;"",lst_Jobs,0)),""))</f>
        <v/>
      </c>
      <c r="D256" s="14">
        <f>IF(A256="","",IFERROR(INDEX(tbl_Finance[Client],MATCH(A256&amp;"",tbl_Finance[Job Number],0)),""))</f>
        <v/>
      </c>
      <c r="E256" s="44">
        <f>IF(A256="","",COUNTIFS(tbl_Finance[Job Number],A256&amp;"",tbl_Finance[Ex GST],"&lt;&gt;"))</f>
        <v/>
      </c>
      <c r="F256" s="16">
        <f>IF(A256="","",SUMIFS(tbl_Finance[Ex GST],tbl_Finance[Job Number],A256&amp;""))</f>
        <v/>
      </c>
      <c r="G256" s="14">
        <f>IF(A256="","",IFERROR(INDEX(tbl_Finance[Cost Centre],MATCH(A256&amp;"",tbl_Finance[Job Number],0)),"not invoiced yet"))</f>
        <v/>
      </c>
      <c r="H256" s="13" t="n"/>
      <c r="I256" s="13" t="n"/>
      <c r="J256" s="15" t="n"/>
      <c r="K256" s="15" t="n"/>
      <c r="L256" s="15" t="n"/>
      <c r="M256" s="14">
        <f>IF(A256="","",IF(N(J256)+N(K256)+N(L256)=0,"Not split",IF(ROUND(N(J256)+N(K256)+N(L256),2)=ROUND(F256,2),"OK","MISMATCH")))</f>
        <v/>
      </c>
      <c r="N256" s="15" t="n"/>
      <c r="O256" s="15" t="n"/>
      <c r="P256" s="15" t="n"/>
      <c r="Q256" s="16">
        <f>IF(A256="","",N(N256)+N(O256)+N(P256))</f>
        <v/>
      </c>
      <c r="R256" s="16">
        <f>IF(A256="","",F256-Q256)</f>
        <v/>
      </c>
      <c r="S256" s="46">
        <f>IFERROR(R256/F256,"")</f>
        <v/>
      </c>
      <c r="T256" s="13" t="n"/>
    </row>
    <row r="257" ht="15" customHeight="1">
      <c r="A257" s="13" t="n"/>
      <c r="B257" s="14">
        <f>IF(A257="","",IF(COUNTIF(lst_Jobs,A257&amp;"")&gt;0,"OK","CHECK"))</f>
        <v/>
      </c>
      <c r="C257" s="14">
        <f>IF(A257="","",IFERROR(INDEX(lst_JobName,MATCH(A257&amp;"",lst_Jobs,0)),""))</f>
        <v/>
      </c>
      <c r="D257" s="14">
        <f>IF(A257="","",IFERROR(INDEX(tbl_Finance[Client],MATCH(A257&amp;"",tbl_Finance[Job Number],0)),""))</f>
        <v/>
      </c>
      <c r="E257" s="44">
        <f>IF(A257="","",COUNTIFS(tbl_Finance[Job Number],A257&amp;"",tbl_Finance[Ex GST],"&lt;&gt;"))</f>
        <v/>
      </c>
      <c r="F257" s="16">
        <f>IF(A257="","",SUMIFS(tbl_Finance[Ex GST],tbl_Finance[Job Number],A257&amp;""))</f>
        <v/>
      </c>
      <c r="G257" s="14">
        <f>IF(A257="","",IFERROR(INDEX(tbl_Finance[Cost Centre],MATCH(A257&amp;"",tbl_Finance[Job Number],0)),"not invoiced yet"))</f>
        <v/>
      </c>
      <c r="H257" s="13" t="n"/>
      <c r="I257" s="13" t="n"/>
      <c r="J257" s="15" t="n"/>
      <c r="K257" s="15" t="n"/>
      <c r="L257" s="15" t="n"/>
      <c r="M257" s="14">
        <f>IF(A257="","",IF(N(J257)+N(K257)+N(L257)=0,"Not split",IF(ROUND(N(J257)+N(K257)+N(L257),2)=ROUND(F257,2),"OK","MISMATCH")))</f>
        <v/>
      </c>
      <c r="N257" s="15" t="n"/>
      <c r="O257" s="15" t="n"/>
      <c r="P257" s="15" t="n"/>
      <c r="Q257" s="16">
        <f>IF(A257="","",N(N257)+N(O257)+N(P257))</f>
        <v/>
      </c>
      <c r="R257" s="16">
        <f>IF(A257="","",F257-Q257)</f>
        <v/>
      </c>
      <c r="S257" s="46">
        <f>IFERROR(R257/F257,"")</f>
        <v/>
      </c>
      <c r="T257" s="13" t="n"/>
    </row>
    <row r="258" ht="15" customHeight="1">
      <c r="A258" s="13" t="n"/>
      <c r="B258" s="14">
        <f>IF(A258="","",IF(COUNTIF(lst_Jobs,A258&amp;"")&gt;0,"OK","CHECK"))</f>
        <v/>
      </c>
      <c r="C258" s="14">
        <f>IF(A258="","",IFERROR(INDEX(lst_JobName,MATCH(A258&amp;"",lst_Jobs,0)),""))</f>
        <v/>
      </c>
      <c r="D258" s="14">
        <f>IF(A258="","",IFERROR(INDEX(tbl_Finance[Client],MATCH(A258&amp;"",tbl_Finance[Job Number],0)),""))</f>
        <v/>
      </c>
      <c r="E258" s="44">
        <f>IF(A258="","",COUNTIFS(tbl_Finance[Job Number],A258&amp;"",tbl_Finance[Ex GST],"&lt;&gt;"))</f>
        <v/>
      </c>
      <c r="F258" s="16">
        <f>IF(A258="","",SUMIFS(tbl_Finance[Ex GST],tbl_Finance[Job Number],A258&amp;""))</f>
        <v/>
      </c>
      <c r="G258" s="14">
        <f>IF(A258="","",IFERROR(INDEX(tbl_Finance[Cost Centre],MATCH(A258&amp;"",tbl_Finance[Job Number],0)),"not invoiced yet"))</f>
        <v/>
      </c>
      <c r="H258" s="13" t="n"/>
      <c r="I258" s="13" t="n"/>
      <c r="J258" s="15" t="n"/>
      <c r="K258" s="15" t="n"/>
      <c r="L258" s="15" t="n"/>
      <c r="M258" s="14">
        <f>IF(A258="","",IF(N(J258)+N(K258)+N(L258)=0,"Not split",IF(ROUND(N(J258)+N(K258)+N(L258),2)=ROUND(F258,2),"OK","MISMATCH")))</f>
        <v/>
      </c>
      <c r="N258" s="15" t="n"/>
      <c r="O258" s="15" t="n"/>
      <c r="P258" s="15" t="n"/>
      <c r="Q258" s="16">
        <f>IF(A258="","",N(N258)+N(O258)+N(P258))</f>
        <v/>
      </c>
      <c r="R258" s="16">
        <f>IF(A258="","",F258-Q258)</f>
        <v/>
      </c>
      <c r="S258" s="46">
        <f>IFERROR(R258/F258,"")</f>
        <v/>
      </c>
      <c r="T258" s="13" t="n"/>
    </row>
    <row r="259" ht="15" customHeight="1">
      <c r="A259" s="13" t="n"/>
      <c r="B259" s="14">
        <f>IF(A259="","",IF(COUNTIF(lst_Jobs,A259&amp;"")&gt;0,"OK","CHECK"))</f>
        <v/>
      </c>
      <c r="C259" s="14">
        <f>IF(A259="","",IFERROR(INDEX(lst_JobName,MATCH(A259&amp;"",lst_Jobs,0)),""))</f>
        <v/>
      </c>
      <c r="D259" s="14">
        <f>IF(A259="","",IFERROR(INDEX(tbl_Finance[Client],MATCH(A259&amp;"",tbl_Finance[Job Number],0)),""))</f>
        <v/>
      </c>
      <c r="E259" s="44">
        <f>IF(A259="","",COUNTIFS(tbl_Finance[Job Number],A259&amp;"",tbl_Finance[Ex GST],"&lt;&gt;"))</f>
        <v/>
      </c>
      <c r="F259" s="16">
        <f>IF(A259="","",SUMIFS(tbl_Finance[Ex GST],tbl_Finance[Job Number],A259&amp;""))</f>
        <v/>
      </c>
      <c r="G259" s="14">
        <f>IF(A259="","",IFERROR(INDEX(tbl_Finance[Cost Centre],MATCH(A259&amp;"",tbl_Finance[Job Number],0)),"not invoiced yet"))</f>
        <v/>
      </c>
      <c r="H259" s="13" t="n"/>
      <c r="I259" s="13" t="n"/>
      <c r="J259" s="15" t="n"/>
      <c r="K259" s="15" t="n"/>
      <c r="L259" s="15" t="n"/>
      <c r="M259" s="14">
        <f>IF(A259="","",IF(N(J259)+N(K259)+N(L259)=0,"Not split",IF(ROUND(N(J259)+N(K259)+N(L259),2)=ROUND(F259,2),"OK","MISMATCH")))</f>
        <v/>
      </c>
      <c r="N259" s="15" t="n"/>
      <c r="O259" s="15" t="n"/>
      <c r="P259" s="15" t="n"/>
      <c r="Q259" s="16">
        <f>IF(A259="","",N(N259)+N(O259)+N(P259))</f>
        <v/>
      </c>
      <c r="R259" s="16">
        <f>IF(A259="","",F259-Q259)</f>
        <v/>
      </c>
      <c r="S259" s="46">
        <f>IFERROR(R259/F259,"")</f>
        <v/>
      </c>
      <c r="T259" s="13" t="n"/>
    </row>
    <row r="260" ht="15" customHeight="1">
      <c r="A260" s="13" t="n"/>
      <c r="B260" s="14">
        <f>IF(A260="","",IF(COUNTIF(lst_Jobs,A260&amp;"")&gt;0,"OK","CHECK"))</f>
        <v/>
      </c>
      <c r="C260" s="14">
        <f>IF(A260="","",IFERROR(INDEX(lst_JobName,MATCH(A260&amp;"",lst_Jobs,0)),""))</f>
        <v/>
      </c>
      <c r="D260" s="14">
        <f>IF(A260="","",IFERROR(INDEX(tbl_Finance[Client],MATCH(A260&amp;"",tbl_Finance[Job Number],0)),""))</f>
        <v/>
      </c>
      <c r="E260" s="44">
        <f>IF(A260="","",COUNTIFS(tbl_Finance[Job Number],A260&amp;"",tbl_Finance[Ex GST],"&lt;&gt;"))</f>
        <v/>
      </c>
      <c r="F260" s="16">
        <f>IF(A260="","",SUMIFS(tbl_Finance[Ex GST],tbl_Finance[Job Number],A260&amp;""))</f>
        <v/>
      </c>
      <c r="G260" s="14">
        <f>IF(A260="","",IFERROR(INDEX(tbl_Finance[Cost Centre],MATCH(A260&amp;"",tbl_Finance[Job Number],0)),"not invoiced yet"))</f>
        <v/>
      </c>
      <c r="H260" s="13" t="n"/>
      <c r="I260" s="13" t="n"/>
      <c r="J260" s="15" t="n"/>
      <c r="K260" s="15" t="n"/>
      <c r="L260" s="15" t="n"/>
      <c r="M260" s="14">
        <f>IF(A260="","",IF(N(J260)+N(K260)+N(L260)=0,"Not split",IF(ROUND(N(J260)+N(K260)+N(L260),2)=ROUND(F260,2),"OK","MISMATCH")))</f>
        <v/>
      </c>
      <c r="N260" s="15" t="n"/>
      <c r="O260" s="15" t="n"/>
      <c r="P260" s="15" t="n"/>
      <c r="Q260" s="16">
        <f>IF(A260="","",N(N260)+N(O260)+N(P260))</f>
        <v/>
      </c>
      <c r="R260" s="16">
        <f>IF(A260="","",F260-Q260)</f>
        <v/>
      </c>
      <c r="S260" s="46">
        <f>IFERROR(R260/F260,"")</f>
        <v/>
      </c>
      <c r="T260" s="13" t="n"/>
    </row>
    <row r="261" ht="15" customHeight="1">
      <c r="A261" s="13" t="n"/>
      <c r="B261" s="14">
        <f>IF(A261="","",IF(COUNTIF(lst_Jobs,A261&amp;"")&gt;0,"OK","CHECK"))</f>
        <v/>
      </c>
      <c r="C261" s="14">
        <f>IF(A261="","",IFERROR(INDEX(lst_JobName,MATCH(A261&amp;"",lst_Jobs,0)),""))</f>
        <v/>
      </c>
      <c r="D261" s="14">
        <f>IF(A261="","",IFERROR(INDEX(tbl_Finance[Client],MATCH(A261&amp;"",tbl_Finance[Job Number],0)),""))</f>
        <v/>
      </c>
      <c r="E261" s="44">
        <f>IF(A261="","",COUNTIFS(tbl_Finance[Job Number],A261&amp;"",tbl_Finance[Ex GST],"&lt;&gt;"))</f>
        <v/>
      </c>
      <c r="F261" s="16">
        <f>IF(A261="","",SUMIFS(tbl_Finance[Ex GST],tbl_Finance[Job Number],A261&amp;""))</f>
        <v/>
      </c>
      <c r="G261" s="14">
        <f>IF(A261="","",IFERROR(INDEX(tbl_Finance[Cost Centre],MATCH(A261&amp;"",tbl_Finance[Job Number],0)),"not invoiced yet"))</f>
        <v/>
      </c>
      <c r="H261" s="13" t="n"/>
      <c r="I261" s="13" t="n"/>
      <c r="J261" s="15" t="n"/>
      <c r="K261" s="15" t="n"/>
      <c r="L261" s="15" t="n"/>
      <c r="M261" s="14">
        <f>IF(A261="","",IF(N(J261)+N(K261)+N(L261)=0,"Not split",IF(ROUND(N(J261)+N(K261)+N(L261),2)=ROUND(F261,2),"OK","MISMATCH")))</f>
        <v/>
      </c>
      <c r="N261" s="15" t="n"/>
      <c r="O261" s="15" t="n"/>
      <c r="P261" s="15" t="n"/>
      <c r="Q261" s="16">
        <f>IF(A261="","",N(N261)+N(O261)+N(P261))</f>
        <v/>
      </c>
      <c r="R261" s="16">
        <f>IF(A261="","",F261-Q261)</f>
        <v/>
      </c>
      <c r="S261" s="46">
        <f>IFERROR(R261/F261,"")</f>
        <v/>
      </c>
      <c r="T261" s="13" t="n"/>
    </row>
    <row r="262" ht="15" customHeight="1">
      <c r="A262" s="13" t="n"/>
      <c r="B262" s="14">
        <f>IF(A262="","",IF(COUNTIF(lst_Jobs,A262&amp;"")&gt;0,"OK","CHECK"))</f>
        <v/>
      </c>
      <c r="C262" s="14">
        <f>IF(A262="","",IFERROR(INDEX(lst_JobName,MATCH(A262&amp;"",lst_Jobs,0)),""))</f>
        <v/>
      </c>
      <c r="D262" s="14">
        <f>IF(A262="","",IFERROR(INDEX(tbl_Finance[Client],MATCH(A262&amp;"",tbl_Finance[Job Number],0)),""))</f>
        <v/>
      </c>
      <c r="E262" s="44">
        <f>IF(A262="","",COUNTIFS(tbl_Finance[Job Number],A262&amp;"",tbl_Finance[Ex GST],"&lt;&gt;"))</f>
        <v/>
      </c>
      <c r="F262" s="16">
        <f>IF(A262="","",SUMIFS(tbl_Finance[Ex GST],tbl_Finance[Job Number],A262&amp;""))</f>
        <v/>
      </c>
      <c r="G262" s="14">
        <f>IF(A262="","",IFERROR(INDEX(tbl_Finance[Cost Centre],MATCH(A262&amp;"",tbl_Finance[Job Number],0)),"not invoiced yet"))</f>
        <v/>
      </c>
      <c r="H262" s="13" t="n"/>
      <c r="I262" s="13" t="n"/>
      <c r="J262" s="15" t="n"/>
      <c r="K262" s="15" t="n"/>
      <c r="L262" s="15" t="n"/>
      <c r="M262" s="14">
        <f>IF(A262="","",IF(N(J262)+N(K262)+N(L262)=0,"Not split",IF(ROUND(N(J262)+N(K262)+N(L262),2)=ROUND(F262,2),"OK","MISMATCH")))</f>
        <v/>
      </c>
      <c r="N262" s="15" t="n"/>
      <c r="O262" s="15" t="n"/>
      <c r="P262" s="15" t="n"/>
      <c r="Q262" s="16">
        <f>IF(A262="","",N(N262)+N(O262)+N(P262))</f>
        <v/>
      </c>
      <c r="R262" s="16">
        <f>IF(A262="","",F262-Q262)</f>
        <v/>
      </c>
      <c r="S262" s="46">
        <f>IFERROR(R262/F262,"")</f>
        <v/>
      </c>
      <c r="T262" s="13" t="n"/>
    </row>
    <row r="263" ht="15" customHeight="1">
      <c r="A263" s="13" t="n"/>
      <c r="B263" s="14">
        <f>IF(A263="","",IF(COUNTIF(lst_Jobs,A263&amp;"")&gt;0,"OK","CHECK"))</f>
        <v/>
      </c>
      <c r="C263" s="14">
        <f>IF(A263="","",IFERROR(INDEX(lst_JobName,MATCH(A263&amp;"",lst_Jobs,0)),""))</f>
        <v/>
      </c>
      <c r="D263" s="14">
        <f>IF(A263="","",IFERROR(INDEX(tbl_Finance[Client],MATCH(A263&amp;"",tbl_Finance[Job Number],0)),""))</f>
        <v/>
      </c>
      <c r="E263" s="44">
        <f>IF(A263="","",COUNTIFS(tbl_Finance[Job Number],A263&amp;"",tbl_Finance[Ex GST],"&lt;&gt;"))</f>
        <v/>
      </c>
      <c r="F263" s="16">
        <f>IF(A263="","",SUMIFS(tbl_Finance[Ex GST],tbl_Finance[Job Number],A263&amp;""))</f>
        <v/>
      </c>
      <c r="G263" s="14">
        <f>IF(A263="","",IFERROR(INDEX(tbl_Finance[Cost Centre],MATCH(A263&amp;"",tbl_Finance[Job Number],0)),"not invoiced yet"))</f>
        <v/>
      </c>
      <c r="H263" s="13" t="n"/>
      <c r="I263" s="13" t="n"/>
      <c r="J263" s="15" t="n"/>
      <c r="K263" s="15" t="n"/>
      <c r="L263" s="15" t="n"/>
      <c r="M263" s="14">
        <f>IF(A263="","",IF(N(J263)+N(K263)+N(L263)=0,"Not split",IF(ROUND(N(J263)+N(K263)+N(L263),2)=ROUND(F263,2),"OK","MISMATCH")))</f>
        <v/>
      </c>
      <c r="N263" s="15" t="n"/>
      <c r="O263" s="15" t="n"/>
      <c r="P263" s="15" t="n"/>
      <c r="Q263" s="16">
        <f>IF(A263="","",N(N263)+N(O263)+N(P263))</f>
        <v/>
      </c>
      <c r="R263" s="16">
        <f>IF(A263="","",F263-Q263)</f>
        <v/>
      </c>
      <c r="S263" s="46">
        <f>IFERROR(R263/F263,"")</f>
        <v/>
      </c>
      <c r="T263" s="13" t="n"/>
    </row>
    <row r="264" ht="15" customHeight="1">
      <c r="A264" s="13" t="n"/>
      <c r="B264" s="14">
        <f>IF(A264="","",IF(COUNTIF(lst_Jobs,A264&amp;"")&gt;0,"OK","CHECK"))</f>
        <v/>
      </c>
      <c r="C264" s="14">
        <f>IF(A264="","",IFERROR(INDEX(lst_JobName,MATCH(A264&amp;"",lst_Jobs,0)),""))</f>
        <v/>
      </c>
      <c r="D264" s="14">
        <f>IF(A264="","",IFERROR(INDEX(tbl_Finance[Client],MATCH(A264&amp;"",tbl_Finance[Job Number],0)),""))</f>
        <v/>
      </c>
      <c r="E264" s="44">
        <f>IF(A264="","",COUNTIFS(tbl_Finance[Job Number],A264&amp;"",tbl_Finance[Ex GST],"&lt;&gt;"))</f>
        <v/>
      </c>
      <c r="F264" s="16">
        <f>IF(A264="","",SUMIFS(tbl_Finance[Ex GST],tbl_Finance[Job Number],A264&amp;""))</f>
        <v/>
      </c>
      <c r="G264" s="14">
        <f>IF(A264="","",IFERROR(INDEX(tbl_Finance[Cost Centre],MATCH(A264&amp;"",tbl_Finance[Job Number],0)),"not invoiced yet"))</f>
        <v/>
      </c>
      <c r="H264" s="13" t="n"/>
      <c r="I264" s="13" t="n"/>
      <c r="J264" s="15" t="n"/>
      <c r="K264" s="15" t="n"/>
      <c r="L264" s="15" t="n"/>
      <c r="M264" s="14">
        <f>IF(A264="","",IF(N(J264)+N(K264)+N(L264)=0,"Not split",IF(ROUND(N(J264)+N(K264)+N(L264),2)=ROUND(F264,2),"OK","MISMATCH")))</f>
        <v/>
      </c>
      <c r="N264" s="15" t="n"/>
      <c r="O264" s="15" t="n"/>
      <c r="P264" s="15" t="n"/>
      <c r="Q264" s="16">
        <f>IF(A264="","",N(N264)+N(O264)+N(P264))</f>
        <v/>
      </c>
      <c r="R264" s="16">
        <f>IF(A264="","",F264-Q264)</f>
        <v/>
      </c>
      <c r="S264" s="46">
        <f>IFERROR(R264/F264,"")</f>
        <v/>
      </c>
      <c r="T264" s="13" t="n"/>
    </row>
    <row r="265" ht="15" customHeight="1">
      <c r="A265" s="13" t="n"/>
      <c r="B265" s="14">
        <f>IF(A265="","",IF(COUNTIF(lst_Jobs,A265&amp;"")&gt;0,"OK","CHECK"))</f>
        <v/>
      </c>
      <c r="C265" s="14">
        <f>IF(A265="","",IFERROR(INDEX(lst_JobName,MATCH(A265&amp;"",lst_Jobs,0)),""))</f>
        <v/>
      </c>
      <c r="D265" s="14">
        <f>IF(A265="","",IFERROR(INDEX(tbl_Finance[Client],MATCH(A265&amp;"",tbl_Finance[Job Number],0)),""))</f>
        <v/>
      </c>
      <c r="E265" s="44">
        <f>IF(A265="","",COUNTIFS(tbl_Finance[Job Number],A265&amp;"",tbl_Finance[Ex GST],"&lt;&gt;"))</f>
        <v/>
      </c>
      <c r="F265" s="16">
        <f>IF(A265="","",SUMIFS(tbl_Finance[Ex GST],tbl_Finance[Job Number],A265&amp;""))</f>
        <v/>
      </c>
      <c r="G265" s="14">
        <f>IF(A265="","",IFERROR(INDEX(tbl_Finance[Cost Centre],MATCH(A265&amp;"",tbl_Finance[Job Number],0)),"not invoiced yet"))</f>
        <v/>
      </c>
      <c r="H265" s="13" t="n"/>
      <c r="I265" s="13" t="n"/>
      <c r="J265" s="15" t="n"/>
      <c r="K265" s="15" t="n"/>
      <c r="L265" s="15" t="n"/>
      <c r="M265" s="14">
        <f>IF(A265="","",IF(N(J265)+N(K265)+N(L265)=0,"Not split",IF(ROUND(N(J265)+N(K265)+N(L265),2)=ROUND(F265,2),"OK","MISMATCH")))</f>
        <v/>
      </c>
      <c r="N265" s="15" t="n"/>
      <c r="O265" s="15" t="n"/>
      <c r="P265" s="15" t="n"/>
      <c r="Q265" s="16">
        <f>IF(A265="","",N(N265)+N(O265)+N(P265))</f>
        <v/>
      </c>
      <c r="R265" s="16">
        <f>IF(A265="","",F265-Q265)</f>
        <v/>
      </c>
      <c r="S265" s="46">
        <f>IFERROR(R265/F265,"")</f>
        <v/>
      </c>
      <c r="T265" s="13" t="n"/>
    </row>
    <row r="266" ht="15" customHeight="1">
      <c r="A266" s="13" t="n"/>
      <c r="B266" s="14">
        <f>IF(A266="","",IF(COUNTIF(lst_Jobs,A266&amp;"")&gt;0,"OK","CHECK"))</f>
        <v/>
      </c>
      <c r="C266" s="14">
        <f>IF(A266="","",IFERROR(INDEX(lst_JobName,MATCH(A266&amp;"",lst_Jobs,0)),""))</f>
        <v/>
      </c>
      <c r="D266" s="14">
        <f>IF(A266="","",IFERROR(INDEX(tbl_Finance[Client],MATCH(A266&amp;"",tbl_Finance[Job Number],0)),""))</f>
        <v/>
      </c>
      <c r="E266" s="44">
        <f>IF(A266="","",COUNTIFS(tbl_Finance[Job Number],A266&amp;"",tbl_Finance[Ex GST],"&lt;&gt;"))</f>
        <v/>
      </c>
      <c r="F266" s="16">
        <f>IF(A266="","",SUMIFS(tbl_Finance[Ex GST],tbl_Finance[Job Number],A266&amp;""))</f>
        <v/>
      </c>
      <c r="G266" s="14">
        <f>IF(A266="","",IFERROR(INDEX(tbl_Finance[Cost Centre],MATCH(A266&amp;"",tbl_Finance[Job Number],0)),"not invoiced yet"))</f>
        <v/>
      </c>
      <c r="H266" s="13" t="n"/>
      <c r="I266" s="13" t="n"/>
      <c r="J266" s="15" t="n"/>
      <c r="K266" s="15" t="n"/>
      <c r="L266" s="15" t="n"/>
      <c r="M266" s="14">
        <f>IF(A266="","",IF(N(J266)+N(K266)+N(L266)=0,"Not split",IF(ROUND(N(J266)+N(K266)+N(L266),2)=ROUND(F266,2),"OK","MISMATCH")))</f>
        <v/>
      </c>
      <c r="N266" s="15" t="n"/>
      <c r="O266" s="15" t="n"/>
      <c r="P266" s="15" t="n"/>
      <c r="Q266" s="16">
        <f>IF(A266="","",N(N266)+N(O266)+N(P266))</f>
        <v/>
      </c>
      <c r="R266" s="16">
        <f>IF(A266="","",F266-Q266)</f>
        <v/>
      </c>
      <c r="S266" s="46">
        <f>IFERROR(R266/F266,"")</f>
        <v/>
      </c>
      <c r="T266" s="13" t="n"/>
    </row>
    <row r="267" ht="15" customHeight="1">
      <c r="A267" s="13" t="n"/>
      <c r="B267" s="14">
        <f>IF(A267="","",IF(COUNTIF(lst_Jobs,A267&amp;"")&gt;0,"OK","CHECK"))</f>
        <v/>
      </c>
      <c r="C267" s="14">
        <f>IF(A267="","",IFERROR(INDEX(lst_JobName,MATCH(A267&amp;"",lst_Jobs,0)),""))</f>
        <v/>
      </c>
      <c r="D267" s="14">
        <f>IF(A267="","",IFERROR(INDEX(tbl_Finance[Client],MATCH(A267&amp;"",tbl_Finance[Job Number],0)),""))</f>
        <v/>
      </c>
      <c r="E267" s="44">
        <f>IF(A267="","",COUNTIFS(tbl_Finance[Job Number],A267&amp;"",tbl_Finance[Ex GST],"&lt;&gt;"))</f>
        <v/>
      </c>
      <c r="F267" s="16">
        <f>IF(A267="","",SUMIFS(tbl_Finance[Ex GST],tbl_Finance[Job Number],A267&amp;""))</f>
        <v/>
      </c>
      <c r="G267" s="14">
        <f>IF(A267="","",IFERROR(INDEX(tbl_Finance[Cost Centre],MATCH(A267&amp;"",tbl_Finance[Job Number],0)),"not invoiced yet"))</f>
        <v/>
      </c>
      <c r="H267" s="13" t="n"/>
      <c r="I267" s="13" t="n"/>
      <c r="J267" s="15" t="n"/>
      <c r="K267" s="15" t="n"/>
      <c r="L267" s="15" t="n"/>
      <c r="M267" s="14">
        <f>IF(A267="","",IF(N(J267)+N(K267)+N(L267)=0,"Not split",IF(ROUND(N(J267)+N(K267)+N(L267),2)=ROUND(F267,2),"OK","MISMATCH")))</f>
        <v/>
      </c>
      <c r="N267" s="15" t="n"/>
      <c r="O267" s="15" t="n"/>
      <c r="P267" s="15" t="n"/>
      <c r="Q267" s="16">
        <f>IF(A267="","",N(N267)+N(O267)+N(P267))</f>
        <v/>
      </c>
      <c r="R267" s="16">
        <f>IF(A267="","",F267-Q267)</f>
        <v/>
      </c>
      <c r="S267" s="46">
        <f>IFERROR(R267/F267,"")</f>
        <v/>
      </c>
      <c r="T267" s="13" t="n"/>
    </row>
    <row r="268" ht="15" customHeight="1">
      <c r="A268" s="13" t="n"/>
      <c r="B268" s="14">
        <f>IF(A268="","",IF(COUNTIF(lst_Jobs,A268&amp;"")&gt;0,"OK","CHECK"))</f>
        <v/>
      </c>
      <c r="C268" s="14">
        <f>IF(A268="","",IFERROR(INDEX(lst_JobName,MATCH(A268&amp;"",lst_Jobs,0)),""))</f>
        <v/>
      </c>
      <c r="D268" s="14">
        <f>IF(A268="","",IFERROR(INDEX(tbl_Finance[Client],MATCH(A268&amp;"",tbl_Finance[Job Number],0)),""))</f>
        <v/>
      </c>
      <c r="E268" s="44">
        <f>IF(A268="","",COUNTIFS(tbl_Finance[Job Number],A268&amp;"",tbl_Finance[Ex GST],"&lt;&gt;"))</f>
        <v/>
      </c>
      <c r="F268" s="16">
        <f>IF(A268="","",SUMIFS(tbl_Finance[Ex GST],tbl_Finance[Job Number],A268&amp;""))</f>
        <v/>
      </c>
      <c r="G268" s="14">
        <f>IF(A268="","",IFERROR(INDEX(tbl_Finance[Cost Centre],MATCH(A268&amp;"",tbl_Finance[Job Number],0)),"not invoiced yet"))</f>
        <v/>
      </c>
      <c r="H268" s="13" t="n"/>
      <c r="I268" s="13" t="n"/>
      <c r="J268" s="15" t="n"/>
      <c r="K268" s="15" t="n"/>
      <c r="L268" s="15" t="n"/>
      <c r="M268" s="14">
        <f>IF(A268="","",IF(N(J268)+N(K268)+N(L268)=0,"Not split",IF(ROUND(N(J268)+N(K268)+N(L268),2)=ROUND(F268,2),"OK","MISMATCH")))</f>
        <v/>
      </c>
      <c r="N268" s="15" t="n"/>
      <c r="O268" s="15" t="n"/>
      <c r="P268" s="15" t="n"/>
      <c r="Q268" s="16">
        <f>IF(A268="","",N(N268)+N(O268)+N(P268))</f>
        <v/>
      </c>
      <c r="R268" s="16">
        <f>IF(A268="","",F268-Q268)</f>
        <v/>
      </c>
      <c r="S268" s="46">
        <f>IFERROR(R268/F268,"")</f>
        <v/>
      </c>
      <c r="T268" s="13" t="n"/>
    </row>
    <row r="269" ht="15" customHeight="1">
      <c r="A269" s="13" t="n"/>
      <c r="B269" s="14">
        <f>IF(A269="","",IF(COUNTIF(lst_Jobs,A269&amp;"")&gt;0,"OK","CHECK"))</f>
        <v/>
      </c>
      <c r="C269" s="14">
        <f>IF(A269="","",IFERROR(INDEX(lst_JobName,MATCH(A269&amp;"",lst_Jobs,0)),""))</f>
        <v/>
      </c>
      <c r="D269" s="14">
        <f>IF(A269="","",IFERROR(INDEX(tbl_Finance[Client],MATCH(A269&amp;"",tbl_Finance[Job Number],0)),""))</f>
        <v/>
      </c>
      <c r="E269" s="44">
        <f>IF(A269="","",COUNTIFS(tbl_Finance[Job Number],A269&amp;"",tbl_Finance[Ex GST],"&lt;&gt;"))</f>
        <v/>
      </c>
      <c r="F269" s="16">
        <f>IF(A269="","",SUMIFS(tbl_Finance[Ex GST],tbl_Finance[Job Number],A269&amp;""))</f>
        <v/>
      </c>
      <c r="G269" s="14">
        <f>IF(A269="","",IFERROR(INDEX(tbl_Finance[Cost Centre],MATCH(A269&amp;"",tbl_Finance[Job Number],0)),"not invoiced yet"))</f>
        <v/>
      </c>
      <c r="H269" s="13" t="n"/>
      <c r="I269" s="13" t="n"/>
      <c r="J269" s="15" t="n"/>
      <c r="K269" s="15" t="n"/>
      <c r="L269" s="15" t="n"/>
      <c r="M269" s="14">
        <f>IF(A269="","",IF(N(J269)+N(K269)+N(L269)=0,"Not split",IF(ROUND(N(J269)+N(K269)+N(L269),2)=ROUND(F269,2),"OK","MISMATCH")))</f>
        <v/>
      </c>
      <c r="N269" s="15" t="n"/>
      <c r="O269" s="15" t="n"/>
      <c r="P269" s="15" t="n"/>
      <c r="Q269" s="16">
        <f>IF(A269="","",N(N269)+N(O269)+N(P269))</f>
        <v/>
      </c>
      <c r="R269" s="16">
        <f>IF(A269="","",F269-Q269)</f>
        <v/>
      </c>
      <c r="S269" s="46">
        <f>IFERROR(R269/F269,"")</f>
        <v/>
      </c>
      <c r="T269" s="13" t="n"/>
    </row>
    <row r="270" ht="15" customHeight="1">
      <c r="A270" s="13" t="n"/>
      <c r="B270" s="14">
        <f>IF(A270="","",IF(COUNTIF(lst_Jobs,A270&amp;"")&gt;0,"OK","CHECK"))</f>
        <v/>
      </c>
      <c r="C270" s="14">
        <f>IF(A270="","",IFERROR(INDEX(lst_JobName,MATCH(A270&amp;"",lst_Jobs,0)),""))</f>
        <v/>
      </c>
      <c r="D270" s="14">
        <f>IF(A270="","",IFERROR(INDEX(tbl_Finance[Client],MATCH(A270&amp;"",tbl_Finance[Job Number],0)),""))</f>
        <v/>
      </c>
      <c r="E270" s="44">
        <f>IF(A270="","",COUNTIFS(tbl_Finance[Job Number],A270&amp;"",tbl_Finance[Ex GST],"&lt;&gt;"))</f>
        <v/>
      </c>
      <c r="F270" s="16">
        <f>IF(A270="","",SUMIFS(tbl_Finance[Ex GST],tbl_Finance[Job Number],A270&amp;""))</f>
        <v/>
      </c>
      <c r="G270" s="14">
        <f>IF(A270="","",IFERROR(INDEX(tbl_Finance[Cost Centre],MATCH(A270&amp;"",tbl_Finance[Job Number],0)),"not invoiced yet"))</f>
        <v/>
      </c>
      <c r="H270" s="13" t="n"/>
      <c r="I270" s="13" t="n"/>
      <c r="J270" s="15" t="n"/>
      <c r="K270" s="15" t="n"/>
      <c r="L270" s="15" t="n"/>
      <c r="M270" s="14">
        <f>IF(A270="","",IF(N(J270)+N(K270)+N(L270)=0,"Not split",IF(ROUND(N(J270)+N(K270)+N(L270),2)=ROUND(F270,2),"OK","MISMATCH")))</f>
        <v/>
      </c>
      <c r="N270" s="15" t="n"/>
      <c r="O270" s="15" t="n"/>
      <c r="P270" s="15" t="n"/>
      <c r="Q270" s="16">
        <f>IF(A270="","",N(N270)+N(O270)+N(P270))</f>
        <v/>
      </c>
      <c r="R270" s="16">
        <f>IF(A270="","",F270-Q270)</f>
        <v/>
      </c>
      <c r="S270" s="46">
        <f>IFERROR(R270/F270,"")</f>
        <v/>
      </c>
      <c r="T270" s="13" t="n"/>
    </row>
    <row r="271" ht="15" customHeight="1">
      <c r="A271" s="13" t="n"/>
      <c r="B271" s="14">
        <f>IF(A271="","",IF(COUNTIF(lst_Jobs,A271&amp;"")&gt;0,"OK","CHECK"))</f>
        <v/>
      </c>
      <c r="C271" s="14">
        <f>IF(A271="","",IFERROR(INDEX(lst_JobName,MATCH(A271&amp;"",lst_Jobs,0)),""))</f>
        <v/>
      </c>
      <c r="D271" s="14">
        <f>IF(A271="","",IFERROR(INDEX(tbl_Finance[Client],MATCH(A271&amp;"",tbl_Finance[Job Number],0)),""))</f>
        <v/>
      </c>
      <c r="E271" s="44">
        <f>IF(A271="","",COUNTIFS(tbl_Finance[Job Number],A271&amp;"",tbl_Finance[Ex GST],"&lt;&gt;"))</f>
        <v/>
      </c>
      <c r="F271" s="16">
        <f>IF(A271="","",SUMIFS(tbl_Finance[Ex GST],tbl_Finance[Job Number],A271&amp;""))</f>
        <v/>
      </c>
      <c r="G271" s="14">
        <f>IF(A271="","",IFERROR(INDEX(tbl_Finance[Cost Centre],MATCH(A271&amp;"",tbl_Finance[Job Number],0)),"not invoiced yet"))</f>
        <v/>
      </c>
      <c r="H271" s="13" t="n"/>
      <c r="I271" s="13" t="n"/>
      <c r="J271" s="15" t="n"/>
      <c r="K271" s="15" t="n"/>
      <c r="L271" s="15" t="n"/>
      <c r="M271" s="14">
        <f>IF(A271="","",IF(N(J271)+N(K271)+N(L271)=0,"Not split",IF(ROUND(N(J271)+N(K271)+N(L271),2)=ROUND(F271,2),"OK","MISMATCH")))</f>
        <v/>
      </c>
      <c r="N271" s="15" t="n"/>
      <c r="O271" s="15" t="n"/>
      <c r="P271" s="15" t="n"/>
      <c r="Q271" s="16">
        <f>IF(A271="","",N(N271)+N(O271)+N(P271))</f>
        <v/>
      </c>
      <c r="R271" s="16">
        <f>IF(A271="","",F271-Q271)</f>
        <v/>
      </c>
      <c r="S271" s="46">
        <f>IFERROR(R271/F271,"")</f>
        <v/>
      </c>
      <c r="T271" s="13" t="n"/>
    </row>
    <row r="272" ht="15" customHeight="1">
      <c r="A272" s="13" t="n"/>
      <c r="B272" s="14">
        <f>IF(A272="","",IF(COUNTIF(lst_Jobs,A272&amp;"")&gt;0,"OK","CHECK"))</f>
        <v/>
      </c>
      <c r="C272" s="14">
        <f>IF(A272="","",IFERROR(INDEX(lst_JobName,MATCH(A272&amp;"",lst_Jobs,0)),""))</f>
        <v/>
      </c>
      <c r="D272" s="14">
        <f>IF(A272="","",IFERROR(INDEX(tbl_Finance[Client],MATCH(A272&amp;"",tbl_Finance[Job Number],0)),""))</f>
        <v/>
      </c>
      <c r="E272" s="44">
        <f>IF(A272="","",COUNTIFS(tbl_Finance[Job Number],A272&amp;"",tbl_Finance[Ex GST],"&lt;&gt;"))</f>
        <v/>
      </c>
      <c r="F272" s="16">
        <f>IF(A272="","",SUMIFS(tbl_Finance[Ex GST],tbl_Finance[Job Number],A272&amp;""))</f>
        <v/>
      </c>
      <c r="G272" s="14">
        <f>IF(A272="","",IFERROR(INDEX(tbl_Finance[Cost Centre],MATCH(A272&amp;"",tbl_Finance[Job Number],0)),"not invoiced yet"))</f>
        <v/>
      </c>
      <c r="H272" s="13" t="n"/>
      <c r="I272" s="13" t="n"/>
      <c r="J272" s="15" t="n"/>
      <c r="K272" s="15" t="n"/>
      <c r="L272" s="15" t="n"/>
      <c r="M272" s="14">
        <f>IF(A272="","",IF(N(J272)+N(K272)+N(L272)=0,"Not split",IF(ROUND(N(J272)+N(K272)+N(L272),2)=ROUND(F272,2),"OK","MISMATCH")))</f>
        <v/>
      </c>
      <c r="N272" s="15" t="n"/>
      <c r="O272" s="15" t="n"/>
      <c r="P272" s="15" t="n"/>
      <c r="Q272" s="16">
        <f>IF(A272="","",N(N272)+N(O272)+N(P272))</f>
        <v/>
      </c>
      <c r="R272" s="16">
        <f>IF(A272="","",F272-Q272)</f>
        <v/>
      </c>
      <c r="S272" s="46">
        <f>IFERROR(R272/F272,"")</f>
        <v/>
      </c>
      <c r="T272" s="13" t="n"/>
    </row>
    <row r="273" ht="15" customHeight="1">
      <c r="A273" s="13" t="n"/>
      <c r="B273" s="14">
        <f>IF(A273="","",IF(COUNTIF(lst_Jobs,A273&amp;"")&gt;0,"OK","CHECK"))</f>
        <v/>
      </c>
      <c r="C273" s="14">
        <f>IF(A273="","",IFERROR(INDEX(lst_JobName,MATCH(A273&amp;"",lst_Jobs,0)),""))</f>
        <v/>
      </c>
      <c r="D273" s="14">
        <f>IF(A273="","",IFERROR(INDEX(tbl_Finance[Client],MATCH(A273&amp;"",tbl_Finance[Job Number],0)),""))</f>
        <v/>
      </c>
      <c r="E273" s="44">
        <f>IF(A273="","",COUNTIFS(tbl_Finance[Job Number],A273&amp;"",tbl_Finance[Ex GST],"&lt;&gt;"))</f>
        <v/>
      </c>
      <c r="F273" s="16">
        <f>IF(A273="","",SUMIFS(tbl_Finance[Ex GST],tbl_Finance[Job Number],A273&amp;""))</f>
        <v/>
      </c>
      <c r="G273" s="14">
        <f>IF(A273="","",IFERROR(INDEX(tbl_Finance[Cost Centre],MATCH(A273&amp;"",tbl_Finance[Job Number],0)),"not invoiced yet"))</f>
        <v/>
      </c>
      <c r="H273" s="13" t="n"/>
      <c r="I273" s="13" t="n"/>
      <c r="J273" s="15" t="n"/>
      <c r="K273" s="15" t="n"/>
      <c r="L273" s="15" t="n"/>
      <c r="M273" s="14">
        <f>IF(A273="","",IF(N(J273)+N(K273)+N(L273)=0,"Not split",IF(ROUND(N(J273)+N(K273)+N(L273),2)=ROUND(F273,2),"OK","MISMATCH")))</f>
        <v/>
      </c>
      <c r="N273" s="15" t="n"/>
      <c r="O273" s="15" t="n"/>
      <c r="P273" s="15" t="n"/>
      <c r="Q273" s="16">
        <f>IF(A273="","",N(N273)+N(O273)+N(P273))</f>
        <v/>
      </c>
      <c r="R273" s="16">
        <f>IF(A273="","",F273-Q273)</f>
        <v/>
      </c>
      <c r="S273" s="46">
        <f>IFERROR(R273/F273,"")</f>
        <v/>
      </c>
      <c r="T273" s="13" t="n"/>
    </row>
    <row r="274" ht="15" customHeight="1">
      <c r="A274" s="13" t="n"/>
      <c r="B274" s="14">
        <f>IF(A274="","",IF(COUNTIF(lst_Jobs,A274&amp;"")&gt;0,"OK","CHECK"))</f>
        <v/>
      </c>
      <c r="C274" s="14">
        <f>IF(A274="","",IFERROR(INDEX(lst_JobName,MATCH(A274&amp;"",lst_Jobs,0)),""))</f>
        <v/>
      </c>
      <c r="D274" s="14">
        <f>IF(A274="","",IFERROR(INDEX(tbl_Finance[Client],MATCH(A274&amp;"",tbl_Finance[Job Number],0)),""))</f>
        <v/>
      </c>
      <c r="E274" s="44">
        <f>IF(A274="","",COUNTIFS(tbl_Finance[Job Number],A274&amp;"",tbl_Finance[Ex GST],"&lt;&gt;"))</f>
        <v/>
      </c>
      <c r="F274" s="16">
        <f>IF(A274="","",SUMIFS(tbl_Finance[Ex GST],tbl_Finance[Job Number],A274&amp;""))</f>
        <v/>
      </c>
      <c r="G274" s="14">
        <f>IF(A274="","",IFERROR(INDEX(tbl_Finance[Cost Centre],MATCH(A274&amp;"",tbl_Finance[Job Number],0)),"not invoiced yet"))</f>
        <v/>
      </c>
      <c r="H274" s="13" t="n"/>
      <c r="I274" s="13" t="n"/>
      <c r="J274" s="15" t="n"/>
      <c r="K274" s="15" t="n"/>
      <c r="L274" s="15" t="n"/>
      <c r="M274" s="14">
        <f>IF(A274="","",IF(N(J274)+N(K274)+N(L274)=0,"Not split",IF(ROUND(N(J274)+N(K274)+N(L274),2)=ROUND(F274,2),"OK","MISMATCH")))</f>
        <v/>
      </c>
      <c r="N274" s="15" t="n"/>
      <c r="O274" s="15" t="n"/>
      <c r="P274" s="15" t="n"/>
      <c r="Q274" s="16">
        <f>IF(A274="","",N(N274)+N(O274)+N(P274))</f>
        <v/>
      </c>
      <c r="R274" s="16">
        <f>IF(A274="","",F274-Q274)</f>
        <v/>
      </c>
      <c r="S274" s="46">
        <f>IFERROR(R274/F274,"")</f>
        <v/>
      </c>
      <c r="T274" s="13" t="n"/>
    </row>
    <row r="275" ht="15" customHeight="1">
      <c r="A275" s="13" t="n"/>
      <c r="B275" s="14">
        <f>IF(A275="","",IF(COUNTIF(lst_Jobs,A275&amp;"")&gt;0,"OK","CHECK"))</f>
        <v/>
      </c>
      <c r="C275" s="14">
        <f>IF(A275="","",IFERROR(INDEX(lst_JobName,MATCH(A275&amp;"",lst_Jobs,0)),""))</f>
        <v/>
      </c>
      <c r="D275" s="14">
        <f>IF(A275="","",IFERROR(INDEX(tbl_Finance[Client],MATCH(A275&amp;"",tbl_Finance[Job Number],0)),""))</f>
        <v/>
      </c>
      <c r="E275" s="44">
        <f>IF(A275="","",COUNTIFS(tbl_Finance[Job Number],A275&amp;"",tbl_Finance[Ex GST],"&lt;&gt;"))</f>
        <v/>
      </c>
      <c r="F275" s="16">
        <f>IF(A275="","",SUMIFS(tbl_Finance[Ex GST],tbl_Finance[Job Number],A275&amp;""))</f>
        <v/>
      </c>
      <c r="G275" s="14">
        <f>IF(A275="","",IFERROR(INDEX(tbl_Finance[Cost Centre],MATCH(A275&amp;"",tbl_Finance[Job Number],0)),"not invoiced yet"))</f>
        <v/>
      </c>
      <c r="H275" s="13" t="n"/>
      <c r="I275" s="13" t="n"/>
      <c r="J275" s="15" t="n"/>
      <c r="K275" s="15" t="n"/>
      <c r="L275" s="15" t="n"/>
      <c r="M275" s="14">
        <f>IF(A275="","",IF(N(J275)+N(K275)+N(L275)=0,"Not split",IF(ROUND(N(J275)+N(K275)+N(L275),2)=ROUND(F275,2),"OK","MISMATCH")))</f>
        <v/>
      </c>
      <c r="N275" s="15" t="n"/>
      <c r="O275" s="15" t="n"/>
      <c r="P275" s="15" t="n"/>
      <c r="Q275" s="16">
        <f>IF(A275="","",N(N275)+N(O275)+N(P275))</f>
        <v/>
      </c>
      <c r="R275" s="16">
        <f>IF(A275="","",F275-Q275)</f>
        <v/>
      </c>
      <c r="S275" s="46">
        <f>IFERROR(R275/F275,"")</f>
        <v/>
      </c>
      <c r="T275" s="13" t="n"/>
    </row>
    <row r="276" ht="15" customHeight="1">
      <c r="A276" s="13" t="n"/>
      <c r="B276" s="14">
        <f>IF(A276="","",IF(COUNTIF(lst_Jobs,A276&amp;"")&gt;0,"OK","CHECK"))</f>
        <v/>
      </c>
      <c r="C276" s="14">
        <f>IF(A276="","",IFERROR(INDEX(lst_JobName,MATCH(A276&amp;"",lst_Jobs,0)),""))</f>
        <v/>
      </c>
      <c r="D276" s="14">
        <f>IF(A276="","",IFERROR(INDEX(tbl_Finance[Client],MATCH(A276&amp;"",tbl_Finance[Job Number],0)),""))</f>
        <v/>
      </c>
      <c r="E276" s="44">
        <f>IF(A276="","",COUNTIFS(tbl_Finance[Job Number],A276&amp;"",tbl_Finance[Ex GST],"&lt;&gt;"))</f>
        <v/>
      </c>
      <c r="F276" s="16">
        <f>IF(A276="","",SUMIFS(tbl_Finance[Ex GST],tbl_Finance[Job Number],A276&amp;""))</f>
        <v/>
      </c>
      <c r="G276" s="14">
        <f>IF(A276="","",IFERROR(INDEX(tbl_Finance[Cost Centre],MATCH(A276&amp;"",tbl_Finance[Job Number],0)),"not invoiced yet"))</f>
        <v/>
      </c>
      <c r="H276" s="13" t="n"/>
      <c r="I276" s="13" t="n"/>
      <c r="J276" s="15" t="n"/>
      <c r="K276" s="15" t="n"/>
      <c r="L276" s="15" t="n"/>
      <c r="M276" s="14">
        <f>IF(A276="","",IF(N(J276)+N(K276)+N(L276)=0,"Not split",IF(ROUND(N(J276)+N(K276)+N(L276),2)=ROUND(F276,2),"OK","MISMATCH")))</f>
        <v/>
      </c>
      <c r="N276" s="15" t="n"/>
      <c r="O276" s="15" t="n"/>
      <c r="P276" s="15" t="n"/>
      <c r="Q276" s="16">
        <f>IF(A276="","",N(N276)+N(O276)+N(P276))</f>
        <v/>
      </c>
      <c r="R276" s="16">
        <f>IF(A276="","",F276-Q276)</f>
        <v/>
      </c>
      <c r="S276" s="46">
        <f>IFERROR(R276/F276,"")</f>
        <v/>
      </c>
      <c r="T276" s="13" t="n"/>
    </row>
    <row r="277" ht="15" customHeight="1">
      <c r="A277" s="13" t="n"/>
      <c r="B277" s="14">
        <f>IF(A277="","",IF(COUNTIF(lst_Jobs,A277&amp;"")&gt;0,"OK","CHECK"))</f>
        <v/>
      </c>
      <c r="C277" s="14">
        <f>IF(A277="","",IFERROR(INDEX(lst_JobName,MATCH(A277&amp;"",lst_Jobs,0)),""))</f>
        <v/>
      </c>
      <c r="D277" s="14">
        <f>IF(A277="","",IFERROR(INDEX(tbl_Finance[Client],MATCH(A277&amp;"",tbl_Finance[Job Number],0)),""))</f>
        <v/>
      </c>
      <c r="E277" s="44">
        <f>IF(A277="","",COUNTIFS(tbl_Finance[Job Number],A277&amp;"",tbl_Finance[Ex GST],"&lt;&gt;"))</f>
        <v/>
      </c>
      <c r="F277" s="16">
        <f>IF(A277="","",SUMIFS(tbl_Finance[Ex GST],tbl_Finance[Job Number],A277&amp;""))</f>
        <v/>
      </c>
      <c r="G277" s="14">
        <f>IF(A277="","",IFERROR(INDEX(tbl_Finance[Cost Centre],MATCH(A277&amp;"",tbl_Finance[Job Number],0)),"not invoiced yet"))</f>
        <v/>
      </c>
      <c r="H277" s="13" t="n"/>
      <c r="I277" s="13" t="n"/>
      <c r="J277" s="15" t="n"/>
      <c r="K277" s="15" t="n"/>
      <c r="L277" s="15" t="n"/>
      <c r="M277" s="14">
        <f>IF(A277="","",IF(N(J277)+N(K277)+N(L277)=0,"Not split",IF(ROUND(N(J277)+N(K277)+N(L277),2)=ROUND(F277,2),"OK","MISMATCH")))</f>
        <v/>
      </c>
      <c r="N277" s="15" t="n"/>
      <c r="O277" s="15" t="n"/>
      <c r="P277" s="15" t="n"/>
      <c r="Q277" s="16">
        <f>IF(A277="","",N(N277)+N(O277)+N(P277))</f>
        <v/>
      </c>
      <c r="R277" s="16">
        <f>IF(A277="","",F277-Q277)</f>
        <v/>
      </c>
      <c r="S277" s="46">
        <f>IFERROR(R277/F277,"")</f>
        <v/>
      </c>
      <c r="T277" s="13" t="n"/>
    </row>
    <row r="278" ht="15" customHeight="1">
      <c r="A278" s="13" t="n"/>
      <c r="B278" s="14">
        <f>IF(A278="","",IF(COUNTIF(lst_Jobs,A278&amp;"")&gt;0,"OK","CHECK"))</f>
        <v/>
      </c>
      <c r="C278" s="14">
        <f>IF(A278="","",IFERROR(INDEX(lst_JobName,MATCH(A278&amp;"",lst_Jobs,0)),""))</f>
        <v/>
      </c>
      <c r="D278" s="14">
        <f>IF(A278="","",IFERROR(INDEX(tbl_Finance[Client],MATCH(A278&amp;"",tbl_Finance[Job Number],0)),""))</f>
        <v/>
      </c>
      <c r="E278" s="44">
        <f>IF(A278="","",COUNTIFS(tbl_Finance[Job Number],A278&amp;"",tbl_Finance[Ex GST],"&lt;&gt;"))</f>
        <v/>
      </c>
      <c r="F278" s="16">
        <f>IF(A278="","",SUMIFS(tbl_Finance[Ex GST],tbl_Finance[Job Number],A278&amp;""))</f>
        <v/>
      </c>
      <c r="G278" s="14">
        <f>IF(A278="","",IFERROR(INDEX(tbl_Finance[Cost Centre],MATCH(A278&amp;"",tbl_Finance[Job Number],0)),"not invoiced yet"))</f>
        <v/>
      </c>
      <c r="H278" s="13" t="n"/>
      <c r="I278" s="13" t="n"/>
      <c r="J278" s="15" t="n"/>
      <c r="K278" s="15" t="n"/>
      <c r="L278" s="15" t="n"/>
      <c r="M278" s="14">
        <f>IF(A278="","",IF(N(J278)+N(K278)+N(L278)=0,"Not split",IF(ROUND(N(J278)+N(K278)+N(L278),2)=ROUND(F278,2),"OK","MISMATCH")))</f>
        <v/>
      </c>
      <c r="N278" s="15" t="n"/>
      <c r="O278" s="15" t="n"/>
      <c r="P278" s="15" t="n"/>
      <c r="Q278" s="16">
        <f>IF(A278="","",N(N278)+N(O278)+N(P278))</f>
        <v/>
      </c>
      <c r="R278" s="16">
        <f>IF(A278="","",F278-Q278)</f>
        <v/>
      </c>
      <c r="S278" s="46">
        <f>IFERROR(R278/F278,"")</f>
        <v/>
      </c>
      <c r="T278" s="13" t="n"/>
    </row>
    <row r="279" ht="15" customHeight="1">
      <c r="A279" s="13" t="n"/>
      <c r="B279" s="14">
        <f>IF(A279="","",IF(COUNTIF(lst_Jobs,A279&amp;"")&gt;0,"OK","CHECK"))</f>
        <v/>
      </c>
      <c r="C279" s="14">
        <f>IF(A279="","",IFERROR(INDEX(lst_JobName,MATCH(A279&amp;"",lst_Jobs,0)),""))</f>
        <v/>
      </c>
      <c r="D279" s="14">
        <f>IF(A279="","",IFERROR(INDEX(tbl_Finance[Client],MATCH(A279&amp;"",tbl_Finance[Job Number],0)),""))</f>
        <v/>
      </c>
      <c r="E279" s="44">
        <f>IF(A279="","",COUNTIFS(tbl_Finance[Job Number],A279&amp;"",tbl_Finance[Ex GST],"&lt;&gt;"))</f>
        <v/>
      </c>
      <c r="F279" s="16">
        <f>IF(A279="","",SUMIFS(tbl_Finance[Ex GST],tbl_Finance[Job Number],A279&amp;""))</f>
        <v/>
      </c>
      <c r="G279" s="14">
        <f>IF(A279="","",IFERROR(INDEX(tbl_Finance[Cost Centre],MATCH(A279&amp;"",tbl_Finance[Job Number],0)),"not invoiced yet"))</f>
        <v/>
      </c>
      <c r="H279" s="13" t="n"/>
      <c r="I279" s="13" t="n"/>
      <c r="J279" s="15" t="n"/>
      <c r="K279" s="15" t="n"/>
      <c r="L279" s="15" t="n"/>
      <c r="M279" s="14">
        <f>IF(A279="","",IF(N(J279)+N(K279)+N(L279)=0,"Not split",IF(ROUND(N(J279)+N(K279)+N(L279),2)=ROUND(F279,2),"OK","MISMATCH")))</f>
        <v/>
      </c>
      <c r="N279" s="15" t="n"/>
      <c r="O279" s="15" t="n"/>
      <c r="P279" s="15" t="n"/>
      <c r="Q279" s="16">
        <f>IF(A279="","",N(N279)+N(O279)+N(P279))</f>
        <v/>
      </c>
      <c r="R279" s="16">
        <f>IF(A279="","",F279-Q279)</f>
        <v/>
      </c>
      <c r="S279" s="46">
        <f>IFERROR(R279/F279,"")</f>
        <v/>
      </c>
      <c r="T279" s="13" t="n"/>
    </row>
    <row r="280" ht="15" customHeight="1">
      <c r="A280" s="13" t="n"/>
      <c r="B280" s="14">
        <f>IF(A280="","",IF(COUNTIF(lst_Jobs,A280&amp;"")&gt;0,"OK","CHECK"))</f>
        <v/>
      </c>
      <c r="C280" s="14">
        <f>IF(A280="","",IFERROR(INDEX(lst_JobName,MATCH(A280&amp;"",lst_Jobs,0)),""))</f>
        <v/>
      </c>
      <c r="D280" s="14">
        <f>IF(A280="","",IFERROR(INDEX(tbl_Finance[Client],MATCH(A280&amp;"",tbl_Finance[Job Number],0)),""))</f>
        <v/>
      </c>
      <c r="E280" s="44">
        <f>IF(A280="","",COUNTIFS(tbl_Finance[Job Number],A280&amp;"",tbl_Finance[Ex GST],"&lt;&gt;"))</f>
        <v/>
      </c>
      <c r="F280" s="16">
        <f>IF(A280="","",SUMIFS(tbl_Finance[Ex GST],tbl_Finance[Job Number],A280&amp;""))</f>
        <v/>
      </c>
      <c r="G280" s="14">
        <f>IF(A280="","",IFERROR(INDEX(tbl_Finance[Cost Centre],MATCH(A280&amp;"",tbl_Finance[Job Number],0)),"not invoiced yet"))</f>
        <v/>
      </c>
      <c r="H280" s="13" t="n"/>
      <c r="I280" s="13" t="n"/>
      <c r="J280" s="15" t="n"/>
      <c r="K280" s="15" t="n"/>
      <c r="L280" s="15" t="n"/>
      <c r="M280" s="14">
        <f>IF(A280="","",IF(N(J280)+N(K280)+N(L280)=0,"Not split",IF(ROUND(N(J280)+N(K280)+N(L280),2)=ROUND(F280,2),"OK","MISMATCH")))</f>
        <v/>
      </c>
      <c r="N280" s="15" t="n"/>
      <c r="O280" s="15" t="n"/>
      <c r="P280" s="15" t="n"/>
      <c r="Q280" s="16">
        <f>IF(A280="","",N(N280)+N(O280)+N(P280))</f>
        <v/>
      </c>
      <c r="R280" s="16">
        <f>IF(A280="","",F280-Q280)</f>
        <v/>
      </c>
      <c r="S280" s="46">
        <f>IFERROR(R280/F280,"")</f>
        <v/>
      </c>
      <c r="T280" s="13" t="n"/>
    </row>
    <row r="281" ht="15" customHeight="1">
      <c r="A281" s="13" t="n"/>
      <c r="B281" s="14">
        <f>IF(A281="","",IF(COUNTIF(lst_Jobs,A281&amp;"")&gt;0,"OK","CHECK"))</f>
        <v/>
      </c>
      <c r="C281" s="14">
        <f>IF(A281="","",IFERROR(INDEX(lst_JobName,MATCH(A281&amp;"",lst_Jobs,0)),""))</f>
        <v/>
      </c>
      <c r="D281" s="14">
        <f>IF(A281="","",IFERROR(INDEX(tbl_Finance[Client],MATCH(A281&amp;"",tbl_Finance[Job Number],0)),""))</f>
        <v/>
      </c>
      <c r="E281" s="44">
        <f>IF(A281="","",COUNTIFS(tbl_Finance[Job Number],A281&amp;"",tbl_Finance[Ex GST],"&lt;&gt;"))</f>
        <v/>
      </c>
      <c r="F281" s="16">
        <f>IF(A281="","",SUMIFS(tbl_Finance[Ex GST],tbl_Finance[Job Number],A281&amp;""))</f>
        <v/>
      </c>
      <c r="G281" s="14">
        <f>IF(A281="","",IFERROR(INDEX(tbl_Finance[Cost Centre],MATCH(A281&amp;"",tbl_Finance[Job Number],0)),"not invoiced yet"))</f>
        <v/>
      </c>
      <c r="H281" s="13" t="n"/>
      <c r="I281" s="13" t="n"/>
      <c r="J281" s="15" t="n"/>
      <c r="K281" s="15" t="n"/>
      <c r="L281" s="15" t="n"/>
      <c r="M281" s="14">
        <f>IF(A281="","",IF(N(J281)+N(K281)+N(L281)=0,"Not split",IF(ROUND(N(J281)+N(K281)+N(L281),2)=ROUND(F281,2),"OK","MISMATCH")))</f>
        <v/>
      </c>
      <c r="N281" s="15" t="n"/>
      <c r="O281" s="15" t="n"/>
      <c r="P281" s="15" t="n"/>
      <c r="Q281" s="16">
        <f>IF(A281="","",N(N281)+N(O281)+N(P281))</f>
        <v/>
      </c>
      <c r="R281" s="16">
        <f>IF(A281="","",F281-Q281)</f>
        <v/>
      </c>
      <c r="S281" s="46">
        <f>IFERROR(R281/F281,"")</f>
        <v/>
      </c>
      <c r="T281" s="13" t="n"/>
    </row>
    <row r="282" ht="15" customHeight="1">
      <c r="A282" s="13" t="n"/>
      <c r="B282" s="14">
        <f>IF(A282="","",IF(COUNTIF(lst_Jobs,A282&amp;"")&gt;0,"OK","CHECK"))</f>
        <v/>
      </c>
      <c r="C282" s="14">
        <f>IF(A282="","",IFERROR(INDEX(lst_JobName,MATCH(A282&amp;"",lst_Jobs,0)),""))</f>
        <v/>
      </c>
      <c r="D282" s="14">
        <f>IF(A282="","",IFERROR(INDEX(tbl_Finance[Client],MATCH(A282&amp;"",tbl_Finance[Job Number],0)),""))</f>
        <v/>
      </c>
      <c r="E282" s="44">
        <f>IF(A282="","",COUNTIFS(tbl_Finance[Job Number],A282&amp;"",tbl_Finance[Ex GST],"&lt;&gt;"))</f>
        <v/>
      </c>
      <c r="F282" s="16">
        <f>IF(A282="","",SUMIFS(tbl_Finance[Ex GST],tbl_Finance[Job Number],A282&amp;""))</f>
        <v/>
      </c>
      <c r="G282" s="14">
        <f>IF(A282="","",IFERROR(INDEX(tbl_Finance[Cost Centre],MATCH(A282&amp;"",tbl_Finance[Job Number],0)),"not invoiced yet"))</f>
        <v/>
      </c>
      <c r="H282" s="13" t="n"/>
      <c r="I282" s="13" t="n"/>
      <c r="J282" s="15" t="n"/>
      <c r="K282" s="15" t="n"/>
      <c r="L282" s="15" t="n"/>
      <c r="M282" s="14">
        <f>IF(A282="","",IF(N(J282)+N(K282)+N(L282)=0,"Not split",IF(ROUND(N(J282)+N(K282)+N(L282),2)=ROUND(F282,2),"OK","MISMATCH")))</f>
        <v/>
      </c>
      <c r="N282" s="15" t="n"/>
      <c r="O282" s="15" t="n"/>
      <c r="P282" s="15" t="n"/>
      <c r="Q282" s="16">
        <f>IF(A282="","",N(N282)+N(O282)+N(P282))</f>
        <v/>
      </c>
      <c r="R282" s="16">
        <f>IF(A282="","",F282-Q282)</f>
        <v/>
      </c>
      <c r="S282" s="46">
        <f>IFERROR(R282/F282,"")</f>
        <v/>
      </c>
      <c r="T282" s="13" t="n"/>
    </row>
    <row r="283" ht="15" customHeight="1">
      <c r="A283" s="13" t="n"/>
      <c r="B283" s="14">
        <f>IF(A283="","",IF(COUNTIF(lst_Jobs,A283&amp;"")&gt;0,"OK","CHECK"))</f>
        <v/>
      </c>
      <c r="C283" s="14">
        <f>IF(A283="","",IFERROR(INDEX(lst_JobName,MATCH(A283&amp;"",lst_Jobs,0)),""))</f>
        <v/>
      </c>
      <c r="D283" s="14">
        <f>IF(A283="","",IFERROR(INDEX(tbl_Finance[Client],MATCH(A283&amp;"",tbl_Finance[Job Number],0)),""))</f>
        <v/>
      </c>
      <c r="E283" s="44">
        <f>IF(A283="","",COUNTIFS(tbl_Finance[Job Number],A283&amp;"",tbl_Finance[Ex GST],"&lt;&gt;"))</f>
        <v/>
      </c>
      <c r="F283" s="16">
        <f>IF(A283="","",SUMIFS(tbl_Finance[Ex GST],tbl_Finance[Job Number],A283&amp;""))</f>
        <v/>
      </c>
      <c r="G283" s="14">
        <f>IF(A283="","",IFERROR(INDEX(tbl_Finance[Cost Centre],MATCH(A283&amp;"",tbl_Finance[Job Number],0)),"not invoiced yet"))</f>
        <v/>
      </c>
      <c r="H283" s="13" t="n"/>
      <c r="I283" s="13" t="n"/>
      <c r="J283" s="15" t="n"/>
      <c r="K283" s="15" t="n"/>
      <c r="L283" s="15" t="n"/>
      <c r="M283" s="14">
        <f>IF(A283="","",IF(N(J283)+N(K283)+N(L283)=0,"Not split",IF(ROUND(N(J283)+N(K283)+N(L283),2)=ROUND(F283,2),"OK","MISMATCH")))</f>
        <v/>
      </c>
      <c r="N283" s="15" t="n"/>
      <c r="O283" s="15" t="n"/>
      <c r="P283" s="15" t="n"/>
      <c r="Q283" s="16">
        <f>IF(A283="","",N(N283)+N(O283)+N(P283))</f>
        <v/>
      </c>
      <c r="R283" s="16">
        <f>IF(A283="","",F283-Q283)</f>
        <v/>
      </c>
      <c r="S283" s="46">
        <f>IFERROR(R283/F283,"")</f>
        <v/>
      </c>
      <c r="T283" s="13" t="n"/>
    </row>
    <row r="284" ht="15" customHeight="1">
      <c r="A284" s="13" t="n"/>
      <c r="B284" s="14">
        <f>IF(A284="","",IF(COUNTIF(lst_Jobs,A284&amp;"")&gt;0,"OK","CHECK"))</f>
        <v/>
      </c>
      <c r="C284" s="14">
        <f>IF(A284="","",IFERROR(INDEX(lst_JobName,MATCH(A284&amp;"",lst_Jobs,0)),""))</f>
        <v/>
      </c>
      <c r="D284" s="14">
        <f>IF(A284="","",IFERROR(INDEX(tbl_Finance[Client],MATCH(A284&amp;"",tbl_Finance[Job Number],0)),""))</f>
        <v/>
      </c>
      <c r="E284" s="44">
        <f>IF(A284="","",COUNTIFS(tbl_Finance[Job Number],A284&amp;"",tbl_Finance[Ex GST],"&lt;&gt;"))</f>
        <v/>
      </c>
      <c r="F284" s="16">
        <f>IF(A284="","",SUMIFS(tbl_Finance[Ex GST],tbl_Finance[Job Number],A284&amp;""))</f>
        <v/>
      </c>
      <c r="G284" s="14">
        <f>IF(A284="","",IFERROR(INDEX(tbl_Finance[Cost Centre],MATCH(A284&amp;"",tbl_Finance[Job Number],0)),"not invoiced yet"))</f>
        <v/>
      </c>
      <c r="H284" s="13" t="n"/>
      <c r="I284" s="13" t="n"/>
      <c r="J284" s="15" t="n"/>
      <c r="K284" s="15" t="n"/>
      <c r="L284" s="15" t="n"/>
      <c r="M284" s="14">
        <f>IF(A284="","",IF(N(J284)+N(K284)+N(L284)=0,"Not split",IF(ROUND(N(J284)+N(K284)+N(L284),2)=ROUND(F284,2),"OK","MISMATCH")))</f>
        <v/>
      </c>
      <c r="N284" s="15" t="n"/>
      <c r="O284" s="15" t="n"/>
      <c r="P284" s="15" t="n"/>
      <c r="Q284" s="16">
        <f>IF(A284="","",N(N284)+N(O284)+N(P284))</f>
        <v/>
      </c>
      <c r="R284" s="16">
        <f>IF(A284="","",F284-Q284)</f>
        <v/>
      </c>
      <c r="S284" s="46">
        <f>IFERROR(R284/F284,"")</f>
        <v/>
      </c>
      <c r="T284" s="13" t="n"/>
    </row>
    <row r="285" ht="15" customHeight="1">
      <c r="A285" s="13" t="n"/>
      <c r="B285" s="14">
        <f>IF(A285="","",IF(COUNTIF(lst_Jobs,A285&amp;"")&gt;0,"OK","CHECK"))</f>
        <v/>
      </c>
      <c r="C285" s="14">
        <f>IF(A285="","",IFERROR(INDEX(lst_JobName,MATCH(A285&amp;"",lst_Jobs,0)),""))</f>
        <v/>
      </c>
      <c r="D285" s="14">
        <f>IF(A285="","",IFERROR(INDEX(tbl_Finance[Client],MATCH(A285&amp;"",tbl_Finance[Job Number],0)),""))</f>
        <v/>
      </c>
      <c r="E285" s="44">
        <f>IF(A285="","",COUNTIFS(tbl_Finance[Job Number],A285&amp;"",tbl_Finance[Ex GST],"&lt;&gt;"))</f>
        <v/>
      </c>
      <c r="F285" s="16">
        <f>IF(A285="","",SUMIFS(tbl_Finance[Ex GST],tbl_Finance[Job Number],A285&amp;""))</f>
        <v/>
      </c>
      <c r="G285" s="14">
        <f>IF(A285="","",IFERROR(INDEX(tbl_Finance[Cost Centre],MATCH(A285&amp;"",tbl_Finance[Job Number],0)),"not invoiced yet"))</f>
        <v/>
      </c>
      <c r="H285" s="13" t="n"/>
      <c r="I285" s="13" t="n"/>
      <c r="J285" s="15" t="n"/>
      <c r="K285" s="15" t="n"/>
      <c r="L285" s="15" t="n"/>
      <c r="M285" s="14">
        <f>IF(A285="","",IF(N(J285)+N(K285)+N(L285)=0,"Not split",IF(ROUND(N(J285)+N(K285)+N(L285),2)=ROUND(F285,2),"OK","MISMATCH")))</f>
        <v/>
      </c>
      <c r="N285" s="15" t="n"/>
      <c r="O285" s="15" t="n"/>
      <c r="P285" s="15" t="n"/>
      <c r="Q285" s="16">
        <f>IF(A285="","",N(N285)+N(O285)+N(P285))</f>
        <v/>
      </c>
      <c r="R285" s="16">
        <f>IF(A285="","",F285-Q285)</f>
        <v/>
      </c>
      <c r="S285" s="46">
        <f>IFERROR(R285/F285,"")</f>
        <v/>
      </c>
      <c r="T285" s="13" t="n"/>
    </row>
    <row r="286" ht="15" customHeight="1">
      <c r="A286" s="13" t="n"/>
      <c r="B286" s="14">
        <f>IF(A286="","",IF(COUNTIF(lst_Jobs,A286&amp;"")&gt;0,"OK","CHECK"))</f>
        <v/>
      </c>
      <c r="C286" s="14">
        <f>IF(A286="","",IFERROR(INDEX(lst_JobName,MATCH(A286&amp;"",lst_Jobs,0)),""))</f>
        <v/>
      </c>
      <c r="D286" s="14">
        <f>IF(A286="","",IFERROR(INDEX(tbl_Finance[Client],MATCH(A286&amp;"",tbl_Finance[Job Number],0)),""))</f>
        <v/>
      </c>
      <c r="E286" s="44">
        <f>IF(A286="","",COUNTIFS(tbl_Finance[Job Number],A286&amp;"",tbl_Finance[Ex GST],"&lt;&gt;"))</f>
        <v/>
      </c>
      <c r="F286" s="16">
        <f>IF(A286="","",SUMIFS(tbl_Finance[Ex GST],tbl_Finance[Job Number],A286&amp;""))</f>
        <v/>
      </c>
      <c r="G286" s="14">
        <f>IF(A286="","",IFERROR(INDEX(tbl_Finance[Cost Centre],MATCH(A286&amp;"",tbl_Finance[Job Number],0)),"not invoiced yet"))</f>
        <v/>
      </c>
      <c r="H286" s="13" t="n"/>
      <c r="I286" s="13" t="n"/>
      <c r="J286" s="15" t="n"/>
      <c r="K286" s="15" t="n"/>
      <c r="L286" s="15" t="n"/>
      <c r="M286" s="14">
        <f>IF(A286="","",IF(N(J286)+N(K286)+N(L286)=0,"Not split",IF(ROUND(N(J286)+N(K286)+N(L286),2)=ROUND(F286,2),"OK","MISMATCH")))</f>
        <v/>
      </c>
      <c r="N286" s="15" t="n"/>
      <c r="O286" s="15" t="n"/>
      <c r="P286" s="15" t="n"/>
      <c r="Q286" s="16">
        <f>IF(A286="","",N(N286)+N(O286)+N(P286))</f>
        <v/>
      </c>
      <c r="R286" s="16">
        <f>IF(A286="","",F286-Q286)</f>
        <v/>
      </c>
      <c r="S286" s="46">
        <f>IFERROR(R286/F286,"")</f>
        <v/>
      </c>
      <c r="T286" s="13" t="n"/>
    </row>
    <row r="287" ht="15" customHeight="1">
      <c r="A287" s="13" t="n"/>
      <c r="B287" s="14">
        <f>IF(A287="","",IF(COUNTIF(lst_Jobs,A287&amp;"")&gt;0,"OK","CHECK"))</f>
        <v/>
      </c>
      <c r="C287" s="14">
        <f>IF(A287="","",IFERROR(INDEX(lst_JobName,MATCH(A287&amp;"",lst_Jobs,0)),""))</f>
        <v/>
      </c>
      <c r="D287" s="14">
        <f>IF(A287="","",IFERROR(INDEX(tbl_Finance[Client],MATCH(A287&amp;"",tbl_Finance[Job Number],0)),""))</f>
        <v/>
      </c>
      <c r="E287" s="44">
        <f>IF(A287="","",COUNTIFS(tbl_Finance[Job Number],A287&amp;"",tbl_Finance[Ex GST],"&lt;&gt;"))</f>
        <v/>
      </c>
      <c r="F287" s="16">
        <f>IF(A287="","",SUMIFS(tbl_Finance[Ex GST],tbl_Finance[Job Number],A287&amp;""))</f>
        <v/>
      </c>
      <c r="G287" s="14">
        <f>IF(A287="","",IFERROR(INDEX(tbl_Finance[Cost Centre],MATCH(A287&amp;"",tbl_Finance[Job Number],0)),"not invoiced yet"))</f>
        <v/>
      </c>
      <c r="H287" s="13" t="n"/>
      <c r="I287" s="13" t="n"/>
      <c r="J287" s="15" t="n"/>
      <c r="K287" s="15" t="n"/>
      <c r="L287" s="15" t="n"/>
      <c r="M287" s="14">
        <f>IF(A287="","",IF(N(J287)+N(K287)+N(L287)=0,"Not split",IF(ROUND(N(J287)+N(K287)+N(L287),2)=ROUND(F287,2),"OK","MISMATCH")))</f>
        <v/>
      </c>
      <c r="N287" s="15" t="n"/>
      <c r="O287" s="15" t="n"/>
      <c r="P287" s="15" t="n"/>
      <c r="Q287" s="16">
        <f>IF(A287="","",N(N287)+N(O287)+N(P287))</f>
        <v/>
      </c>
      <c r="R287" s="16">
        <f>IF(A287="","",F287-Q287)</f>
        <v/>
      </c>
      <c r="S287" s="46">
        <f>IFERROR(R287/F287,"")</f>
        <v/>
      </c>
      <c r="T287" s="13" t="n"/>
    </row>
    <row r="288" ht="15" customHeight="1">
      <c r="A288" s="13" t="n"/>
      <c r="B288" s="14">
        <f>IF(A288="","",IF(COUNTIF(lst_Jobs,A288&amp;"")&gt;0,"OK","CHECK"))</f>
        <v/>
      </c>
      <c r="C288" s="14">
        <f>IF(A288="","",IFERROR(INDEX(lst_JobName,MATCH(A288&amp;"",lst_Jobs,0)),""))</f>
        <v/>
      </c>
      <c r="D288" s="14">
        <f>IF(A288="","",IFERROR(INDEX(tbl_Finance[Client],MATCH(A288&amp;"",tbl_Finance[Job Number],0)),""))</f>
        <v/>
      </c>
      <c r="E288" s="44">
        <f>IF(A288="","",COUNTIFS(tbl_Finance[Job Number],A288&amp;"",tbl_Finance[Ex GST],"&lt;&gt;"))</f>
        <v/>
      </c>
      <c r="F288" s="16">
        <f>IF(A288="","",SUMIFS(tbl_Finance[Ex GST],tbl_Finance[Job Number],A288&amp;""))</f>
        <v/>
      </c>
      <c r="G288" s="14">
        <f>IF(A288="","",IFERROR(INDEX(tbl_Finance[Cost Centre],MATCH(A288&amp;"",tbl_Finance[Job Number],0)),"not invoiced yet"))</f>
        <v/>
      </c>
      <c r="H288" s="13" t="n"/>
      <c r="I288" s="13" t="n"/>
      <c r="J288" s="15" t="n"/>
      <c r="K288" s="15" t="n"/>
      <c r="L288" s="15" t="n"/>
      <c r="M288" s="14">
        <f>IF(A288="","",IF(N(J288)+N(K288)+N(L288)=0,"Not split",IF(ROUND(N(J288)+N(K288)+N(L288),2)=ROUND(F288,2),"OK","MISMATCH")))</f>
        <v/>
      </c>
      <c r="N288" s="15" t="n"/>
      <c r="O288" s="15" t="n"/>
      <c r="P288" s="15" t="n"/>
      <c r="Q288" s="16">
        <f>IF(A288="","",N(N288)+N(O288)+N(P288))</f>
        <v/>
      </c>
      <c r="R288" s="16">
        <f>IF(A288="","",F288-Q288)</f>
        <v/>
      </c>
      <c r="S288" s="46">
        <f>IFERROR(R288/F288,"")</f>
        <v/>
      </c>
      <c r="T288" s="13" t="n"/>
    </row>
    <row r="289" ht="15" customHeight="1">
      <c r="A289" s="13" t="n"/>
      <c r="B289" s="14">
        <f>IF(A289="","",IF(COUNTIF(lst_Jobs,A289&amp;"")&gt;0,"OK","CHECK"))</f>
        <v/>
      </c>
      <c r="C289" s="14">
        <f>IF(A289="","",IFERROR(INDEX(lst_JobName,MATCH(A289&amp;"",lst_Jobs,0)),""))</f>
        <v/>
      </c>
      <c r="D289" s="14">
        <f>IF(A289="","",IFERROR(INDEX(tbl_Finance[Client],MATCH(A289&amp;"",tbl_Finance[Job Number],0)),""))</f>
        <v/>
      </c>
      <c r="E289" s="44">
        <f>IF(A289="","",COUNTIFS(tbl_Finance[Job Number],A289&amp;"",tbl_Finance[Ex GST],"&lt;&gt;"))</f>
        <v/>
      </c>
      <c r="F289" s="16">
        <f>IF(A289="","",SUMIFS(tbl_Finance[Ex GST],tbl_Finance[Job Number],A289&amp;""))</f>
        <v/>
      </c>
      <c r="G289" s="14">
        <f>IF(A289="","",IFERROR(INDEX(tbl_Finance[Cost Centre],MATCH(A289&amp;"",tbl_Finance[Job Number],0)),"not invoiced yet"))</f>
        <v/>
      </c>
      <c r="H289" s="13" t="n"/>
      <c r="I289" s="13" t="n"/>
      <c r="J289" s="15" t="n"/>
      <c r="K289" s="15" t="n"/>
      <c r="L289" s="15" t="n"/>
      <c r="M289" s="14">
        <f>IF(A289="","",IF(N(J289)+N(K289)+N(L289)=0,"Not split",IF(ROUND(N(J289)+N(K289)+N(L289),2)=ROUND(F289,2),"OK","MISMATCH")))</f>
        <v/>
      </c>
      <c r="N289" s="15" t="n"/>
      <c r="O289" s="15" t="n"/>
      <c r="P289" s="15" t="n"/>
      <c r="Q289" s="16">
        <f>IF(A289="","",N(N289)+N(O289)+N(P289))</f>
        <v/>
      </c>
      <c r="R289" s="16">
        <f>IF(A289="","",F289-Q289)</f>
        <v/>
      </c>
      <c r="S289" s="46">
        <f>IFERROR(R289/F289,"")</f>
        <v/>
      </c>
      <c r="T289" s="13" t="n"/>
    </row>
    <row r="290" ht="15" customHeight="1">
      <c r="A290" s="13" t="n"/>
      <c r="B290" s="14">
        <f>IF(A290="","",IF(COUNTIF(lst_Jobs,A290&amp;"")&gt;0,"OK","CHECK"))</f>
        <v/>
      </c>
      <c r="C290" s="14">
        <f>IF(A290="","",IFERROR(INDEX(lst_JobName,MATCH(A290&amp;"",lst_Jobs,0)),""))</f>
        <v/>
      </c>
      <c r="D290" s="14">
        <f>IF(A290="","",IFERROR(INDEX(tbl_Finance[Client],MATCH(A290&amp;"",tbl_Finance[Job Number],0)),""))</f>
        <v/>
      </c>
      <c r="E290" s="44">
        <f>IF(A290="","",COUNTIFS(tbl_Finance[Job Number],A290&amp;"",tbl_Finance[Ex GST],"&lt;&gt;"))</f>
        <v/>
      </c>
      <c r="F290" s="16">
        <f>IF(A290="","",SUMIFS(tbl_Finance[Ex GST],tbl_Finance[Job Number],A290&amp;""))</f>
        <v/>
      </c>
      <c r="G290" s="14">
        <f>IF(A290="","",IFERROR(INDEX(tbl_Finance[Cost Centre],MATCH(A290&amp;"",tbl_Finance[Job Number],0)),"not invoiced yet"))</f>
        <v/>
      </c>
      <c r="H290" s="13" t="n"/>
      <c r="I290" s="13" t="n"/>
      <c r="J290" s="15" t="n"/>
      <c r="K290" s="15" t="n"/>
      <c r="L290" s="15" t="n"/>
      <c r="M290" s="14">
        <f>IF(A290="","",IF(N(J290)+N(K290)+N(L290)=0,"Not split",IF(ROUND(N(J290)+N(K290)+N(L290),2)=ROUND(F290,2),"OK","MISMATCH")))</f>
        <v/>
      </c>
      <c r="N290" s="15" t="n"/>
      <c r="O290" s="15" t="n"/>
      <c r="P290" s="15" t="n"/>
      <c r="Q290" s="16">
        <f>IF(A290="","",N(N290)+N(O290)+N(P290))</f>
        <v/>
      </c>
      <c r="R290" s="16">
        <f>IF(A290="","",F290-Q290)</f>
        <v/>
      </c>
      <c r="S290" s="46">
        <f>IFERROR(R290/F290,"")</f>
        <v/>
      </c>
      <c r="T290" s="13" t="n"/>
    </row>
    <row r="291" ht="15" customHeight="1">
      <c r="A291" s="13" t="n"/>
      <c r="B291" s="14">
        <f>IF(A291="","",IF(COUNTIF(lst_Jobs,A291&amp;"")&gt;0,"OK","CHECK"))</f>
        <v/>
      </c>
      <c r="C291" s="14">
        <f>IF(A291="","",IFERROR(INDEX(lst_JobName,MATCH(A291&amp;"",lst_Jobs,0)),""))</f>
        <v/>
      </c>
      <c r="D291" s="14">
        <f>IF(A291="","",IFERROR(INDEX(tbl_Finance[Client],MATCH(A291&amp;"",tbl_Finance[Job Number],0)),""))</f>
        <v/>
      </c>
      <c r="E291" s="44">
        <f>IF(A291="","",COUNTIFS(tbl_Finance[Job Number],A291&amp;"",tbl_Finance[Ex GST],"&lt;&gt;"))</f>
        <v/>
      </c>
      <c r="F291" s="16">
        <f>IF(A291="","",SUMIFS(tbl_Finance[Ex GST],tbl_Finance[Job Number],A291&amp;""))</f>
        <v/>
      </c>
      <c r="G291" s="14">
        <f>IF(A291="","",IFERROR(INDEX(tbl_Finance[Cost Centre],MATCH(A291&amp;"",tbl_Finance[Job Number],0)),"not invoiced yet"))</f>
        <v/>
      </c>
      <c r="H291" s="13" t="n"/>
      <c r="I291" s="13" t="n"/>
      <c r="J291" s="15" t="n"/>
      <c r="K291" s="15" t="n"/>
      <c r="L291" s="15" t="n"/>
      <c r="M291" s="14">
        <f>IF(A291="","",IF(N(J291)+N(K291)+N(L291)=0,"Not split",IF(ROUND(N(J291)+N(K291)+N(L291),2)=ROUND(F291,2),"OK","MISMATCH")))</f>
        <v/>
      </c>
      <c r="N291" s="15" t="n"/>
      <c r="O291" s="15" t="n"/>
      <c r="P291" s="15" t="n"/>
      <c r="Q291" s="16">
        <f>IF(A291="","",N(N291)+N(O291)+N(P291))</f>
        <v/>
      </c>
      <c r="R291" s="16">
        <f>IF(A291="","",F291-Q291)</f>
        <v/>
      </c>
      <c r="S291" s="46">
        <f>IFERROR(R291/F291,"")</f>
        <v/>
      </c>
      <c r="T291" s="13" t="n"/>
    </row>
    <row r="292" ht="15" customHeight="1">
      <c r="A292" s="13" t="n"/>
      <c r="B292" s="14">
        <f>IF(A292="","",IF(COUNTIF(lst_Jobs,A292&amp;"")&gt;0,"OK","CHECK"))</f>
        <v/>
      </c>
      <c r="C292" s="14">
        <f>IF(A292="","",IFERROR(INDEX(lst_JobName,MATCH(A292&amp;"",lst_Jobs,0)),""))</f>
        <v/>
      </c>
      <c r="D292" s="14">
        <f>IF(A292="","",IFERROR(INDEX(tbl_Finance[Client],MATCH(A292&amp;"",tbl_Finance[Job Number],0)),""))</f>
        <v/>
      </c>
      <c r="E292" s="44">
        <f>IF(A292="","",COUNTIFS(tbl_Finance[Job Number],A292&amp;"",tbl_Finance[Ex GST],"&lt;&gt;"))</f>
        <v/>
      </c>
      <c r="F292" s="16">
        <f>IF(A292="","",SUMIFS(tbl_Finance[Ex GST],tbl_Finance[Job Number],A292&amp;""))</f>
        <v/>
      </c>
      <c r="G292" s="14">
        <f>IF(A292="","",IFERROR(INDEX(tbl_Finance[Cost Centre],MATCH(A292&amp;"",tbl_Finance[Job Number],0)),"not invoiced yet"))</f>
        <v/>
      </c>
      <c r="H292" s="13" t="n"/>
      <c r="I292" s="13" t="n"/>
      <c r="J292" s="15" t="n"/>
      <c r="K292" s="15" t="n"/>
      <c r="L292" s="15" t="n"/>
      <c r="M292" s="14">
        <f>IF(A292="","",IF(N(J292)+N(K292)+N(L292)=0,"Not split",IF(ROUND(N(J292)+N(K292)+N(L292),2)=ROUND(F292,2),"OK","MISMATCH")))</f>
        <v/>
      </c>
      <c r="N292" s="15" t="n"/>
      <c r="O292" s="15" t="n"/>
      <c r="P292" s="15" t="n"/>
      <c r="Q292" s="16">
        <f>IF(A292="","",N(N292)+N(O292)+N(P292))</f>
        <v/>
      </c>
      <c r="R292" s="16">
        <f>IF(A292="","",F292-Q292)</f>
        <v/>
      </c>
      <c r="S292" s="46">
        <f>IFERROR(R292/F292,"")</f>
        <v/>
      </c>
      <c r="T292" s="13" t="n"/>
    </row>
    <row r="293" ht="15" customHeight="1">
      <c r="A293" s="13" t="n"/>
      <c r="B293" s="14">
        <f>IF(A293="","",IF(COUNTIF(lst_Jobs,A293&amp;"")&gt;0,"OK","CHECK"))</f>
        <v/>
      </c>
      <c r="C293" s="14">
        <f>IF(A293="","",IFERROR(INDEX(lst_JobName,MATCH(A293&amp;"",lst_Jobs,0)),""))</f>
        <v/>
      </c>
      <c r="D293" s="14">
        <f>IF(A293="","",IFERROR(INDEX(tbl_Finance[Client],MATCH(A293&amp;"",tbl_Finance[Job Number],0)),""))</f>
        <v/>
      </c>
      <c r="E293" s="44">
        <f>IF(A293="","",COUNTIFS(tbl_Finance[Job Number],A293&amp;"",tbl_Finance[Ex GST],"&lt;&gt;"))</f>
        <v/>
      </c>
      <c r="F293" s="16">
        <f>IF(A293="","",SUMIFS(tbl_Finance[Ex GST],tbl_Finance[Job Number],A293&amp;""))</f>
        <v/>
      </c>
      <c r="G293" s="14">
        <f>IF(A293="","",IFERROR(INDEX(tbl_Finance[Cost Centre],MATCH(A293&amp;"",tbl_Finance[Job Number],0)),"not invoiced yet"))</f>
        <v/>
      </c>
      <c r="H293" s="13" t="n"/>
      <c r="I293" s="13" t="n"/>
      <c r="J293" s="15" t="n"/>
      <c r="K293" s="15" t="n"/>
      <c r="L293" s="15" t="n"/>
      <c r="M293" s="14">
        <f>IF(A293="","",IF(N(J293)+N(K293)+N(L293)=0,"Not split",IF(ROUND(N(J293)+N(K293)+N(L293),2)=ROUND(F293,2),"OK","MISMATCH")))</f>
        <v/>
      </c>
      <c r="N293" s="15" t="n"/>
      <c r="O293" s="15" t="n"/>
      <c r="P293" s="15" t="n"/>
      <c r="Q293" s="16">
        <f>IF(A293="","",N(N293)+N(O293)+N(P293))</f>
        <v/>
      </c>
      <c r="R293" s="16">
        <f>IF(A293="","",F293-Q293)</f>
        <v/>
      </c>
      <c r="S293" s="46">
        <f>IFERROR(R293/F293,"")</f>
        <v/>
      </c>
      <c r="T293" s="13" t="n"/>
    </row>
    <row r="294" ht="15" customHeight="1">
      <c r="A294" s="13" t="n"/>
      <c r="B294" s="14">
        <f>IF(A294="","",IF(COUNTIF(lst_Jobs,A294&amp;"")&gt;0,"OK","CHECK"))</f>
        <v/>
      </c>
      <c r="C294" s="14">
        <f>IF(A294="","",IFERROR(INDEX(lst_JobName,MATCH(A294&amp;"",lst_Jobs,0)),""))</f>
        <v/>
      </c>
      <c r="D294" s="14">
        <f>IF(A294="","",IFERROR(INDEX(tbl_Finance[Client],MATCH(A294&amp;"",tbl_Finance[Job Number],0)),""))</f>
        <v/>
      </c>
      <c r="E294" s="44">
        <f>IF(A294="","",COUNTIFS(tbl_Finance[Job Number],A294&amp;"",tbl_Finance[Ex GST],"&lt;&gt;"))</f>
        <v/>
      </c>
      <c r="F294" s="16">
        <f>IF(A294="","",SUMIFS(tbl_Finance[Ex GST],tbl_Finance[Job Number],A294&amp;""))</f>
        <v/>
      </c>
      <c r="G294" s="14">
        <f>IF(A294="","",IFERROR(INDEX(tbl_Finance[Cost Centre],MATCH(A294&amp;"",tbl_Finance[Job Number],0)),"not invoiced yet"))</f>
        <v/>
      </c>
      <c r="H294" s="13" t="n"/>
      <c r="I294" s="13" t="n"/>
      <c r="J294" s="15" t="n"/>
      <c r="K294" s="15" t="n"/>
      <c r="L294" s="15" t="n"/>
      <c r="M294" s="14">
        <f>IF(A294="","",IF(N(J294)+N(K294)+N(L294)=0,"Not split",IF(ROUND(N(J294)+N(K294)+N(L294),2)=ROUND(F294,2),"OK","MISMATCH")))</f>
        <v/>
      </c>
      <c r="N294" s="15" t="n"/>
      <c r="O294" s="15" t="n"/>
      <c r="P294" s="15" t="n"/>
      <c r="Q294" s="16">
        <f>IF(A294="","",N(N294)+N(O294)+N(P294))</f>
        <v/>
      </c>
      <c r="R294" s="16">
        <f>IF(A294="","",F294-Q294)</f>
        <v/>
      </c>
      <c r="S294" s="46">
        <f>IFERROR(R294/F294,"")</f>
        <v/>
      </c>
      <c r="T294" s="13" t="n"/>
    </row>
    <row r="295" ht="15" customHeight="1">
      <c r="A295" s="13" t="n"/>
      <c r="B295" s="14">
        <f>IF(A295="","",IF(COUNTIF(lst_Jobs,A295&amp;"")&gt;0,"OK","CHECK"))</f>
        <v/>
      </c>
      <c r="C295" s="14">
        <f>IF(A295="","",IFERROR(INDEX(lst_JobName,MATCH(A295&amp;"",lst_Jobs,0)),""))</f>
        <v/>
      </c>
      <c r="D295" s="14">
        <f>IF(A295="","",IFERROR(INDEX(tbl_Finance[Client],MATCH(A295&amp;"",tbl_Finance[Job Number],0)),""))</f>
        <v/>
      </c>
      <c r="E295" s="44">
        <f>IF(A295="","",COUNTIFS(tbl_Finance[Job Number],A295&amp;"",tbl_Finance[Ex GST],"&lt;&gt;"))</f>
        <v/>
      </c>
      <c r="F295" s="16">
        <f>IF(A295="","",SUMIFS(tbl_Finance[Ex GST],tbl_Finance[Job Number],A295&amp;""))</f>
        <v/>
      </c>
      <c r="G295" s="14">
        <f>IF(A295="","",IFERROR(INDEX(tbl_Finance[Cost Centre],MATCH(A295&amp;"",tbl_Finance[Job Number],0)),"not invoiced yet"))</f>
        <v/>
      </c>
      <c r="H295" s="13" t="n"/>
      <c r="I295" s="13" t="n"/>
      <c r="J295" s="15" t="n"/>
      <c r="K295" s="15" t="n"/>
      <c r="L295" s="15" t="n"/>
      <c r="M295" s="14">
        <f>IF(A295="","",IF(N(J295)+N(K295)+N(L295)=0,"Not split",IF(ROUND(N(J295)+N(K295)+N(L295),2)=ROUND(F295,2),"OK","MISMATCH")))</f>
        <v/>
      </c>
      <c r="N295" s="15" t="n"/>
      <c r="O295" s="15" t="n"/>
      <c r="P295" s="15" t="n"/>
      <c r="Q295" s="16">
        <f>IF(A295="","",N(N295)+N(O295)+N(P295))</f>
        <v/>
      </c>
      <c r="R295" s="16">
        <f>IF(A295="","",F295-Q295)</f>
        <v/>
      </c>
      <c r="S295" s="46">
        <f>IFERROR(R295/F295,"")</f>
        <v/>
      </c>
      <c r="T295" s="13" t="n"/>
    </row>
    <row r="296" ht="15" customHeight="1">
      <c r="A296" s="13" t="n"/>
      <c r="B296" s="14">
        <f>IF(A296="","",IF(COUNTIF(lst_Jobs,A296&amp;"")&gt;0,"OK","CHECK"))</f>
        <v/>
      </c>
      <c r="C296" s="14">
        <f>IF(A296="","",IFERROR(INDEX(lst_JobName,MATCH(A296&amp;"",lst_Jobs,0)),""))</f>
        <v/>
      </c>
      <c r="D296" s="14">
        <f>IF(A296="","",IFERROR(INDEX(tbl_Finance[Client],MATCH(A296&amp;"",tbl_Finance[Job Number],0)),""))</f>
        <v/>
      </c>
      <c r="E296" s="44">
        <f>IF(A296="","",COUNTIFS(tbl_Finance[Job Number],A296&amp;"",tbl_Finance[Ex GST],"&lt;&gt;"))</f>
        <v/>
      </c>
      <c r="F296" s="16">
        <f>IF(A296="","",SUMIFS(tbl_Finance[Ex GST],tbl_Finance[Job Number],A296&amp;""))</f>
        <v/>
      </c>
      <c r="G296" s="14">
        <f>IF(A296="","",IFERROR(INDEX(tbl_Finance[Cost Centre],MATCH(A296&amp;"",tbl_Finance[Job Number],0)),"not invoiced yet"))</f>
        <v/>
      </c>
      <c r="H296" s="13" t="n"/>
      <c r="I296" s="13" t="n"/>
      <c r="J296" s="15" t="n"/>
      <c r="K296" s="15" t="n"/>
      <c r="L296" s="15" t="n"/>
      <c r="M296" s="14">
        <f>IF(A296="","",IF(N(J296)+N(K296)+N(L296)=0,"Not split",IF(ROUND(N(J296)+N(K296)+N(L296),2)=ROUND(F296,2),"OK","MISMATCH")))</f>
        <v/>
      </c>
      <c r="N296" s="15" t="n"/>
      <c r="O296" s="15" t="n"/>
      <c r="P296" s="15" t="n"/>
      <c r="Q296" s="16">
        <f>IF(A296="","",N(N296)+N(O296)+N(P296))</f>
        <v/>
      </c>
      <c r="R296" s="16">
        <f>IF(A296="","",F296-Q296)</f>
        <v/>
      </c>
      <c r="S296" s="46">
        <f>IFERROR(R296/F296,"")</f>
        <v/>
      </c>
      <c r="T296" s="13" t="n"/>
    </row>
    <row r="297" ht="15" customHeight="1">
      <c r="A297" s="13" t="n"/>
      <c r="B297" s="14">
        <f>IF(A297="","",IF(COUNTIF(lst_Jobs,A297&amp;"")&gt;0,"OK","CHECK"))</f>
        <v/>
      </c>
      <c r="C297" s="14">
        <f>IF(A297="","",IFERROR(INDEX(lst_JobName,MATCH(A297&amp;"",lst_Jobs,0)),""))</f>
        <v/>
      </c>
      <c r="D297" s="14">
        <f>IF(A297="","",IFERROR(INDEX(tbl_Finance[Client],MATCH(A297&amp;"",tbl_Finance[Job Number],0)),""))</f>
        <v/>
      </c>
      <c r="E297" s="44">
        <f>IF(A297="","",COUNTIFS(tbl_Finance[Job Number],A297&amp;"",tbl_Finance[Ex GST],"&lt;&gt;"))</f>
        <v/>
      </c>
      <c r="F297" s="16">
        <f>IF(A297="","",SUMIFS(tbl_Finance[Ex GST],tbl_Finance[Job Number],A297&amp;""))</f>
        <v/>
      </c>
      <c r="G297" s="14">
        <f>IF(A297="","",IFERROR(INDEX(tbl_Finance[Cost Centre],MATCH(A297&amp;"",tbl_Finance[Job Number],0)),"not invoiced yet"))</f>
        <v/>
      </c>
      <c r="H297" s="13" t="n"/>
      <c r="I297" s="13" t="n"/>
      <c r="J297" s="15" t="n"/>
      <c r="K297" s="15" t="n"/>
      <c r="L297" s="15" t="n"/>
      <c r="M297" s="14">
        <f>IF(A297="","",IF(N(J297)+N(K297)+N(L297)=0,"Not split",IF(ROUND(N(J297)+N(K297)+N(L297),2)=ROUND(F297,2),"OK","MISMATCH")))</f>
        <v/>
      </c>
      <c r="N297" s="15" t="n"/>
      <c r="O297" s="15" t="n"/>
      <c r="P297" s="15" t="n"/>
      <c r="Q297" s="16">
        <f>IF(A297="","",N(N297)+N(O297)+N(P297))</f>
        <v/>
      </c>
      <c r="R297" s="16">
        <f>IF(A297="","",F297-Q297)</f>
        <v/>
      </c>
      <c r="S297" s="46">
        <f>IFERROR(R297/F297,"")</f>
        <v/>
      </c>
      <c r="T297" s="13" t="n"/>
    </row>
    <row r="298" ht="15" customHeight="1">
      <c r="A298" s="13" t="n"/>
      <c r="B298" s="14">
        <f>IF(A298="","",IF(COUNTIF(lst_Jobs,A298&amp;"")&gt;0,"OK","CHECK"))</f>
        <v/>
      </c>
      <c r="C298" s="14">
        <f>IF(A298="","",IFERROR(INDEX(lst_JobName,MATCH(A298&amp;"",lst_Jobs,0)),""))</f>
        <v/>
      </c>
      <c r="D298" s="14">
        <f>IF(A298="","",IFERROR(INDEX(tbl_Finance[Client],MATCH(A298&amp;"",tbl_Finance[Job Number],0)),""))</f>
        <v/>
      </c>
      <c r="E298" s="44">
        <f>IF(A298="","",COUNTIFS(tbl_Finance[Job Number],A298&amp;"",tbl_Finance[Ex GST],"&lt;&gt;"))</f>
        <v/>
      </c>
      <c r="F298" s="16">
        <f>IF(A298="","",SUMIFS(tbl_Finance[Ex GST],tbl_Finance[Job Number],A298&amp;""))</f>
        <v/>
      </c>
      <c r="G298" s="14">
        <f>IF(A298="","",IFERROR(INDEX(tbl_Finance[Cost Centre],MATCH(A298&amp;"",tbl_Finance[Job Number],0)),"not invoiced yet"))</f>
        <v/>
      </c>
      <c r="H298" s="13" t="n"/>
      <c r="I298" s="13" t="n"/>
      <c r="J298" s="15" t="n"/>
      <c r="K298" s="15" t="n"/>
      <c r="L298" s="15" t="n"/>
      <c r="M298" s="14">
        <f>IF(A298="","",IF(N(J298)+N(K298)+N(L298)=0,"Not split",IF(ROUND(N(J298)+N(K298)+N(L298),2)=ROUND(F298,2),"OK","MISMATCH")))</f>
        <v/>
      </c>
      <c r="N298" s="15" t="n"/>
      <c r="O298" s="15" t="n"/>
      <c r="P298" s="15" t="n"/>
      <c r="Q298" s="16">
        <f>IF(A298="","",N(N298)+N(O298)+N(P298))</f>
        <v/>
      </c>
      <c r="R298" s="16">
        <f>IF(A298="","",F298-Q298)</f>
        <v/>
      </c>
      <c r="S298" s="46">
        <f>IFERROR(R298/F298,"")</f>
        <v/>
      </c>
      <c r="T298" s="13" t="n"/>
    </row>
    <row r="299" ht="15" customHeight="1">
      <c r="A299" s="13" t="n"/>
      <c r="B299" s="14">
        <f>IF(A299="","",IF(COUNTIF(lst_Jobs,A299&amp;"")&gt;0,"OK","CHECK"))</f>
        <v/>
      </c>
      <c r="C299" s="14">
        <f>IF(A299="","",IFERROR(INDEX(lst_JobName,MATCH(A299&amp;"",lst_Jobs,0)),""))</f>
        <v/>
      </c>
      <c r="D299" s="14">
        <f>IF(A299="","",IFERROR(INDEX(tbl_Finance[Client],MATCH(A299&amp;"",tbl_Finance[Job Number],0)),""))</f>
        <v/>
      </c>
      <c r="E299" s="44">
        <f>IF(A299="","",COUNTIFS(tbl_Finance[Job Number],A299&amp;"",tbl_Finance[Ex GST],"&lt;&gt;"))</f>
        <v/>
      </c>
      <c r="F299" s="16">
        <f>IF(A299="","",SUMIFS(tbl_Finance[Ex GST],tbl_Finance[Job Number],A299&amp;""))</f>
        <v/>
      </c>
      <c r="G299" s="14">
        <f>IF(A299="","",IFERROR(INDEX(tbl_Finance[Cost Centre],MATCH(A299&amp;"",tbl_Finance[Job Number],0)),"not invoiced yet"))</f>
        <v/>
      </c>
      <c r="H299" s="13" t="n"/>
      <c r="I299" s="13" t="n"/>
      <c r="J299" s="15" t="n"/>
      <c r="K299" s="15" t="n"/>
      <c r="L299" s="15" t="n"/>
      <c r="M299" s="14">
        <f>IF(A299="","",IF(N(J299)+N(K299)+N(L299)=0,"Not split",IF(ROUND(N(J299)+N(K299)+N(L299),2)=ROUND(F299,2),"OK","MISMATCH")))</f>
        <v/>
      </c>
      <c r="N299" s="15" t="n"/>
      <c r="O299" s="15" t="n"/>
      <c r="P299" s="15" t="n"/>
      <c r="Q299" s="16">
        <f>IF(A299="","",N(N299)+N(O299)+N(P299))</f>
        <v/>
      </c>
      <c r="R299" s="16">
        <f>IF(A299="","",F299-Q299)</f>
        <v/>
      </c>
      <c r="S299" s="46">
        <f>IFERROR(R299/F299,"")</f>
        <v/>
      </c>
      <c r="T299" s="13" t="n"/>
    </row>
    <row r="300" ht="15" customHeight="1">
      <c r="A300" s="13" t="n"/>
      <c r="B300" s="14">
        <f>IF(A300="","",IF(COUNTIF(lst_Jobs,A300&amp;"")&gt;0,"OK","CHECK"))</f>
        <v/>
      </c>
      <c r="C300" s="14">
        <f>IF(A300="","",IFERROR(INDEX(lst_JobName,MATCH(A300&amp;"",lst_Jobs,0)),""))</f>
        <v/>
      </c>
      <c r="D300" s="14">
        <f>IF(A300="","",IFERROR(INDEX(tbl_Finance[Client],MATCH(A300&amp;"",tbl_Finance[Job Number],0)),""))</f>
        <v/>
      </c>
      <c r="E300" s="44">
        <f>IF(A300="","",COUNTIFS(tbl_Finance[Job Number],A300&amp;"",tbl_Finance[Ex GST],"&lt;&gt;"))</f>
        <v/>
      </c>
      <c r="F300" s="16">
        <f>IF(A300="","",SUMIFS(tbl_Finance[Ex GST],tbl_Finance[Job Number],A300&amp;""))</f>
        <v/>
      </c>
      <c r="G300" s="14">
        <f>IF(A300="","",IFERROR(INDEX(tbl_Finance[Cost Centre],MATCH(A300&amp;"",tbl_Finance[Job Number],0)),"not invoiced yet"))</f>
        <v/>
      </c>
      <c r="H300" s="13" t="n"/>
      <c r="I300" s="13" t="n"/>
      <c r="J300" s="15" t="n"/>
      <c r="K300" s="15" t="n"/>
      <c r="L300" s="15" t="n"/>
      <c r="M300" s="14">
        <f>IF(A300="","",IF(N(J300)+N(K300)+N(L300)=0,"Not split",IF(ROUND(N(J300)+N(K300)+N(L300),2)=ROUND(F300,2),"OK","MISMATCH")))</f>
        <v/>
      </c>
      <c r="N300" s="15" t="n"/>
      <c r="O300" s="15" t="n"/>
      <c r="P300" s="15" t="n"/>
      <c r="Q300" s="16">
        <f>IF(A300="","",N(N300)+N(O300)+N(P300))</f>
        <v/>
      </c>
      <c r="R300" s="16">
        <f>IF(A300="","",F300-Q300)</f>
        <v/>
      </c>
      <c r="S300" s="46">
        <f>IFERROR(R300/F300,"")</f>
        <v/>
      </c>
      <c r="T300" s="13" t="n"/>
    </row>
    <row r="301" ht="15" customHeight="1">
      <c r="A301" s="13" t="n"/>
      <c r="B301" s="14">
        <f>IF(A301="","",IF(COUNTIF(lst_Jobs,A301&amp;"")&gt;0,"OK","CHECK"))</f>
        <v/>
      </c>
      <c r="C301" s="14">
        <f>IF(A301="","",IFERROR(INDEX(lst_JobName,MATCH(A301&amp;"",lst_Jobs,0)),""))</f>
        <v/>
      </c>
      <c r="D301" s="14">
        <f>IF(A301="","",IFERROR(INDEX(tbl_Finance[Client],MATCH(A301&amp;"",tbl_Finance[Job Number],0)),""))</f>
        <v/>
      </c>
      <c r="E301" s="44">
        <f>IF(A301="","",COUNTIFS(tbl_Finance[Job Number],A301&amp;"",tbl_Finance[Ex GST],"&lt;&gt;"))</f>
        <v/>
      </c>
      <c r="F301" s="16">
        <f>IF(A301="","",SUMIFS(tbl_Finance[Ex GST],tbl_Finance[Job Number],A301&amp;""))</f>
        <v/>
      </c>
      <c r="G301" s="14">
        <f>IF(A301="","",IFERROR(INDEX(tbl_Finance[Cost Centre],MATCH(A301&amp;"",tbl_Finance[Job Number],0)),"not invoiced yet"))</f>
        <v/>
      </c>
      <c r="H301" s="13" t="n"/>
      <c r="I301" s="13" t="n"/>
      <c r="J301" s="15" t="n"/>
      <c r="K301" s="15" t="n"/>
      <c r="L301" s="15" t="n"/>
      <c r="M301" s="14">
        <f>IF(A301="","",IF(N(J301)+N(K301)+N(L301)=0,"Not split",IF(ROUND(N(J301)+N(K301)+N(L301),2)=ROUND(F301,2),"OK","MISMATCH")))</f>
        <v/>
      </c>
      <c r="N301" s="15" t="n"/>
      <c r="O301" s="15" t="n"/>
      <c r="P301" s="15" t="n"/>
      <c r="Q301" s="16">
        <f>IF(A301="","",N(N301)+N(O301)+N(P301))</f>
        <v/>
      </c>
      <c r="R301" s="16">
        <f>IF(A301="","",F301-Q301)</f>
        <v/>
      </c>
      <c r="S301" s="46">
        <f>IFERROR(R301/F301,"")</f>
        <v/>
      </c>
      <c r="T301" s="13" t="n"/>
    </row>
    <row r="302" ht="15" customHeight="1">
      <c r="A302" s="13" t="n"/>
      <c r="B302" s="14">
        <f>IF(A302="","",IF(COUNTIF(lst_Jobs,A302&amp;"")&gt;0,"OK","CHECK"))</f>
        <v/>
      </c>
      <c r="C302" s="14">
        <f>IF(A302="","",IFERROR(INDEX(lst_JobName,MATCH(A302&amp;"",lst_Jobs,0)),""))</f>
        <v/>
      </c>
      <c r="D302" s="14">
        <f>IF(A302="","",IFERROR(INDEX(tbl_Finance[Client],MATCH(A302&amp;"",tbl_Finance[Job Number],0)),""))</f>
        <v/>
      </c>
      <c r="E302" s="44">
        <f>IF(A302="","",COUNTIFS(tbl_Finance[Job Number],A302&amp;"",tbl_Finance[Ex GST],"&lt;&gt;"))</f>
        <v/>
      </c>
      <c r="F302" s="16">
        <f>IF(A302="","",SUMIFS(tbl_Finance[Ex GST],tbl_Finance[Job Number],A302&amp;""))</f>
        <v/>
      </c>
      <c r="G302" s="14">
        <f>IF(A302="","",IFERROR(INDEX(tbl_Finance[Cost Centre],MATCH(A302&amp;"",tbl_Finance[Job Number],0)),"not invoiced yet"))</f>
        <v/>
      </c>
      <c r="H302" s="13" t="n"/>
      <c r="I302" s="13" t="n"/>
      <c r="J302" s="15" t="n"/>
      <c r="K302" s="15" t="n"/>
      <c r="L302" s="15" t="n"/>
      <c r="M302" s="14">
        <f>IF(A302="","",IF(N(J302)+N(K302)+N(L302)=0,"Not split",IF(ROUND(N(J302)+N(K302)+N(L302),2)=ROUND(F302,2),"OK","MISMATCH")))</f>
        <v/>
      </c>
      <c r="N302" s="15" t="n"/>
      <c r="O302" s="15" t="n"/>
      <c r="P302" s="15" t="n"/>
      <c r="Q302" s="16">
        <f>IF(A302="","",N(N302)+N(O302)+N(P302))</f>
        <v/>
      </c>
      <c r="R302" s="16">
        <f>IF(A302="","",F302-Q302)</f>
        <v/>
      </c>
      <c r="S302" s="46">
        <f>IFERROR(R302/F302,"")</f>
        <v/>
      </c>
      <c r="T302" s="13" t="n"/>
    </row>
    <row r="303" ht="15" customHeight="1">
      <c r="A303" s="13" t="n"/>
      <c r="B303" s="14">
        <f>IF(A303="","",IF(COUNTIF(lst_Jobs,A303&amp;"")&gt;0,"OK","CHECK"))</f>
        <v/>
      </c>
      <c r="C303" s="14">
        <f>IF(A303="","",IFERROR(INDEX(lst_JobName,MATCH(A303&amp;"",lst_Jobs,0)),""))</f>
        <v/>
      </c>
      <c r="D303" s="14">
        <f>IF(A303="","",IFERROR(INDEX(tbl_Finance[Client],MATCH(A303&amp;"",tbl_Finance[Job Number],0)),""))</f>
        <v/>
      </c>
      <c r="E303" s="44">
        <f>IF(A303="","",COUNTIFS(tbl_Finance[Job Number],A303&amp;"",tbl_Finance[Ex GST],"&lt;&gt;"))</f>
        <v/>
      </c>
      <c r="F303" s="16">
        <f>IF(A303="","",SUMIFS(tbl_Finance[Ex GST],tbl_Finance[Job Number],A303&amp;""))</f>
        <v/>
      </c>
      <c r="G303" s="14">
        <f>IF(A303="","",IFERROR(INDEX(tbl_Finance[Cost Centre],MATCH(A303&amp;"",tbl_Finance[Job Number],0)),"not invoiced yet"))</f>
        <v/>
      </c>
      <c r="H303" s="13" t="n"/>
      <c r="I303" s="13" t="n"/>
      <c r="J303" s="15" t="n"/>
      <c r="K303" s="15" t="n"/>
      <c r="L303" s="15" t="n"/>
      <c r="M303" s="14">
        <f>IF(A303="","",IF(N(J303)+N(K303)+N(L303)=0,"Not split",IF(ROUND(N(J303)+N(K303)+N(L303),2)=ROUND(F303,2),"OK","MISMATCH")))</f>
        <v/>
      </c>
      <c r="N303" s="15" t="n"/>
      <c r="O303" s="15" t="n"/>
      <c r="P303" s="15" t="n"/>
      <c r="Q303" s="16">
        <f>IF(A303="","",N(N303)+N(O303)+N(P303))</f>
        <v/>
      </c>
      <c r="R303" s="16">
        <f>IF(A303="","",F303-Q303)</f>
        <v/>
      </c>
      <c r="S303" s="46">
        <f>IFERROR(R303/F303,"")</f>
        <v/>
      </c>
      <c r="T303" s="13" t="n"/>
    </row>
    <row r="304" ht="15" customHeight="1">
      <c r="A304" s="13" t="n"/>
      <c r="B304" s="14">
        <f>IF(A304="","",IF(COUNTIF(lst_Jobs,A304&amp;"")&gt;0,"OK","CHECK"))</f>
        <v/>
      </c>
      <c r="C304" s="14">
        <f>IF(A304="","",IFERROR(INDEX(lst_JobName,MATCH(A304&amp;"",lst_Jobs,0)),""))</f>
        <v/>
      </c>
      <c r="D304" s="14">
        <f>IF(A304="","",IFERROR(INDEX(tbl_Finance[Client],MATCH(A304&amp;"",tbl_Finance[Job Number],0)),""))</f>
        <v/>
      </c>
      <c r="E304" s="44">
        <f>IF(A304="","",COUNTIFS(tbl_Finance[Job Number],A304&amp;"",tbl_Finance[Ex GST],"&lt;&gt;"))</f>
        <v/>
      </c>
      <c r="F304" s="16">
        <f>IF(A304="","",SUMIFS(tbl_Finance[Ex GST],tbl_Finance[Job Number],A304&amp;""))</f>
        <v/>
      </c>
      <c r="G304" s="14">
        <f>IF(A304="","",IFERROR(INDEX(tbl_Finance[Cost Centre],MATCH(A304&amp;"",tbl_Finance[Job Number],0)),"not invoiced yet"))</f>
        <v/>
      </c>
      <c r="H304" s="13" t="n"/>
      <c r="I304" s="13" t="n"/>
      <c r="J304" s="15" t="n"/>
      <c r="K304" s="15" t="n"/>
      <c r="L304" s="15" t="n"/>
      <c r="M304" s="14">
        <f>IF(A304="","",IF(N(J304)+N(K304)+N(L304)=0,"Not split",IF(ROUND(N(J304)+N(K304)+N(L304),2)=ROUND(F304,2),"OK","MISMATCH")))</f>
        <v/>
      </c>
      <c r="N304" s="15" t="n"/>
      <c r="O304" s="15" t="n"/>
      <c r="P304" s="15" t="n"/>
      <c r="Q304" s="16">
        <f>IF(A304="","",N(N304)+N(O304)+N(P304))</f>
        <v/>
      </c>
      <c r="R304" s="16">
        <f>IF(A304="","",F304-Q304)</f>
        <v/>
      </c>
      <c r="S304" s="46">
        <f>IFERROR(R304/F304,"")</f>
        <v/>
      </c>
      <c r="T304" s="13" t="n"/>
    </row>
    <row r="305" ht="15" customHeight="1">
      <c r="A305" s="13" t="n"/>
      <c r="B305" s="14">
        <f>IF(A305="","",IF(COUNTIF(lst_Jobs,A305&amp;"")&gt;0,"OK","CHECK"))</f>
        <v/>
      </c>
      <c r="C305" s="14">
        <f>IF(A305="","",IFERROR(INDEX(lst_JobName,MATCH(A305&amp;"",lst_Jobs,0)),""))</f>
        <v/>
      </c>
      <c r="D305" s="14">
        <f>IF(A305="","",IFERROR(INDEX(tbl_Finance[Client],MATCH(A305&amp;"",tbl_Finance[Job Number],0)),""))</f>
        <v/>
      </c>
      <c r="E305" s="44">
        <f>IF(A305="","",COUNTIFS(tbl_Finance[Job Number],A305&amp;"",tbl_Finance[Ex GST],"&lt;&gt;"))</f>
        <v/>
      </c>
      <c r="F305" s="16">
        <f>IF(A305="","",SUMIFS(tbl_Finance[Ex GST],tbl_Finance[Job Number],A305&amp;""))</f>
        <v/>
      </c>
      <c r="G305" s="14">
        <f>IF(A305="","",IFERROR(INDEX(tbl_Finance[Cost Centre],MATCH(A305&amp;"",tbl_Finance[Job Number],0)),"not invoiced yet"))</f>
        <v/>
      </c>
      <c r="H305" s="13" t="n"/>
      <c r="I305" s="13" t="n"/>
      <c r="J305" s="15" t="n"/>
      <c r="K305" s="15" t="n"/>
      <c r="L305" s="15" t="n"/>
      <c r="M305" s="14">
        <f>IF(A305="","",IF(N(J305)+N(K305)+N(L305)=0,"Not split",IF(ROUND(N(J305)+N(K305)+N(L305),2)=ROUND(F305,2),"OK","MISMATCH")))</f>
        <v/>
      </c>
      <c r="N305" s="15" t="n"/>
      <c r="O305" s="15" t="n"/>
      <c r="P305" s="15" t="n"/>
      <c r="Q305" s="16">
        <f>IF(A305="","",N(N305)+N(O305)+N(P305))</f>
        <v/>
      </c>
      <c r="R305" s="16">
        <f>IF(A305="","",F305-Q305)</f>
        <v/>
      </c>
      <c r="S305" s="46">
        <f>IFERROR(R305/F305,"")</f>
        <v/>
      </c>
      <c r="T305" s="13" t="n"/>
    </row>
    <row r="306" ht="15" customHeight="1">
      <c r="A306" s="13" t="n"/>
      <c r="B306" s="14">
        <f>IF(A306="","",IF(COUNTIF(lst_Jobs,A306&amp;"")&gt;0,"OK","CHECK"))</f>
        <v/>
      </c>
      <c r="C306" s="14">
        <f>IF(A306="","",IFERROR(INDEX(lst_JobName,MATCH(A306&amp;"",lst_Jobs,0)),""))</f>
        <v/>
      </c>
      <c r="D306" s="14">
        <f>IF(A306="","",IFERROR(INDEX(tbl_Finance[Client],MATCH(A306&amp;"",tbl_Finance[Job Number],0)),""))</f>
        <v/>
      </c>
      <c r="E306" s="44">
        <f>IF(A306="","",COUNTIFS(tbl_Finance[Job Number],A306&amp;"",tbl_Finance[Ex GST],"&lt;&gt;"))</f>
        <v/>
      </c>
      <c r="F306" s="16">
        <f>IF(A306="","",SUMIFS(tbl_Finance[Ex GST],tbl_Finance[Job Number],A306&amp;""))</f>
        <v/>
      </c>
      <c r="G306" s="14">
        <f>IF(A306="","",IFERROR(INDEX(tbl_Finance[Cost Centre],MATCH(A306&amp;"",tbl_Finance[Job Number],0)),"not invoiced yet"))</f>
        <v/>
      </c>
      <c r="H306" s="13" t="n"/>
      <c r="I306" s="13" t="n"/>
      <c r="J306" s="15" t="n"/>
      <c r="K306" s="15" t="n"/>
      <c r="L306" s="15" t="n"/>
      <c r="M306" s="14">
        <f>IF(A306="","",IF(N(J306)+N(K306)+N(L306)=0,"Not split",IF(ROUND(N(J306)+N(K306)+N(L306),2)=ROUND(F306,2),"OK","MISMATCH")))</f>
        <v/>
      </c>
      <c r="N306" s="15" t="n"/>
      <c r="O306" s="15" t="n"/>
      <c r="P306" s="15" t="n"/>
      <c r="Q306" s="16">
        <f>IF(A306="","",N(N306)+N(O306)+N(P306))</f>
        <v/>
      </c>
      <c r="R306" s="16">
        <f>IF(A306="","",F306-Q306)</f>
        <v/>
      </c>
      <c r="S306" s="46">
        <f>IFERROR(R306/F306,"")</f>
        <v/>
      </c>
      <c r="T306" s="13" t="n"/>
    </row>
    <row r="307" ht="15" customHeight="1">
      <c r="A307" s="13" t="n"/>
      <c r="B307" s="14">
        <f>IF(A307="","",IF(COUNTIF(lst_Jobs,A307&amp;"")&gt;0,"OK","CHECK"))</f>
        <v/>
      </c>
      <c r="C307" s="14">
        <f>IF(A307="","",IFERROR(INDEX(lst_JobName,MATCH(A307&amp;"",lst_Jobs,0)),""))</f>
        <v/>
      </c>
      <c r="D307" s="14">
        <f>IF(A307="","",IFERROR(INDEX(tbl_Finance[Client],MATCH(A307&amp;"",tbl_Finance[Job Number],0)),""))</f>
        <v/>
      </c>
      <c r="E307" s="44">
        <f>IF(A307="","",COUNTIFS(tbl_Finance[Job Number],A307&amp;"",tbl_Finance[Ex GST],"&lt;&gt;"))</f>
        <v/>
      </c>
      <c r="F307" s="16">
        <f>IF(A307="","",SUMIFS(tbl_Finance[Ex GST],tbl_Finance[Job Number],A307&amp;""))</f>
        <v/>
      </c>
      <c r="G307" s="14">
        <f>IF(A307="","",IFERROR(INDEX(tbl_Finance[Cost Centre],MATCH(A307&amp;"",tbl_Finance[Job Number],0)),"not invoiced yet"))</f>
        <v/>
      </c>
      <c r="H307" s="13" t="n"/>
      <c r="I307" s="13" t="n"/>
      <c r="J307" s="15" t="n"/>
      <c r="K307" s="15" t="n"/>
      <c r="L307" s="15" t="n"/>
      <c r="M307" s="14">
        <f>IF(A307="","",IF(N(J307)+N(K307)+N(L307)=0,"Not split",IF(ROUND(N(J307)+N(K307)+N(L307),2)=ROUND(F307,2),"OK","MISMATCH")))</f>
        <v/>
      </c>
      <c r="N307" s="15" t="n"/>
      <c r="O307" s="15" t="n"/>
      <c r="P307" s="15" t="n"/>
      <c r="Q307" s="16">
        <f>IF(A307="","",N(N307)+N(O307)+N(P307))</f>
        <v/>
      </c>
      <c r="R307" s="16">
        <f>IF(A307="","",F307-Q307)</f>
        <v/>
      </c>
      <c r="S307" s="46">
        <f>IFERROR(R307/F307,"")</f>
        <v/>
      </c>
      <c r="T307" s="13" t="n"/>
    </row>
    <row r="308" ht="15" customHeight="1">
      <c r="A308" s="13" t="n"/>
      <c r="B308" s="14">
        <f>IF(A308="","",IF(COUNTIF(lst_Jobs,A308&amp;"")&gt;0,"OK","CHECK"))</f>
        <v/>
      </c>
      <c r="C308" s="14">
        <f>IF(A308="","",IFERROR(INDEX(lst_JobName,MATCH(A308&amp;"",lst_Jobs,0)),""))</f>
        <v/>
      </c>
      <c r="D308" s="14">
        <f>IF(A308="","",IFERROR(INDEX(tbl_Finance[Client],MATCH(A308&amp;"",tbl_Finance[Job Number],0)),""))</f>
        <v/>
      </c>
      <c r="E308" s="44">
        <f>IF(A308="","",COUNTIFS(tbl_Finance[Job Number],A308&amp;"",tbl_Finance[Ex GST],"&lt;&gt;"))</f>
        <v/>
      </c>
      <c r="F308" s="16">
        <f>IF(A308="","",SUMIFS(tbl_Finance[Ex GST],tbl_Finance[Job Number],A308&amp;""))</f>
        <v/>
      </c>
      <c r="G308" s="14">
        <f>IF(A308="","",IFERROR(INDEX(tbl_Finance[Cost Centre],MATCH(A308&amp;"",tbl_Finance[Job Number],0)),"not invoiced yet"))</f>
        <v/>
      </c>
      <c r="H308" s="13" t="n"/>
      <c r="I308" s="13" t="n"/>
      <c r="J308" s="15" t="n"/>
      <c r="K308" s="15" t="n"/>
      <c r="L308" s="15" t="n"/>
      <c r="M308" s="14">
        <f>IF(A308="","",IF(N(J308)+N(K308)+N(L308)=0,"Not split",IF(ROUND(N(J308)+N(K308)+N(L308),2)=ROUND(F308,2),"OK","MISMATCH")))</f>
        <v/>
      </c>
      <c r="N308" s="15" t="n"/>
      <c r="O308" s="15" t="n"/>
      <c r="P308" s="15" t="n"/>
      <c r="Q308" s="16">
        <f>IF(A308="","",N(N308)+N(O308)+N(P308))</f>
        <v/>
      </c>
      <c r="R308" s="16">
        <f>IF(A308="","",F308-Q308)</f>
        <v/>
      </c>
      <c r="S308" s="46">
        <f>IFERROR(R308/F308,"")</f>
        <v/>
      </c>
      <c r="T308" s="13" t="n"/>
    </row>
    <row r="309" ht="15" customHeight="1">
      <c r="A309" s="13" t="n"/>
      <c r="B309" s="14">
        <f>IF(A309="","",IF(COUNTIF(lst_Jobs,A309&amp;"")&gt;0,"OK","CHECK"))</f>
        <v/>
      </c>
      <c r="C309" s="14">
        <f>IF(A309="","",IFERROR(INDEX(lst_JobName,MATCH(A309&amp;"",lst_Jobs,0)),""))</f>
        <v/>
      </c>
      <c r="D309" s="14">
        <f>IF(A309="","",IFERROR(INDEX(tbl_Finance[Client],MATCH(A309&amp;"",tbl_Finance[Job Number],0)),""))</f>
        <v/>
      </c>
      <c r="E309" s="44">
        <f>IF(A309="","",COUNTIFS(tbl_Finance[Job Number],A309&amp;"",tbl_Finance[Ex GST],"&lt;&gt;"))</f>
        <v/>
      </c>
      <c r="F309" s="16">
        <f>IF(A309="","",SUMIFS(tbl_Finance[Ex GST],tbl_Finance[Job Number],A309&amp;""))</f>
        <v/>
      </c>
      <c r="G309" s="14">
        <f>IF(A309="","",IFERROR(INDEX(tbl_Finance[Cost Centre],MATCH(A309&amp;"",tbl_Finance[Job Number],0)),"not invoiced yet"))</f>
        <v/>
      </c>
      <c r="H309" s="13" t="n"/>
      <c r="I309" s="13" t="n"/>
      <c r="J309" s="15" t="n"/>
      <c r="K309" s="15" t="n"/>
      <c r="L309" s="15" t="n"/>
      <c r="M309" s="14">
        <f>IF(A309="","",IF(N(J309)+N(K309)+N(L309)=0,"Not split",IF(ROUND(N(J309)+N(K309)+N(L309),2)=ROUND(F309,2),"OK","MISMATCH")))</f>
        <v/>
      </c>
      <c r="N309" s="15" t="n"/>
      <c r="O309" s="15" t="n"/>
      <c r="P309" s="15" t="n"/>
      <c r="Q309" s="16">
        <f>IF(A309="","",N(N309)+N(O309)+N(P309))</f>
        <v/>
      </c>
      <c r="R309" s="16">
        <f>IF(A309="","",F309-Q309)</f>
        <v/>
      </c>
      <c r="S309" s="46">
        <f>IFERROR(R309/F309,"")</f>
        <v/>
      </c>
      <c r="T309" s="13" t="n"/>
    </row>
    <row r="310" ht="15" customHeight="1">
      <c r="A310" s="13" t="n"/>
      <c r="B310" s="14">
        <f>IF(A310="","",IF(COUNTIF(lst_Jobs,A310&amp;"")&gt;0,"OK","CHECK"))</f>
        <v/>
      </c>
      <c r="C310" s="14">
        <f>IF(A310="","",IFERROR(INDEX(lst_JobName,MATCH(A310&amp;"",lst_Jobs,0)),""))</f>
        <v/>
      </c>
      <c r="D310" s="14">
        <f>IF(A310="","",IFERROR(INDEX(tbl_Finance[Client],MATCH(A310&amp;"",tbl_Finance[Job Number],0)),""))</f>
        <v/>
      </c>
      <c r="E310" s="44">
        <f>IF(A310="","",COUNTIFS(tbl_Finance[Job Number],A310&amp;"",tbl_Finance[Ex GST],"&lt;&gt;"))</f>
        <v/>
      </c>
      <c r="F310" s="16">
        <f>IF(A310="","",SUMIFS(tbl_Finance[Ex GST],tbl_Finance[Job Number],A310&amp;""))</f>
        <v/>
      </c>
      <c r="G310" s="14">
        <f>IF(A310="","",IFERROR(INDEX(tbl_Finance[Cost Centre],MATCH(A310&amp;"",tbl_Finance[Job Number],0)),"not invoiced yet"))</f>
        <v/>
      </c>
      <c r="H310" s="13" t="n"/>
      <c r="I310" s="13" t="n"/>
      <c r="J310" s="15" t="n"/>
      <c r="K310" s="15" t="n"/>
      <c r="L310" s="15" t="n"/>
      <c r="M310" s="14">
        <f>IF(A310="","",IF(N(J310)+N(K310)+N(L310)=0,"Not split",IF(ROUND(N(J310)+N(K310)+N(L310),2)=ROUND(F310,2),"OK","MISMATCH")))</f>
        <v/>
      </c>
      <c r="N310" s="15" t="n"/>
      <c r="O310" s="15" t="n"/>
      <c r="P310" s="15" t="n"/>
      <c r="Q310" s="16">
        <f>IF(A310="","",N(N310)+N(O310)+N(P310))</f>
        <v/>
      </c>
      <c r="R310" s="16">
        <f>IF(A310="","",F310-Q310)</f>
        <v/>
      </c>
      <c r="S310" s="46">
        <f>IFERROR(R310/F310,"")</f>
        <v/>
      </c>
      <c r="T310" s="13" t="n"/>
    </row>
    <row r="311" ht="15" customHeight="1">
      <c r="A311" s="13" t="n"/>
      <c r="B311" s="14">
        <f>IF(A311="","",IF(COUNTIF(lst_Jobs,A311&amp;"")&gt;0,"OK","CHECK"))</f>
        <v/>
      </c>
      <c r="C311" s="14">
        <f>IF(A311="","",IFERROR(INDEX(lst_JobName,MATCH(A311&amp;"",lst_Jobs,0)),""))</f>
        <v/>
      </c>
      <c r="D311" s="14">
        <f>IF(A311="","",IFERROR(INDEX(tbl_Finance[Client],MATCH(A311&amp;"",tbl_Finance[Job Number],0)),""))</f>
        <v/>
      </c>
      <c r="E311" s="44">
        <f>IF(A311="","",COUNTIFS(tbl_Finance[Job Number],A311&amp;"",tbl_Finance[Ex GST],"&lt;&gt;"))</f>
        <v/>
      </c>
      <c r="F311" s="16">
        <f>IF(A311="","",SUMIFS(tbl_Finance[Ex GST],tbl_Finance[Job Number],A311&amp;""))</f>
        <v/>
      </c>
      <c r="G311" s="14">
        <f>IF(A311="","",IFERROR(INDEX(tbl_Finance[Cost Centre],MATCH(A311&amp;"",tbl_Finance[Job Number],0)),"not invoiced yet"))</f>
        <v/>
      </c>
      <c r="H311" s="13" t="n"/>
      <c r="I311" s="13" t="n"/>
      <c r="J311" s="15" t="n"/>
      <c r="K311" s="15" t="n"/>
      <c r="L311" s="15" t="n"/>
      <c r="M311" s="14">
        <f>IF(A311="","",IF(N(J311)+N(K311)+N(L311)=0,"Not split",IF(ROUND(N(J311)+N(K311)+N(L311),2)=ROUND(F311,2),"OK","MISMATCH")))</f>
        <v/>
      </c>
      <c r="N311" s="15" t="n"/>
      <c r="O311" s="15" t="n"/>
      <c r="P311" s="15" t="n"/>
      <c r="Q311" s="16">
        <f>IF(A311="","",N(N311)+N(O311)+N(P311))</f>
        <v/>
      </c>
      <c r="R311" s="16">
        <f>IF(A311="","",F311-Q311)</f>
        <v/>
      </c>
      <c r="S311" s="46">
        <f>IFERROR(R311/F311,"")</f>
        <v/>
      </c>
      <c r="T311" s="13" t="n"/>
    </row>
    <row r="312" ht="15" customHeight="1">
      <c r="A312" s="13" t="n"/>
      <c r="B312" s="14">
        <f>IF(A312="","",IF(COUNTIF(lst_Jobs,A312&amp;"")&gt;0,"OK","CHECK"))</f>
        <v/>
      </c>
      <c r="C312" s="14">
        <f>IF(A312="","",IFERROR(INDEX(lst_JobName,MATCH(A312&amp;"",lst_Jobs,0)),""))</f>
        <v/>
      </c>
      <c r="D312" s="14">
        <f>IF(A312="","",IFERROR(INDEX(tbl_Finance[Client],MATCH(A312&amp;"",tbl_Finance[Job Number],0)),""))</f>
        <v/>
      </c>
      <c r="E312" s="44">
        <f>IF(A312="","",COUNTIFS(tbl_Finance[Job Number],A312&amp;"",tbl_Finance[Ex GST],"&lt;&gt;"))</f>
        <v/>
      </c>
      <c r="F312" s="16">
        <f>IF(A312="","",SUMIFS(tbl_Finance[Ex GST],tbl_Finance[Job Number],A312&amp;""))</f>
        <v/>
      </c>
      <c r="G312" s="14">
        <f>IF(A312="","",IFERROR(INDEX(tbl_Finance[Cost Centre],MATCH(A312&amp;"",tbl_Finance[Job Number],0)),"not invoiced yet"))</f>
        <v/>
      </c>
      <c r="H312" s="13" t="n"/>
      <c r="I312" s="13" t="n"/>
      <c r="J312" s="15" t="n"/>
      <c r="K312" s="15" t="n"/>
      <c r="L312" s="15" t="n"/>
      <c r="M312" s="14">
        <f>IF(A312="","",IF(N(J312)+N(K312)+N(L312)=0,"Not split",IF(ROUND(N(J312)+N(K312)+N(L312),2)=ROUND(F312,2),"OK","MISMATCH")))</f>
        <v/>
      </c>
      <c r="N312" s="15" t="n"/>
      <c r="O312" s="15" t="n"/>
      <c r="P312" s="15" t="n"/>
      <c r="Q312" s="16">
        <f>IF(A312="","",N(N312)+N(O312)+N(P312))</f>
        <v/>
      </c>
      <c r="R312" s="16">
        <f>IF(A312="","",F312-Q312)</f>
        <v/>
      </c>
      <c r="S312" s="46">
        <f>IFERROR(R312/F312,"")</f>
        <v/>
      </c>
      <c r="T312" s="13" t="n"/>
    </row>
    <row r="313" ht="15" customHeight="1">
      <c r="A313" s="13" t="n"/>
      <c r="B313" s="14">
        <f>IF(A313="","",IF(COUNTIF(lst_Jobs,A313&amp;"")&gt;0,"OK","CHECK"))</f>
        <v/>
      </c>
      <c r="C313" s="14">
        <f>IF(A313="","",IFERROR(INDEX(lst_JobName,MATCH(A313&amp;"",lst_Jobs,0)),""))</f>
        <v/>
      </c>
      <c r="D313" s="14">
        <f>IF(A313="","",IFERROR(INDEX(tbl_Finance[Client],MATCH(A313&amp;"",tbl_Finance[Job Number],0)),""))</f>
        <v/>
      </c>
      <c r="E313" s="44">
        <f>IF(A313="","",COUNTIFS(tbl_Finance[Job Number],A313&amp;"",tbl_Finance[Ex GST],"&lt;&gt;"))</f>
        <v/>
      </c>
      <c r="F313" s="16">
        <f>IF(A313="","",SUMIFS(tbl_Finance[Ex GST],tbl_Finance[Job Number],A313&amp;""))</f>
        <v/>
      </c>
      <c r="G313" s="14">
        <f>IF(A313="","",IFERROR(INDEX(tbl_Finance[Cost Centre],MATCH(A313&amp;"",tbl_Finance[Job Number],0)),"not invoiced yet"))</f>
        <v/>
      </c>
      <c r="H313" s="13" t="n"/>
      <c r="I313" s="13" t="n"/>
      <c r="J313" s="15" t="n"/>
      <c r="K313" s="15" t="n"/>
      <c r="L313" s="15" t="n"/>
      <c r="M313" s="14">
        <f>IF(A313="","",IF(N(J313)+N(K313)+N(L313)=0,"Not split",IF(ROUND(N(J313)+N(K313)+N(L313),2)=ROUND(F313,2),"OK","MISMATCH")))</f>
        <v/>
      </c>
      <c r="N313" s="15" t="n"/>
      <c r="O313" s="15" t="n"/>
      <c r="P313" s="15" t="n"/>
      <c r="Q313" s="16">
        <f>IF(A313="","",N(N313)+N(O313)+N(P313))</f>
        <v/>
      </c>
      <c r="R313" s="16">
        <f>IF(A313="","",F313-Q313)</f>
        <v/>
      </c>
      <c r="S313" s="46">
        <f>IFERROR(R313/F313,"")</f>
        <v/>
      </c>
      <c r="T313" s="13" t="n"/>
    </row>
    <row r="314" ht="15" customHeight="1">
      <c r="A314" s="13" t="n"/>
      <c r="B314" s="14">
        <f>IF(A314="","",IF(COUNTIF(lst_Jobs,A314&amp;"")&gt;0,"OK","CHECK"))</f>
        <v/>
      </c>
      <c r="C314" s="14">
        <f>IF(A314="","",IFERROR(INDEX(lst_JobName,MATCH(A314&amp;"",lst_Jobs,0)),""))</f>
        <v/>
      </c>
      <c r="D314" s="14">
        <f>IF(A314="","",IFERROR(INDEX(tbl_Finance[Client],MATCH(A314&amp;"",tbl_Finance[Job Number],0)),""))</f>
        <v/>
      </c>
      <c r="E314" s="44">
        <f>IF(A314="","",COUNTIFS(tbl_Finance[Job Number],A314&amp;"",tbl_Finance[Ex GST],"&lt;&gt;"))</f>
        <v/>
      </c>
      <c r="F314" s="16">
        <f>IF(A314="","",SUMIFS(tbl_Finance[Ex GST],tbl_Finance[Job Number],A314&amp;""))</f>
        <v/>
      </c>
      <c r="G314" s="14">
        <f>IF(A314="","",IFERROR(INDEX(tbl_Finance[Cost Centre],MATCH(A314&amp;"",tbl_Finance[Job Number],0)),"not invoiced yet"))</f>
        <v/>
      </c>
      <c r="H314" s="13" t="n"/>
      <c r="I314" s="13" t="n"/>
      <c r="J314" s="15" t="n"/>
      <c r="K314" s="15" t="n"/>
      <c r="L314" s="15" t="n"/>
      <c r="M314" s="14">
        <f>IF(A314="","",IF(N(J314)+N(K314)+N(L314)=0,"Not split",IF(ROUND(N(J314)+N(K314)+N(L314),2)=ROUND(F314,2),"OK","MISMATCH")))</f>
        <v/>
      </c>
      <c r="N314" s="15" t="n"/>
      <c r="O314" s="15" t="n"/>
      <c r="P314" s="15" t="n"/>
      <c r="Q314" s="16">
        <f>IF(A314="","",N(N314)+N(O314)+N(P314))</f>
        <v/>
      </c>
      <c r="R314" s="16">
        <f>IF(A314="","",F314-Q314)</f>
        <v/>
      </c>
      <c r="S314" s="46">
        <f>IFERROR(R314/F314,"")</f>
        <v/>
      </c>
      <c r="T314" s="13" t="n"/>
    </row>
    <row r="315" ht="15" customHeight="1">
      <c r="A315" s="13" t="n"/>
      <c r="B315" s="14">
        <f>IF(A315="","",IF(COUNTIF(lst_Jobs,A315&amp;"")&gt;0,"OK","CHECK"))</f>
        <v/>
      </c>
      <c r="C315" s="14">
        <f>IF(A315="","",IFERROR(INDEX(lst_JobName,MATCH(A315&amp;"",lst_Jobs,0)),""))</f>
        <v/>
      </c>
      <c r="D315" s="14">
        <f>IF(A315="","",IFERROR(INDEX(tbl_Finance[Client],MATCH(A315&amp;"",tbl_Finance[Job Number],0)),""))</f>
        <v/>
      </c>
      <c r="E315" s="44">
        <f>IF(A315="","",COUNTIFS(tbl_Finance[Job Number],A315&amp;"",tbl_Finance[Ex GST],"&lt;&gt;"))</f>
        <v/>
      </c>
      <c r="F315" s="16">
        <f>IF(A315="","",SUMIFS(tbl_Finance[Ex GST],tbl_Finance[Job Number],A315&amp;""))</f>
        <v/>
      </c>
      <c r="G315" s="14">
        <f>IF(A315="","",IFERROR(INDEX(tbl_Finance[Cost Centre],MATCH(A315&amp;"",tbl_Finance[Job Number],0)),"not invoiced yet"))</f>
        <v/>
      </c>
      <c r="H315" s="13" t="n"/>
      <c r="I315" s="13" t="n"/>
      <c r="J315" s="15" t="n"/>
      <c r="K315" s="15" t="n"/>
      <c r="L315" s="15" t="n"/>
      <c r="M315" s="14">
        <f>IF(A315="","",IF(N(J315)+N(K315)+N(L315)=0,"Not split",IF(ROUND(N(J315)+N(K315)+N(L315),2)=ROUND(F315,2),"OK","MISMATCH")))</f>
        <v/>
      </c>
      <c r="N315" s="15" t="n"/>
      <c r="O315" s="15" t="n"/>
      <c r="P315" s="15" t="n"/>
      <c r="Q315" s="16">
        <f>IF(A315="","",N(N315)+N(O315)+N(P315))</f>
        <v/>
      </c>
      <c r="R315" s="16">
        <f>IF(A315="","",F315-Q315)</f>
        <v/>
      </c>
      <c r="S315" s="46">
        <f>IFERROR(R315/F315,"")</f>
        <v/>
      </c>
      <c r="T315" s="13" t="n"/>
    </row>
    <row r="316" ht="15" customHeight="1">
      <c r="A316" s="13" t="n"/>
      <c r="B316" s="14">
        <f>IF(A316="","",IF(COUNTIF(lst_Jobs,A316&amp;"")&gt;0,"OK","CHECK"))</f>
        <v/>
      </c>
      <c r="C316" s="14">
        <f>IF(A316="","",IFERROR(INDEX(lst_JobName,MATCH(A316&amp;"",lst_Jobs,0)),""))</f>
        <v/>
      </c>
      <c r="D316" s="14">
        <f>IF(A316="","",IFERROR(INDEX(tbl_Finance[Client],MATCH(A316&amp;"",tbl_Finance[Job Number],0)),""))</f>
        <v/>
      </c>
      <c r="E316" s="44">
        <f>IF(A316="","",COUNTIFS(tbl_Finance[Job Number],A316&amp;"",tbl_Finance[Ex GST],"&lt;&gt;"))</f>
        <v/>
      </c>
      <c r="F316" s="16">
        <f>IF(A316="","",SUMIFS(tbl_Finance[Ex GST],tbl_Finance[Job Number],A316&amp;""))</f>
        <v/>
      </c>
      <c r="G316" s="14">
        <f>IF(A316="","",IFERROR(INDEX(tbl_Finance[Cost Centre],MATCH(A316&amp;"",tbl_Finance[Job Number],0)),"not invoiced yet"))</f>
        <v/>
      </c>
      <c r="H316" s="13" t="n"/>
      <c r="I316" s="13" t="n"/>
      <c r="J316" s="15" t="n"/>
      <c r="K316" s="15" t="n"/>
      <c r="L316" s="15" t="n"/>
      <c r="M316" s="14">
        <f>IF(A316="","",IF(N(J316)+N(K316)+N(L316)=0,"Not split",IF(ROUND(N(J316)+N(K316)+N(L316),2)=ROUND(F316,2),"OK","MISMATCH")))</f>
        <v/>
      </c>
      <c r="N316" s="15" t="n"/>
      <c r="O316" s="15" t="n"/>
      <c r="P316" s="15" t="n"/>
      <c r="Q316" s="16">
        <f>IF(A316="","",N(N316)+N(O316)+N(P316))</f>
        <v/>
      </c>
      <c r="R316" s="16">
        <f>IF(A316="","",F316-Q316)</f>
        <v/>
      </c>
      <c r="S316" s="46">
        <f>IFERROR(R316/F316,"")</f>
        <v/>
      </c>
      <c r="T316" s="13" t="n"/>
    </row>
    <row r="317" ht="15" customHeight="1">
      <c r="A317" s="13" t="n"/>
      <c r="B317" s="14">
        <f>IF(A317="","",IF(COUNTIF(lst_Jobs,A317&amp;"")&gt;0,"OK","CHECK"))</f>
        <v/>
      </c>
      <c r="C317" s="14">
        <f>IF(A317="","",IFERROR(INDEX(lst_JobName,MATCH(A317&amp;"",lst_Jobs,0)),""))</f>
        <v/>
      </c>
      <c r="D317" s="14">
        <f>IF(A317="","",IFERROR(INDEX(tbl_Finance[Client],MATCH(A317&amp;"",tbl_Finance[Job Number],0)),""))</f>
        <v/>
      </c>
      <c r="E317" s="44">
        <f>IF(A317="","",COUNTIFS(tbl_Finance[Job Number],A317&amp;"",tbl_Finance[Ex GST],"&lt;&gt;"))</f>
        <v/>
      </c>
      <c r="F317" s="16">
        <f>IF(A317="","",SUMIFS(tbl_Finance[Ex GST],tbl_Finance[Job Number],A317&amp;""))</f>
        <v/>
      </c>
      <c r="G317" s="14">
        <f>IF(A317="","",IFERROR(INDEX(tbl_Finance[Cost Centre],MATCH(A317&amp;"",tbl_Finance[Job Number],0)),"not invoiced yet"))</f>
        <v/>
      </c>
      <c r="H317" s="13" t="n"/>
      <c r="I317" s="13" t="n"/>
      <c r="J317" s="15" t="n"/>
      <c r="K317" s="15" t="n"/>
      <c r="L317" s="15" t="n"/>
      <c r="M317" s="14">
        <f>IF(A317="","",IF(N(J317)+N(K317)+N(L317)=0,"Not split",IF(ROUND(N(J317)+N(K317)+N(L317),2)=ROUND(F317,2),"OK","MISMATCH")))</f>
        <v/>
      </c>
      <c r="N317" s="15" t="n"/>
      <c r="O317" s="15" t="n"/>
      <c r="P317" s="15" t="n"/>
      <c r="Q317" s="16">
        <f>IF(A317="","",N(N317)+N(O317)+N(P317))</f>
        <v/>
      </c>
      <c r="R317" s="16">
        <f>IF(A317="","",F317-Q317)</f>
        <v/>
      </c>
      <c r="S317" s="46">
        <f>IFERROR(R317/F317,"")</f>
        <v/>
      </c>
      <c r="T317" s="13" t="n"/>
    </row>
    <row r="318" ht="15" customHeight="1">
      <c r="A318" s="13" t="n"/>
      <c r="B318" s="14">
        <f>IF(A318="","",IF(COUNTIF(lst_Jobs,A318&amp;"")&gt;0,"OK","CHECK"))</f>
        <v/>
      </c>
      <c r="C318" s="14">
        <f>IF(A318="","",IFERROR(INDEX(lst_JobName,MATCH(A318&amp;"",lst_Jobs,0)),""))</f>
        <v/>
      </c>
      <c r="D318" s="14">
        <f>IF(A318="","",IFERROR(INDEX(tbl_Finance[Client],MATCH(A318&amp;"",tbl_Finance[Job Number],0)),""))</f>
        <v/>
      </c>
      <c r="E318" s="44">
        <f>IF(A318="","",COUNTIFS(tbl_Finance[Job Number],A318&amp;"",tbl_Finance[Ex GST],"&lt;&gt;"))</f>
        <v/>
      </c>
      <c r="F318" s="16">
        <f>IF(A318="","",SUMIFS(tbl_Finance[Ex GST],tbl_Finance[Job Number],A318&amp;""))</f>
        <v/>
      </c>
      <c r="G318" s="14">
        <f>IF(A318="","",IFERROR(INDEX(tbl_Finance[Cost Centre],MATCH(A318&amp;"",tbl_Finance[Job Number],0)),"not invoiced yet"))</f>
        <v/>
      </c>
      <c r="H318" s="13" t="n"/>
      <c r="I318" s="13" t="n"/>
      <c r="J318" s="15" t="n"/>
      <c r="K318" s="15" t="n"/>
      <c r="L318" s="15" t="n"/>
      <c r="M318" s="14">
        <f>IF(A318="","",IF(N(J318)+N(K318)+N(L318)=0,"Not split",IF(ROUND(N(J318)+N(K318)+N(L318),2)=ROUND(F318,2),"OK","MISMATCH")))</f>
        <v/>
      </c>
      <c r="N318" s="15" t="n"/>
      <c r="O318" s="15" t="n"/>
      <c r="P318" s="15" t="n"/>
      <c r="Q318" s="16">
        <f>IF(A318="","",N(N318)+N(O318)+N(P318))</f>
        <v/>
      </c>
      <c r="R318" s="16">
        <f>IF(A318="","",F318-Q318)</f>
        <v/>
      </c>
      <c r="S318" s="46">
        <f>IFERROR(R318/F318,"")</f>
        <v/>
      </c>
      <c r="T318" s="13" t="n"/>
    </row>
    <row r="319" ht="15" customHeight="1">
      <c r="A319" s="13" t="n"/>
      <c r="B319" s="14">
        <f>IF(A319="","",IF(COUNTIF(lst_Jobs,A319&amp;"")&gt;0,"OK","CHECK"))</f>
        <v/>
      </c>
      <c r="C319" s="14">
        <f>IF(A319="","",IFERROR(INDEX(lst_JobName,MATCH(A319&amp;"",lst_Jobs,0)),""))</f>
        <v/>
      </c>
      <c r="D319" s="14">
        <f>IF(A319="","",IFERROR(INDEX(tbl_Finance[Client],MATCH(A319&amp;"",tbl_Finance[Job Number],0)),""))</f>
        <v/>
      </c>
      <c r="E319" s="44">
        <f>IF(A319="","",COUNTIFS(tbl_Finance[Job Number],A319&amp;"",tbl_Finance[Ex GST],"&lt;&gt;"))</f>
        <v/>
      </c>
      <c r="F319" s="16">
        <f>IF(A319="","",SUMIFS(tbl_Finance[Ex GST],tbl_Finance[Job Number],A319&amp;""))</f>
        <v/>
      </c>
      <c r="G319" s="14">
        <f>IF(A319="","",IFERROR(INDEX(tbl_Finance[Cost Centre],MATCH(A319&amp;"",tbl_Finance[Job Number],0)),"not invoiced yet"))</f>
        <v/>
      </c>
      <c r="H319" s="13" t="n"/>
      <c r="I319" s="13" t="n"/>
      <c r="J319" s="15" t="n"/>
      <c r="K319" s="15" t="n"/>
      <c r="L319" s="15" t="n"/>
      <c r="M319" s="14">
        <f>IF(A319="","",IF(N(J319)+N(K319)+N(L319)=0,"Not split",IF(ROUND(N(J319)+N(K319)+N(L319),2)=ROUND(F319,2),"OK","MISMATCH")))</f>
        <v/>
      </c>
      <c r="N319" s="15" t="n"/>
      <c r="O319" s="15" t="n"/>
      <c r="P319" s="15" t="n"/>
      <c r="Q319" s="16">
        <f>IF(A319="","",N(N319)+N(O319)+N(P319))</f>
        <v/>
      </c>
      <c r="R319" s="16">
        <f>IF(A319="","",F319-Q319)</f>
        <v/>
      </c>
      <c r="S319" s="46">
        <f>IFERROR(R319/F319,"")</f>
        <v/>
      </c>
      <c r="T319" s="13" t="n"/>
    </row>
    <row r="320" ht="15" customHeight="1">
      <c r="A320" s="13" t="n"/>
      <c r="B320" s="14">
        <f>IF(A320="","",IF(COUNTIF(lst_Jobs,A320&amp;"")&gt;0,"OK","CHECK"))</f>
        <v/>
      </c>
      <c r="C320" s="14">
        <f>IF(A320="","",IFERROR(INDEX(lst_JobName,MATCH(A320&amp;"",lst_Jobs,0)),""))</f>
        <v/>
      </c>
      <c r="D320" s="14">
        <f>IF(A320="","",IFERROR(INDEX(tbl_Finance[Client],MATCH(A320&amp;"",tbl_Finance[Job Number],0)),""))</f>
        <v/>
      </c>
      <c r="E320" s="44">
        <f>IF(A320="","",COUNTIFS(tbl_Finance[Job Number],A320&amp;"",tbl_Finance[Ex GST],"&lt;&gt;"))</f>
        <v/>
      </c>
      <c r="F320" s="16">
        <f>IF(A320="","",SUMIFS(tbl_Finance[Ex GST],tbl_Finance[Job Number],A320&amp;""))</f>
        <v/>
      </c>
      <c r="G320" s="14">
        <f>IF(A320="","",IFERROR(INDEX(tbl_Finance[Cost Centre],MATCH(A320&amp;"",tbl_Finance[Job Number],0)),"not invoiced yet"))</f>
        <v/>
      </c>
      <c r="H320" s="13" t="n"/>
      <c r="I320" s="13" t="n"/>
      <c r="J320" s="15" t="n"/>
      <c r="K320" s="15" t="n"/>
      <c r="L320" s="15" t="n"/>
      <c r="M320" s="14">
        <f>IF(A320="","",IF(N(J320)+N(K320)+N(L320)=0,"Not split",IF(ROUND(N(J320)+N(K320)+N(L320),2)=ROUND(F320,2),"OK","MISMATCH")))</f>
        <v/>
      </c>
      <c r="N320" s="15" t="n"/>
      <c r="O320" s="15" t="n"/>
      <c r="P320" s="15" t="n"/>
      <c r="Q320" s="16">
        <f>IF(A320="","",N(N320)+N(O320)+N(P320))</f>
        <v/>
      </c>
      <c r="R320" s="16">
        <f>IF(A320="","",F320-Q320)</f>
        <v/>
      </c>
      <c r="S320" s="46">
        <f>IFERROR(R320/F320,"")</f>
        <v/>
      </c>
      <c r="T320" s="13" t="n"/>
    </row>
    <row r="321" ht="15" customHeight="1">
      <c r="A321" s="13" t="n"/>
      <c r="B321" s="14">
        <f>IF(A321="","",IF(COUNTIF(lst_Jobs,A321&amp;"")&gt;0,"OK","CHECK"))</f>
        <v/>
      </c>
      <c r="C321" s="14">
        <f>IF(A321="","",IFERROR(INDEX(lst_JobName,MATCH(A321&amp;"",lst_Jobs,0)),""))</f>
        <v/>
      </c>
      <c r="D321" s="14">
        <f>IF(A321="","",IFERROR(INDEX(tbl_Finance[Client],MATCH(A321&amp;"",tbl_Finance[Job Number],0)),""))</f>
        <v/>
      </c>
      <c r="E321" s="44">
        <f>IF(A321="","",COUNTIFS(tbl_Finance[Job Number],A321&amp;"",tbl_Finance[Ex GST],"&lt;&gt;"))</f>
        <v/>
      </c>
      <c r="F321" s="16">
        <f>IF(A321="","",SUMIFS(tbl_Finance[Ex GST],tbl_Finance[Job Number],A321&amp;""))</f>
        <v/>
      </c>
      <c r="G321" s="14">
        <f>IF(A321="","",IFERROR(INDEX(tbl_Finance[Cost Centre],MATCH(A321&amp;"",tbl_Finance[Job Number],0)),"not invoiced yet"))</f>
        <v/>
      </c>
      <c r="H321" s="13" t="n"/>
      <c r="I321" s="13" t="n"/>
      <c r="J321" s="15" t="n"/>
      <c r="K321" s="15" t="n"/>
      <c r="L321" s="15" t="n"/>
      <c r="M321" s="14">
        <f>IF(A321="","",IF(N(J321)+N(K321)+N(L321)=0,"Not split",IF(ROUND(N(J321)+N(K321)+N(L321),2)=ROUND(F321,2),"OK","MISMATCH")))</f>
        <v/>
      </c>
      <c r="N321" s="15" t="n"/>
      <c r="O321" s="15" t="n"/>
      <c r="P321" s="15" t="n"/>
      <c r="Q321" s="16">
        <f>IF(A321="","",N(N321)+N(O321)+N(P321))</f>
        <v/>
      </c>
      <c r="R321" s="16">
        <f>IF(A321="","",F321-Q321)</f>
        <v/>
      </c>
      <c r="S321" s="46">
        <f>IFERROR(R321/F321,"")</f>
        <v/>
      </c>
      <c r="T321" s="13" t="n"/>
    </row>
    <row r="322" ht="15" customHeight="1">
      <c r="A322" s="13" t="n"/>
      <c r="B322" s="14">
        <f>IF(A322="","",IF(COUNTIF(lst_Jobs,A322&amp;"")&gt;0,"OK","CHECK"))</f>
        <v/>
      </c>
      <c r="C322" s="14">
        <f>IF(A322="","",IFERROR(INDEX(lst_JobName,MATCH(A322&amp;"",lst_Jobs,0)),""))</f>
        <v/>
      </c>
      <c r="D322" s="14">
        <f>IF(A322="","",IFERROR(INDEX(tbl_Finance[Client],MATCH(A322&amp;"",tbl_Finance[Job Number],0)),""))</f>
        <v/>
      </c>
      <c r="E322" s="44">
        <f>IF(A322="","",COUNTIFS(tbl_Finance[Job Number],A322&amp;"",tbl_Finance[Ex GST],"&lt;&gt;"))</f>
        <v/>
      </c>
      <c r="F322" s="16">
        <f>IF(A322="","",SUMIFS(tbl_Finance[Ex GST],tbl_Finance[Job Number],A322&amp;""))</f>
        <v/>
      </c>
      <c r="G322" s="14">
        <f>IF(A322="","",IFERROR(INDEX(tbl_Finance[Cost Centre],MATCH(A322&amp;"",tbl_Finance[Job Number],0)),"not invoiced yet"))</f>
        <v/>
      </c>
      <c r="H322" s="13" t="n"/>
      <c r="I322" s="13" t="n"/>
      <c r="J322" s="15" t="n"/>
      <c r="K322" s="15" t="n"/>
      <c r="L322" s="15" t="n"/>
      <c r="M322" s="14">
        <f>IF(A322="","",IF(N(J322)+N(K322)+N(L322)=0,"Not split",IF(ROUND(N(J322)+N(K322)+N(L322),2)=ROUND(F322,2),"OK","MISMATCH")))</f>
        <v/>
      </c>
      <c r="N322" s="15" t="n"/>
      <c r="O322" s="15" t="n"/>
      <c r="P322" s="15" t="n"/>
      <c r="Q322" s="16">
        <f>IF(A322="","",N(N322)+N(O322)+N(P322))</f>
        <v/>
      </c>
      <c r="R322" s="16">
        <f>IF(A322="","",F322-Q322)</f>
        <v/>
      </c>
      <c r="S322" s="46">
        <f>IFERROR(R322/F322,"")</f>
        <v/>
      </c>
      <c r="T322" s="13" t="n"/>
    </row>
    <row r="323" ht="15" customHeight="1">
      <c r="A323" s="13" t="n"/>
      <c r="B323" s="14">
        <f>IF(A323="","",IF(COUNTIF(lst_Jobs,A323&amp;"")&gt;0,"OK","CHECK"))</f>
        <v/>
      </c>
      <c r="C323" s="14">
        <f>IF(A323="","",IFERROR(INDEX(lst_JobName,MATCH(A323&amp;"",lst_Jobs,0)),""))</f>
        <v/>
      </c>
      <c r="D323" s="14">
        <f>IF(A323="","",IFERROR(INDEX(tbl_Finance[Client],MATCH(A323&amp;"",tbl_Finance[Job Number],0)),""))</f>
        <v/>
      </c>
      <c r="E323" s="44">
        <f>IF(A323="","",COUNTIFS(tbl_Finance[Job Number],A323&amp;"",tbl_Finance[Ex GST],"&lt;&gt;"))</f>
        <v/>
      </c>
      <c r="F323" s="16">
        <f>IF(A323="","",SUMIFS(tbl_Finance[Ex GST],tbl_Finance[Job Number],A323&amp;""))</f>
        <v/>
      </c>
      <c r="G323" s="14">
        <f>IF(A323="","",IFERROR(INDEX(tbl_Finance[Cost Centre],MATCH(A323&amp;"",tbl_Finance[Job Number],0)),"not invoiced yet"))</f>
        <v/>
      </c>
      <c r="H323" s="13" t="n"/>
      <c r="I323" s="13" t="n"/>
      <c r="J323" s="15" t="n"/>
      <c r="K323" s="15" t="n"/>
      <c r="L323" s="15" t="n"/>
      <c r="M323" s="14">
        <f>IF(A323="","",IF(N(J323)+N(K323)+N(L323)=0,"Not split",IF(ROUND(N(J323)+N(K323)+N(L323),2)=ROUND(F323,2),"OK","MISMATCH")))</f>
        <v/>
      </c>
      <c r="N323" s="15" t="n"/>
      <c r="O323" s="15" t="n"/>
      <c r="P323" s="15" t="n"/>
      <c r="Q323" s="16">
        <f>IF(A323="","",N(N323)+N(O323)+N(P323))</f>
        <v/>
      </c>
      <c r="R323" s="16">
        <f>IF(A323="","",F323-Q323)</f>
        <v/>
      </c>
      <c r="S323" s="46">
        <f>IFERROR(R323/F323,"")</f>
        <v/>
      </c>
      <c r="T323" s="13" t="n"/>
    </row>
    <row r="324" ht="15" customHeight="1">
      <c r="A324" s="13" t="n"/>
      <c r="B324" s="14">
        <f>IF(A324="","",IF(COUNTIF(lst_Jobs,A324&amp;"")&gt;0,"OK","CHECK"))</f>
        <v/>
      </c>
      <c r="C324" s="14">
        <f>IF(A324="","",IFERROR(INDEX(lst_JobName,MATCH(A324&amp;"",lst_Jobs,0)),""))</f>
        <v/>
      </c>
      <c r="D324" s="14">
        <f>IF(A324="","",IFERROR(INDEX(tbl_Finance[Client],MATCH(A324&amp;"",tbl_Finance[Job Number],0)),""))</f>
        <v/>
      </c>
      <c r="E324" s="44">
        <f>IF(A324="","",COUNTIFS(tbl_Finance[Job Number],A324&amp;"",tbl_Finance[Ex GST],"&lt;&gt;"))</f>
        <v/>
      </c>
      <c r="F324" s="16">
        <f>IF(A324="","",SUMIFS(tbl_Finance[Ex GST],tbl_Finance[Job Number],A324&amp;""))</f>
        <v/>
      </c>
      <c r="G324" s="14">
        <f>IF(A324="","",IFERROR(INDEX(tbl_Finance[Cost Centre],MATCH(A324&amp;"",tbl_Finance[Job Number],0)),"not invoiced yet"))</f>
        <v/>
      </c>
      <c r="H324" s="13" t="n"/>
      <c r="I324" s="13" t="n"/>
      <c r="J324" s="15" t="n"/>
      <c r="K324" s="15" t="n"/>
      <c r="L324" s="15" t="n"/>
      <c r="M324" s="14">
        <f>IF(A324="","",IF(N(J324)+N(K324)+N(L324)=0,"Not split",IF(ROUND(N(J324)+N(K324)+N(L324),2)=ROUND(F324,2),"OK","MISMATCH")))</f>
        <v/>
      </c>
      <c r="N324" s="15" t="n"/>
      <c r="O324" s="15" t="n"/>
      <c r="P324" s="15" t="n"/>
      <c r="Q324" s="16">
        <f>IF(A324="","",N(N324)+N(O324)+N(P324))</f>
        <v/>
      </c>
      <c r="R324" s="16">
        <f>IF(A324="","",F324-Q324)</f>
        <v/>
      </c>
      <c r="S324" s="46">
        <f>IFERROR(R324/F324,"")</f>
        <v/>
      </c>
      <c r="T324" s="13" t="n"/>
    </row>
    <row r="325" ht="15" customHeight="1">
      <c r="A325" s="13" t="n"/>
      <c r="B325" s="14">
        <f>IF(A325="","",IF(COUNTIF(lst_Jobs,A325&amp;"")&gt;0,"OK","CHECK"))</f>
        <v/>
      </c>
      <c r="C325" s="14">
        <f>IF(A325="","",IFERROR(INDEX(lst_JobName,MATCH(A325&amp;"",lst_Jobs,0)),""))</f>
        <v/>
      </c>
      <c r="D325" s="14">
        <f>IF(A325="","",IFERROR(INDEX(tbl_Finance[Client],MATCH(A325&amp;"",tbl_Finance[Job Number],0)),""))</f>
        <v/>
      </c>
      <c r="E325" s="44">
        <f>IF(A325="","",COUNTIFS(tbl_Finance[Job Number],A325&amp;"",tbl_Finance[Ex GST],"&lt;&gt;"))</f>
        <v/>
      </c>
      <c r="F325" s="16">
        <f>IF(A325="","",SUMIFS(tbl_Finance[Ex GST],tbl_Finance[Job Number],A325&amp;""))</f>
        <v/>
      </c>
      <c r="G325" s="14">
        <f>IF(A325="","",IFERROR(INDEX(tbl_Finance[Cost Centre],MATCH(A325&amp;"",tbl_Finance[Job Number],0)),"not invoiced yet"))</f>
        <v/>
      </c>
      <c r="H325" s="13" t="n"/>
      <c r="I325" s="13" t="n"/>
      <c r="J325" s="15" t="n"/>
      <c r="K325" s="15" t="n"/>
      <c r="L325" s="15" t="n"/>
      <c r="M325" s="14">
        <f>IF(A325="","",IF(N(J325)+N(K325)+N(L325)=0,"Not split",IF(ROUND(N(J325)+N(K325)+N(L325),2)=ROUND(F325,2),"OK","MISMATCH")))</f>
        <v/>
      </c>
      <c r="N325" s="15" t="n"/>
      <c r="O325" s="15" t="n"/>
      <c r="P325" s="15" t="n"/>
      <c r="Q325" s="16">
        <f>IF(A325="","",N(N325)+N(O325)+N(P325))</f>
        <v/>
      </c>
      <c r="R325" s="16">
        <f>IF(A325="","",F325-Q325)</f>
        <v/>
      </c>
      <c r="S325" s="46">
        <f>IFERROR(R325/F325,"")</f>
        <v/>
      </c>
      <c r="T325" s="13" t="n"/>
    </row>
    <row r="326" ht="15" customHeight="1">
      <c r="A326" s="13" t="n"/>
      <c r="B326" s="14">
        <f>IF(A326="","",IF(COUNTIF(lst_Jobs,A326&amp;"")&gt;0,"OK","CHECK"))</f>
        <v/>
      </c>
      <c r="C326" s="14">
        <f>IF(A326="","",IFERROR(INDEX(lst_JobName,MATCH(A326&amp;"",lst_Jobs,0)),""))</f>
        <v/>
      </c>
      <c r="D326" s="14">
        <f>IF(A326="","",IFERROR(INDEX(tbl_Finance[Client],MATCH(A326&amp;"",tbl_Finance[Job Number],0)),""))</f>
        <v/>
      </c>
      <c r="E326" s="44">
        <f>IF(A326="","",COUNTIFS(tbl_Finance[Job Number],A326&amp;"",tbl_Finance[Ex GST],"&lt;&gt;"))</f>
        <v/>
      </c>
      <c r="F326" s="16">
        <f>IF(A326="","",SUMIFS(tbl_Finance[Ex GST],tbl_Finance[Job Number],A326&amp;""))</f>
        <v/>
      </c>
      <c r="G326" s="14">
        <f>IF(A326="","",IFERROR(INDEX(tbl_Finance[Cost Centre],MATCH(A326&amp;"",tbl_Finance[Job Number],0)),"not invoiced yet"))</f>
        <v/>
      </c>
      <c r="H326" s="13" t="n"/>
      <c r="I326" s="13" t="n"/>
      <c r="J326" s="15" t="n"/>
      <c r="K326" s="15" t="n"/>
      <c r="L326" s="15" t="n"/>
      <c r="M326" s="14">
        <f>IF(A326="","",IF(N(J326)+N(K326)+N(L326)=0,"Not split",IF(ROUND(N(J326)+N(K326)+N(L326),2)=ROUND(F326,2),"OK","MISMATCH")))</f>
        <v/>
      </c>
      <c r="N326" s="15" t="n"/>
      <c r="O326" s="15" t="n"/>
      <c r="P326" s="15" t="n"/>
      <c r="Q326" s="16">
        <f>IF(A326="","",N(N326)+N(O326)+N(P326))</f>
        <v/>
      </c>
      <c r="R326" s="16">
        <f>IF(A326="","",F326-Q326)</f>
        <v/>
      </c>
      <c r="S326" s="46">
        <f>IFERROR(R326/F326,"")</f>
        <v/>
      </c>
      <c r="T326" s="13" t="n"/>
    </row>
    <row r="327" ht="15" customHeight="1">
      <c r="A327" s="13" t="n"/>
      <c r="B327" s="14">
        <f>IF(A327="","",IF(COUNTIF(lst_Jobs,A327&amp;"")&gt;0,"OK","CHECK"))</f>
        <v/>
      </c>
      <c r="C327" s="14">
        <f>IF(A327="","",IFERROR(INDEX(lst_JobName,MATCH(A327&amp;"",lst_Jobs,0)),""))</f>
        <v/>
      </c>
      <c r="D327" s="14">
        <f>IF(A327="","",IFERROR(INDEX(tbl_Finance[Client],MATCH(A327&amp;"",tbl_Finance[Job Number],0)),""))</f>
        <v/>
      </c>
      <c r="E327" s="44">
        <f>IF(A327="","",COUNTIFS(tbl_Finance[Job Number],A327&amp;"",tbl_Finance[Ex GST],"&lt;&gt;"))</f>
        <v/>
      </c>
      <c r="F327" s="16">
        <f>IF(A327="","",SUMIFS(tbl_Finance[Ex GST],tbl_Finance[Job Number],A327&amp;""))</f>
        <v/>
      </c>
      <c r="G327" s="14">
        <f>IF(A327="","",IFERROR(INDEX(tbl_Finance[Cost Centre],MATCH(A327&amp;"",tbl_Finance[Job Number],0)),"not invoiced yet"))</f>
        <v/>
      </c>
      <c r="H327" s="13" t="n"/>
      <c r="I327" s="13" t="n"/>
      <c r="J327" s="15" t="n"/>
      <c r="K327" s="15" t="n"/>
      <c r="L327" s="15" t="n"/>
      <c r="M327" s="14">
        <f>IF(A327="","",IF(N(J327)+N(K327)+N(L327)=0,"Not split",IF(ROUND(N(J327)+N(K327)+N(L327),2)=ROUND(F327,2),"OK","MISMATCH")))</f>
        <v/>
      </c>
      <c r="N327" s="15" t="n"/>
      <c r="O327" s="15" t="n"/>
      <c r="P327" s="15" t="n"/>
      <c r="Q327" s="16">
        <f>IF(A327="","",N(N327)+N(O327)+N(P327))</f>
        <v/>
      </c>
      <c r="R327" s="16">
        <f>IF(A327="","",F327-Q327)</f>
        <v/>
      </c>
      <c r="S327" s="46">
        <f>IFERROR(R327/F327,"")</f>
        <v/>
      </c>
      <c r="T327" s="13" t="n"/>
    </row>
    <row r="328" ht="15" customHeight="1">
      <c r="A328" s="13" t="n"/>
      <c r="B328" s="14">
        <f>IF(A328="","",IF(COUNTIF(lst_Jobs,A328&amp;"")&gt;0,"OK","CHECK"))</f>
        <v/>
      </c>
      <c r="C328" s="14">
        <f>IF(A328="","",IFERROR(INDEX(lst_JobName,MATCH(A328&amp;"",lst_Jobs,0)),""))</f>
        <v/>
      </c>
      <c r="D328" s="14">
        <f>IF(A328="","",IFERROR(INDEX(tbl_Finance[Client],MATCH(A328&amp;"",tbl_Finance[Job Number],0)),""))</f>
        <v/>
      </c>
      <c r="E328" s="44">
        <f>IF(A328="","",COUNTIFS(tbl_Finance[Job Number],A328&amp;"",tbl_Finance[Ex GST],"&lt;&gt;"))</f>
        <v/>
      </c>
      <c r="F328" s="16">
        <f>IF(A328="","",SUMIFS(tbl_Finance[Ex GST],tbl_Finance[Job Number],A328&amp;""))</f>
        <v/>
      </c>
      <c r="G328" s="14">
        <f>IF(A328="","",IFERROR(INDEX(tbl_Finance[Cost Centre],MATCH(A328&amp;"",tbl_Finance[Job Number],0)),"not invoiced yet"))</f>
        <v/>
      </c>
      <c r="H328" s="13" t="n"/>
      <c r="I328" s="13" t="n"/>
      <c r="J328" s="15" t="n"/>
      <c r="K328" s="15" t="n"/>
      <c r="L328" s="15" t="n"/>
      <c r="M328" s="14">
        <f>IF(A328="","",IF(N(J328)+N(K328)+N(L328)=0,"Not split",IF(ROUND(N(J328)+N(K328)+N(L328),2)=ROUND(F328,2),"OK","MISMATCH")))</f>
        <v/>
      </c>
      <c r="N328" s="15" t="n"/>
      <c r="O328" s="15" t="n"/>
      <c r="P328" s="15" t="n"/>
      <c r="Q328" s="16">
        <f>IF(A328="","",N(N328)+N(O328)+N(P328))</f>
        <v/>
      </c>
      <c r="R328" s="16">
        <f>IF(A328="","",F328-Q328)</f>
        <v/>
      </c>
      <c r="S328" s="46">
        <f>IFERROR(R328/F328,"")</f>
        <v/>
      </c>
      <c r="T328" s="13" t="n"/>
    </row>
    <row r="329" ht="15" customHeight="1">
      <c r="A329" s="13" t="n"/>
      <c r="B329" s="14">
        <f>IF(A329="","",IF(COUNTIF(lst_Jobs,A329&amp;"")&gt;0,"OK","CHECK"))</f>
        <v/>
      </c>
      <c r="C329" s="14">
        <f>IF(A329="","",IFERROR(INDEX(lst_JobName,MATCH(A329&amp;"",lst_Jobs,0)),""))</f>
        <v/>
      </c>
      <c r="D329" s="14">
        <f>IF(A329="","",IFERROR(INDEX(tbl_Finance[Client],MATCH(A329&amp;"",tbl_Finance[Job Number],0)),""))</f>
        <v/>
      </c>
      <c r="E329" s="44">
        <f>IF(A329="","",COUNTIFS(tbl_Finance[Job Number],A329&amp;"",tbl_Finance[Ex GST],"&lt;&gt;"))</f>
        <v/>
      </c>
      <c r="F329" s="16">
        <f>IF(A329="","",SUMIFS(tbl_Finance[Ex GST],tbl_Finance[Job Number],A329&amp;""))</f>
        <v/>
      </c>
      <c r="G329" s="14">
        <f>IF(A329="","",IFERROR(INDEX(tbl_Finance[Cost Centre],MATCH(A329&amp;"",tbl_Finance[Job Number],0)),"not invoiced yet"))</f>
        <v/>
      </c>
      <c r="H329" s="13" t="n"/>
      <c r="I329" s="13" t="n"/>
      <c r="J329" s="15" t="n"/>
      <c r="K329" s="15" t="n"/>
      <c r="L329" s="15" t="n"/>
      <c r="M329" s="14">
        <f>IF(A329="","",IF(N(J329)+N(K329)+N(L329)=0,"Not split",IF(ROUND(N(J329)+N(K329)+N(L329),2)=ROUND(F329,2),"OK","MISMATCH")))</f>
        <v/>
      </c>
      <c r="N329" s="15" t="n"/>
      <c r="O329" s="15" t="n"/>
      <c r="P329" s="15" t="n"/>
      <c r="Q329" s="16">
        <f>IF(A329="","",N(N329)+N(O329)+N(P329))</f>
        <v/>
      </c>
      <c r="R329" s="16">
        <f>IF(A329="","",F329-Q329)</f>
        <v/>
      </c>
      <c r="S329" s="46">
        <f>IFERROR(R329/F329,"")</f>
        <v/>
      </c>
      <c r="T329" s="13" t="n"/>
    </row>
    <row r="330" ht="15" customHeight="1">
      <c r="A330" s="13" t="n"/>
      <c r="B330" s="14">
        <f>IF(A330="","",IF(COUNTIF(lst_Jobs,A330&amp;"")&gt;0,"OK","CHECK"))</f>
        <v/>
      </c>
      <c r="C330" s="14">
        <f>IF(A330="","",IFERROR(INDEX(lst_JobName,MATCH(A330&amp;"",lst_Jobs,0)),""))</f>
        <v/>
      </c>
      <c r="D330" s="14">
        <f>IF(A330="","",IFERROR(INDEX(tbl_Finance[Client],MATCH(A330&amp;"",tbl_Finance[Job Number],0)),""))</f>
        <v/>
      </c>
      <c r="E330" s="44">
        <f>IF(A330="","",COUNTIFS(tbl_Finance[Job Number],A330&amp;"",tbl_Finance[Ex GST],"&lt;&gt;"))</f>
        <v/>
      </c>
      <c r="F330" s="16">
        <f>IF(A330="","",SUMIFS(tbl_Finance[Ex GST],tbl_Finance[Job Number],A330&amp;""))</f>
        <v/>
      </c>
      <c r="G330" s="14">
        <f>IF(A330="","",IFERROR(INDEX(tbl_Finance[Cost Centre],MATCH(A330&amp;"",tbl_Finance[Job Number],0)),"not invoiced yet"))</f>
        <v/>
      </c>
      <c r="H330" s="13" t="n"/>
      <c r="I330" s="13" t="n"/>
      <c r="J330" s="15" t="n"/>
      <c r="K330" s="15" t="n"/>
      <c r="L330" s="15" t="n"/>
      <c r="M330" s="14">
        <f>IF(A330="","",IF(N(J330)+N(K330)+N(L330)=0,"Not split",IF(ROUND(N(J330)+N(K330)+N(L330),2)=ROUND(F330,2),"OK","MISMATCH")))</f>
        <v/>
      </c>
      <c r="N330" s="15" t="n"/>
      <c r="O330" s="15" t="n"/>
      <c r="P330" s="15" t="n"/>
      <c r="Q330" s="16">
        <f>IF(A330="","",N(N330)+N(O330)+N(P330))</f>
        <v/>
      </c>
      <c r="R330" s="16">
        <f>IF(A330="","",F330-Q330)</f>
        <v/>
      </c>
      <c r="S330" s="46">
        <f>IFERROR(R330/F330,"")</f>
        <v/>
      </c>
      <c r="T330" s="13" t="n"/>
    </row>
    <row r="331" ht="15" customHeight="1">
      <c r="A331" s="13" t="n"/>
      <c r="B331" s="14">
        <f>IF(A331="","",IF(COUNTIF(lst_Jobs,A331&amp;"")&gt;0,"OK","CHECK"))</f>
        <v/>
      </c>
      <c r="C331" s="14">
        <f>IF(A331="","",IFERROR(INDEX(lst_JobName,MATCH(A331&amp;"",lst_Jobs,0)),""))</f>
        <v/>
      </c>
      <c r="D331" s="14">
        <f>IF(A331="","",IFERROR(INDEX(tbl_Finance[Client],MATCH(A331&amp;"",tbl_Finance[Job Number],0)),""))</f>
        <v/>
      </c>
      <c r="E331" s="44">
        <f>IF(A331="","",COUNTIFS(tbl_Finance[Job Number],A331&amp;"",tbl_Finance[Ex GST],"&lt;&gt;"))</f>
        <v/>
      </c>
      <c r="F331" s="16">
        <f>IF(A331="","",SUMIFS(tbl_Finance[Ex GST],tbl_Finance[Job Number],A331&amp;""))</f>
        <v/>
      </c>
      <c r="G331" s="14">
        <f>IF(A331="","",IFERROR(INDEX(tbl_Finance[Cost Centre],MATCH(A331&amp;"",tbl_Finance[Job Number],0)),"not invoiced yet"))</f>
        <v/>
      </c>
      <c r="H331" s="13" t="n"/>
      <c r="I331" s="13" t="n"/>
      <c r="J331" s="15" t="n"/>
      <c r="K331" s="15" t="n"/>
      <c r="L331" s="15" t="n"/>
      <c r="M331" s="14">
        <f>IF(A331="","",IF(N(J331)+N(K331)+N(L331)=0,"Not split",IF(ROUND(N(J331)+N(K331)+N(L331),2)=ROUND(F331,2),"OK","MISMATCH")))</f>
        <v/>
      </c>
      <c r="N331" s="15" t="n"/>
      <c r="O331" s="15" t="n"/>
      <c r="P331" s="15" t="n"/>
      <c r="Q331" s="16">
        <f>IF(A331="","",N(N331)+N(O331)+N(P331))</f>
        <v/>
      </c>
      <c r="R331" s="16">
        <f>IF(A331="","",F331-Q331)</f>
        <v/>
      </c>
      <c r="S331" s="46">
        <f>IFERROR(R331/F331,"")</f>
        <v/>
      </c>
      <c r="T331" s="13" t="n"/>
    </row>
    <row r="332" ht="15" customHeight="1">
      <c r="A332" s="13" t="n"/>
      <c r="B332" s="14">
        <f>IF(A332="","",IF(COUNTIF(lst_Jobs,A332&amp;"")&gt;0,"OK","CHECK"))</f>
        <v/>
      </c>
      <c r="C332" s="14">
        <f>IF(A332="","",IFERROR(INDEX(lst_JobName,MATCH(A332&amp;"",lst_Jobs,0)),""))</f>
        <v/>
      </c>
      <c r="D332" s="14">
        <f>IF(A332="","",IFERROR(INDEX(tbl_Finance[Client],MATCH(A332&amp;"",tbl_Finance[Job Number],0)),""))</f>
        <v/>
      </c>
      <c r="E332" s="44">
        <f>IF(A332="","",COUNTIFS(tbl_Finance[Job Number],A332&amp;"",tbl_Finance[Ex GST],"&lt;&gt;"))</f>
        <v/>
      </c>
      <c r="F332" s="16">
        <f>IF(A332="","",SUMIFS(tbl_Finance[Ex GST],tbl_Finance[Job Number],A332&amp;""))</f>
        <v/>
      </c>
      <c r="G332" s="14">
        <f>IF(A332="","",IFERROR(INDEX(tbl_Finance[Cost Centre],MATCH(A332&amp;"",tbl_Finance[Job Number],0)),"not invoiced yet"))</f>
        <v/>
      </c>
      <c r="H332" s="13" t="n"/>
      <c r="I332" s="13" t="n"/>
      <c r="J332" s="15" t="n"/>
      <c r="K332" s="15" t="n"/>
      <c r="L332" s="15" t="n"/>
      <c r="M332" s="14">
        <f>IF(A332="","",IF(N(J332)+N(K332)+N(L332)=0,"Not split",IF(ROUND(N(J332)+N(K332)+N(L332),2)=ROUND(F332,2),"OK","MISMATCH")))</f>
        <v/>
      </c>
      <c r="N332" s="15" t="n"/>
      <c r="O332" s="15" t="n"/>
      <c r="P332" s="15" t="n"/>
      <c r="Q332" s="16">
        <f>IF(A332="","",N(N332)+N(O332)+N(P332))</f>
        <v/>
      </c>
      <c r="R332" s="16">
        <f>IF(A332="","",F332-Q332)</f>
        <v/>
      </c>
      <c r="S332" s="46">
        <f>IFERROR(R332/F332,"")</f>
        <v/>
      </c>
      <c r="T332" s="13" t="n"/>
    </row>
    <row r="333" ht="15" customHeight="1">
      <c r="A333" s="13" t="n"/>
      <c r="B333" s="14">
        <f>IF(A333="","",IF(COUNTIF(lst_Jobs,A333&amp;"")&gt;0,"OK","CHECK"))</f>
        <v/>
      </c>
      <c r="C333" s="14">
        <f>IF(A333="","",IFERROR(INDEX(lst_JobName,MATCH(A333&amp;"",lst_Jobs,0)),""))</f>
        <v/>
      </c>
      <c r="D333" s="14">
        <f>IF(A333="","",IFERROR(INDEX(tbl_Finance[Client],MATCH(A333&amp;"",tbl_Finance[Job Number],0)),""))</f>
        <v/>
      </c>
      <c r="E333" s="44">
        <f>IF(A333="","",COUNTIFS(tbl_Finance[Job Number],A333&amp;"",tbl_Finance[Ex GST],"&lt;&gt;"))</f>
        <v/>
      </c>
      <c r="F333" s="16">
        <f>IF(A333="","",SUMIFS(tbl_Finance[Ex GST],tbl_Finance[Job Number],A333&amp;""))</f>
        <v/>
      </c>
      <c r="G333" s="14">
        <f>IF(A333="","",IFERROR(INDEX(tbl_Finance[Cost Centre],MATCH(A333&amp;"",tbl_Finance[Job Number],0)),"not invoiced yet"))</f>
        <v/>
      </c>
      <c r="H333" s="13" t="n"/>
      <c r="I333" s="13" t="n"/>
      <c r="J333" s="15" t="n"/>
      <c r="K333" s="15" t="n"/>
      <c r="L333" s="15" t="n"/>
      <c r="M333" s="14">
        <f>IF(A333="","",IF(N(J333)+N(K333)+N(L333)=0,"Not split",IF(ROUND(N(J333)+N(K333)+N(L333),2)=ROUND(F333,2),"OK","MISMATCH")))</f>
        <v/>
      </c>
      <c r="N333" s="15" t="n"/>
      <c r="O333" s="15" t="n"/>
      <c r="P333" s="15" t="n"/>
      <c r="Q333" s="16">
        <f>IF(A333="","",N(N333)+N(O333)+N(P333))</f>
        <v/>
      </c>
      <c r="R333" s="16">
        <f>IF(A333="","",F333-Q333)</f>
        <v/>
      </c>
      <c r="S333" s="46">
        <f>IFERROR(R333/F333,"")</f>
        <v/>
      </c>
      <c r="T333" s="13" t="n"/>
    </row>
    <row r="334" ht="15" customHeight="1">
      <c r="A334" s="13" t="n"/>
      <c r="B334" s="14">
        <f>IF(A334="","",IF(COUNTIF(lst_Jobs,A334&amp;"")&gt;0,"OK","CHECK"))</f>
        <v/>
      </c>
      <c r="C334" s="14">
        <f>IF(A334="","",IFERROR(INDEX(lst_JobName,MATCH(A334&amp;"",lst_Jobs,0)),""))</f>
        <v/>
      </c>
      <c r="D334" s="14">
        <f>IF(A334="","",IFERROR(INDEX(tbl_Finance[Client],MATCH(A334&amp;"",tbl_Finance[Job Number],0)),""))</f>
        <v/>
      </c>
      <c r="E334" s="44">
        <f>IF(A334="","",COUNTIFS(tbl_Finance[Job Number],A334&amp;"",tbl_Finance[Ex GST],"&lt;&gt;"))</f>
        <v/>
      </c>
      <c r="F334" s="16">
        <f>IF(A334="","",SUMIFS(tbl_Finance[Ex GST],tbl_Finance[Job Number],A334&amp;""))</f>
        <v/>
      </c>
      <c r="G334" s="14">
        <f>IF(A334="","",IFERROR(INDEX(tbl_Finance[Cost Centre],MATCH(A334&amp;"",tbl_Finance[Job Number],0)),"not invoiced yet"))</f>
        <v/>
      </c>
      <c r="H334" s="13" t="n"/>
      <c r="I334" s="13" t="n"/>
      <c r="J334" s="15" t="n"/>
      <c r="K334" s="15" t="n"/>
      <c r="L334" s="15" t="n"/>
      <c r="M334" s="14">
        <f>IF(A334="","",IF(N(J334)+N(K334)+N(L334)=0,"Not split",IF(ROUND(N(J334)+N(K334)+N(L334),2)=ROUND(F334,2),"OK","MISMATCH")))</f>
        <v/>
      </c>
      <c r="N334" s="15" t="n"/>
      <c r="O334" s="15" t="n"/>
      <c r="P334" s="15" t="n"/>
      <c r="Q334" s="16">
        <f>IF(A334="","",N(N334)+N(O334)+N(P334))</f>
        <v/>
      </c>
      <c r="R334" s="16">
        <f>IF(A334="","",F334-Q334)</f>
        <v/>
      </c>
      <c r="S334" s="46">
        <f>IFERROR(R334/F334,"")</f>
        <v/>
      </c>
      <c r="T334" s="13" t="n"/>
    </row>
    <row r="335" ht="15" customHeight="1">
      <c r="A335" s="13" t="n"/>
      <c r="B335" s="14">
        <f>IF(A335="","",IF(COUNTIF(lst_Jobs,A335&amp;"")&gt;0,"OK","CHECK"))</f>
        <v/>
      </c>
      <c r="C335" s="14">
        <f>IF(A335="","",IFERROR(INDEX(lst_JobName,MATCH(A335&amp;"",lst_Jobs,0)),""))</f>
        <v/>
      </c>
      <c r="D335" s="14">
        <f>IF(A335="","",IFERROR(INDEX(tbl_Finance[Client],MATCH(A335&amp;"",tbl_Finance[Job Number],0)),""))</f>
        <v/>
      </c>
      <c r="E335" s="44">
        <f>IF(A335="","",COUNTIFS(tbl_Finance[Job Number],A335&amp;"",tbl_Finance[Ex GST],"&lt;&gt;"))</f>
        <v/>
      </c>
      <c r="F335" s="16">
        <f>IF(A335="","",SUMIFS(tbl_Finance[Ex GST],tbl_Finance[Job Number],A335&amp;""))</f>
        <v/>
      </c>
      <c r="G335" s="14">
        <f>IF(A335="","",IFERROR(INDEX(tbl_Finance[Cost Centre],MATCH(A335&amp;"",tbl_Finance[Job Number],0)),"not invoiced yet"))</f>
        <v/>
      </c>
      <c r="H335" s="13" t="n"/>
      <c r="I335" s="13" t="n"/>
      <c r="J335" s="15" t="n"/>
      <c r="K335" s="15" t="n"/>
      <c r="L335" s="15" t="n"/>
      <c r="M335" s="14">
        <f>IF(A335="","",IF(N(J335)+N(K335)+N(L335)=0,"Not split",IF(ROUND(N(J335)+N(K335)+N(L335),2)=ROUND(F335,2),"OK","MISMATCH")))</f>
        <v/>
      </c>
      <c r="N335" s="15" t="n"/>
      <c r="O335" s="15" t="n"/>
      <c r="P335" s="15" t="n"/>
      <c r="Q335" s="16">
        <f>IF(A335="","",N(N335)+N(O335)+N(P335))</f>
        <v/>
      </c>
      <c r="R335" s="16">
        <f>IF(A335="","",F335-Q335)</f>
        <v/>
      </c>
      <c r="S335" s="46">
        <f>IFERROR(R335/F335,"")</f>
        <v/>
      </c>
      <c r="T335" s="13" t="n"/>
    </row>
    <row r="336" ht="15" customHeight="1">
      <c r="A336" s="13" t="n"/>
      <c r="B336" s="14">
        <f>IF(A336="","",IF(COUNTIF(lst_Jobs,A336&amp;"")&gt;0,"OK","CHECK"))</f>
        <v/>
      </c>
      <c r="C336" s="14">
        <f>IF(A336="","",IFERROR(INDEX(lst_JobName,MATCH(A336&amp;"",lst_Jobs,0)),""))</f>
        <v/>
      </c>
      <c r="D336" s="14">
        <f>IF(A336="","",IFERROR(INDEX(tbl_Finance[Client],MATCH(A336&amp;"",tbl_Finance[Job Number],0)),""))</f>
        <v/>
      </c>
      <c r="E336" s="44">
        <f>IF(A336="","",COUNTIFS(tbl_Finance[Job Number],A336&amp;"",tbl_Finance[Ex GST],"&lt;&gt;"))</f>
        <v/>
      </c>
      <c r="F336" s="16">
        <f>IF(A336="","",SUMIFS(tbl_Finance[Ex GST],tbl_Finance[Job Number],A336&amp;""))</f>
        <v/>
      </c>
      <c r="G336" s="14">
        <f>IF(A336="","",IFERROR(INDEX(tbl_Finance[Cost Centre],MATCH(A336&amp;"",tbl_Finance[Job Number],0)),"not invoiced yet"))</f>
        <v/>
      </c>
      <c r="H336" s="13" t="n"/>
      <c r="I336" s="13" t="n"/>
      <c r="J336" s="15" t="n"/>
      <c r="K336" s="15" t="n"/>
      <c r="L336" s="15" t="n"/>
      <c r="M336" s="14">
        <f>IF(A336="","",IF(N(J336)+N(K336)+N(L336)=0,"Not split",IF(ROUND(N(J336)+N(K336)+N(L336),2)=ROUND(F336,2),"OK","MISMATCH")))</f>
        <v/>
      </c>
      <c r="N336" s="15" t="n"/>
      <c r="O336" s="15" t="n"/>
      <c r="P336" s="15" t="n"/>
      <c r="Q336" s="16">
        <f>IF(A336="","",N(N336)+N(O336)+N(P336))</f>
        <v/>
      </c>
      <c r="R336" s="16">
        <f>IF(A336="","",F336-Q336)</f>
        <v/>
      </c>
      <c r="S336" s="46">
        <f>IFERROR(R336/F336,"")</f>
        <v/>
      </c>
      <c r="T336" s="13" t="n"/>
    </row>
    <row r="337" ht="15" customHeight="1">
      <c r="A337" s="13" t="n"/>
      <c r="B337" s="14">
        <f>IF(A337="","",IF(COUNTIF(lst_Jobs,A337&amp;"")&gt;0,"OK","CHECK"))</f>
        <v/>
      </c>
      <c r="C337" s="14">
        <f>IF(A337="","",IFERROR(INDEX(lst_JobName,MATCH(A337&amp;"",lst_Jobs,0)),""))</f>
        <v/>
      </c>
      <c r="D337" s="14">
        <f>IF(A337="","",IFERROR(INDEX(tbl_Finance[Client],MATCH(A337&amp;"",tbl_Finance[Job Number],0)),""))</f>
        <v/>
      </c>
      <c r="E337" s="44">
        <f>IF(A337="","",COUNTIFS(tbl_Finance[Job Number],A337&amp;"",tbl_Finance[Ex GST],"&lt;&gt;"))</f>
        <v/>
      </c>
      <c r="F337" s="16">
        <f>IF(A337="","",SUMIFS(tbl_Finance[Ex GST],tbl_Finance[Job Number],A337&amp;""))</f>
        <v/>
      </c>
      <c r="G337" s="14">
        <f>IF(A337="","",IFERROR(INDEX(tbl_Finance[Cost Centre],MATCH(A337&amp;"",tbl_Finance[Job Number],0)),"not invoiced yet"))</f>
        <v/>
      </c>
      <c r="H337" s="13" t="n"/>
      <c r="I337" s="13" t="n"/>
      <c r="J337" s="15" t="n"/>
      <c r="K337" s="15" t="n"/>
      <c r="L337" s="15" t="n"/>
      <c r="M337" s="14">
        <f>IF(A337="","",IF(N(J337)+N(K337)+N(L337)=0,"Not split",IF(ROUND(N(J337)+N(K337)+N(L337),2)=ROUND(F337,2),"OK","MISMATCH")))</f>
        <v/>
      </c>
      <c r="N337" s="15" t="n"/>
      <c r="O337" s="15" t="n"/>
      <c r="P337" s="15" t="n"/>
      <c r="Q337" s="16">
        <f>IF(A337="","",N(N337)+N(O337)+N(P337))</f>
        <v/>
      </c>
      <c r="R337" s="16">
        <f>IF(A337="","",F337-Q337)</f>
        <v/>
      </c>
      <c r="S337" s="46">
        <f>IFERROR(R337/F337,"")</f>
        <v/>
      </c>
      <c r="T337" s="13" t="n"/>
    </row>
    <row r="338" ht="15" customHeight="1">
      <c r="A338" s="13" t="n"/>
      <c r="B338" s="14">
        <f>IF(A338="","",IF(COUNTIF(lst_Jobs,A338&amp;"")&gt;0,"OK","CHECK"))</f>
        <v/>
      </c>
      <c r="C338" s="14">
        <f>IF(A338="","",IFERROR(INDEX(lst_JobName,MATCH(A338&amp;"",lst_Jobs,0)),""))</f>
        <v/>
      </c>
      <c r="D338" s="14">
        <f>IF(A338="","",IFERROR(INDEX(tbl_Finance[Client],MATCH(A338&amp;"",tbl_Finance[Job Number],0)),""))</f>
        <v/>
      </c>
      <c r="E338" s="44">
        <f>IF(A338="","",COUNTIFS(tbl_Finance[Job Number],A338&amp;"",tbl_Finance[Ex GST],"&lt;&gt;"))</f>
        <v/>
      </c>
      <c r="F338" s="16">
        <f>IF(A338="","",SUMIFS(tbl_Finance[Ex GST],tbl_Finance[Job Number],A338&amp;""))</f>
        <v/>
      </c>
      <c r="G338" s="14">
        <f>IF(A338="","",IFERROR(INDEX(tbl_Finance[Cost Centre],MATCH(A338&amp;"",tbl_Finance[Job Number],0)),"not invoiced yet"))</f>
        <v/>
      </c>
      <c r="H338" s="13" t="n"/>
      <c r="I338" s="13" t="n"/>
      <c r="J338" s="15" t="n"/>
      <c r="K338" s="15" t="n"/>
      <c r="L338" s="15" t="n"/>
      <c r="M338" s="14">
        <f>IF(A338="","",IF(N(J338)+N(K338)+N(L338)=0,"Not split",IF(ROUND(N(J338)+N(K338)+N(L338),2)=ROUND(F338,2),"OK","MISMATCH")))</f>
        <v/>
      </c>
      <c r="N338" s="15" t="n"/>
      <c r="O338" s="15" t="n"/>
      <c r="P338" s="15" t="n"/>
      <c r="Q338" s="16">
        <f>IF(A338="","",N(N338)+N(O338)+N(P338))</f>
        <v/>
      </c>
      <c r="R338" s="16">
        <f>IF(A338="","",F338-Q338)</f>
        <v/>
      </c>
      <c r="S338" s="46">
        <f>IFERROR(R338/F338,"")</f>
        <v/>
      </c>
      <c r="T338" s="13" t="n"/>
    </row>
    <row r="339" ht="15" customHeight="1">
      <c r="A339" s="13" t="n"/>
      <c r="B339" s="14">
        <f>IF(A339="","",IF(COUNTIF(lst_Jobs,A339&amp;"")&gt;0,"OK","CHECK"))</f>
        <v/>
      </c>
      <c r="C339" s="14">
        <f>IF(A339="","",IFERROR(INDEX(lst_JobName,MATCH(A339&amp;"",lst_Jobs,0)),""))</f>
        <v/>
      </c>
      <c r="D339" s="14">
        <f>IF(A339="","",IFERROR(INDEX(tbl_Finance[Client],MATCH(A339&amp;"",tbl_Finance[Job Number],0)),""))</f>
        <v/>
      </c>
      <c r="E339" s="44">
        <f>IF(A339="","",COUNTIFS(tbl_Finance[Job Number],A339&amp;"",tbl_Finance[Ex GST],"&lt;&gt;"))</f>
        <v/>
      </c>
      <c r="F339" s="16">
        <f>IF(A339="","",SUMIFS(tbl_Finance[Ex GST],tbl_Finance[Job Number],A339&amp;""))</f>
        <v/>
      </c>
      <c r="G339" s="14">
        <f>IF(A339="","",IFERROR(INDEX(tbl_Finance[Cost Centre],MATCH(A339&amp;"",tbl_Finance[Job Number],0)),"not invoiced yet"))</f>
        <v/>
      </c>
      <c r="H339" s="13" t="n"/>
      <c r="I339" s="13" t="n"/>
      <c r="J339" s="15" t="n"/>
      <c r="K339" s="15" t="n"/>
      <c r="L339" s="15" t="n"/>
      <c r="M339" s="14">
        <f>IF(A339="","",IF(N(J339)+N(K339)+N(L339)=0,"Not split",IF(ROUND(N(J339)+N(K339)+N(L339),2)=ROUND(F339,2),"OK","MISMATCH")))</f>
        <v/>
      </c>
      <c r="N339" s="15" t="n"/>
      <c r="O339" s="15" t="n"/>
      <c r="P339" s="15" t="n"/>
      <c r="Q339" s="16">
        <f>IF(A339="","",N(N339)+N(O339)+N(P339))</f>
        <v/>
      </c>
      <c r="R339" s="16">
        <f>IF(A339="","",F339-Q339)</f>
        <v/>
      </c>
      <c r="S339" s="46">
        <f>IFERROR(R339/F339,"")</f>
        <v/>
      </c>
      <c r="T339" s="13" t="n"/>
    </row>
    <row r="340" ht="15" customHeight="1">
      <c r="A340" s="13" t="n"/>
      <c r="B340" s="14">
        <f>IF(A340="","",IF(COUNTIF(lst_Jobs,A340&amp;"")&gt;0,"OK","CHECK"))</f>
        <v/>
      </c>
      <c r="C340" s="14">
        <f>IF(A340="","",IFERROR(INDEX(lst_JobName,MATCH(A340&amp;"",lst_Jobs,0)),""))</f>
        <v/>
      </c>
      <c r="D340" s="14">
        <f>IF(A340="","",IFERROR(INDEX(tbl_Finance[Client],MATCH(A340&amp;"",tbl_Finance[Job Number],0)),""))</f>
        <v/>
      </c>
      <c r="E340" s="44">
        <f>IF(A340="","",COUNTIFS(tbl_Finance[Job Number],A340&amp;"",tbl_Finance[Ex GST],"&lt;&gt;"))</f>
        <v/>
      </c>
      <c r="F340" s="16">
        <f>IF(A340="","",SUMIFS(tbl_Finance[Ex GST],tbl_Finance[Job Number],A340&amp;""))</f>
        <v/>
      </c>
      <c r="G340" s="14">
        <f>IF(A340="","",IFERROR(INDEX(tbl_Finance[Cost Centre],MATCH(A340&amp;"",tbl_Finance[Job Number],0)),"not invoiced yet"))</f>
        <v/>
      </c>
      <c r="H340" s="13" t="n"/>
      <c r="I340" s="13" t="n"/>
      <c r="J340" s="15" t="n"/>
      <c r="K340" s="15" t="n"/>
      <c r="L340" s="15" t="n"/>
      <c r="M340" s="14">
        <f>IF(A340="","",IF(N(J340)+N(K340)+N(L340)=0,"Not split",IF(ROUND(N(J340)+N(K340)+N(L340),2)=ROUND(F340,2),"OK","MISMATCH")))</f>
        <v/>
      </c>
      <c r="N340" s="15" t="n"/>
      <c r="O340" s="15" t="n"/>
      <c r="P340" s="15" t="n"/>
      <c r="Q340" s="16">
        <f>IF(A340="","",N(N340)+N(O340)+N(P340))</f>
        <v/>
      </c>
      <c r="R340" s="16">
        <f>IF(A340="","",F340-Q340)</f>
        <v/>
      </c>
      <c r="S340" s="46">
        <f>IFERROR(R340/F340,"")</f>
        <v/>
      </c>
      <c r="T340" s="13" t="n"/>
    </row>
    <row r="341" ht="15" customHeight="1">
      <c r="A341" s="13" t="n"/>
      <c r="B341" s="14">
        <f>IF(A341="","",IF(COUNTIF(lst_Jobs,A341&amp;"")&gt;0,"OK","CHECK"))</f>
        <v/>
      </c>
      <c r="C341" s="14">
        <f>IF(A341="","",IFERROR(INDEX(lst_JobName,MATCH(A341&amp;"",lst_Jobs,0)),""))</f>
        <v/>
      </c>
      <c r="D341" s="14">
        <f>IF(A341="","",IFERROR(INDEX(tbl_Finance[Client],MATCH(A341&amp;"",tbl_Finance[Job Number],0)),""))</f>
        <v/>
      </c>
      <c r="E341" s="44">
        <f>IF(A341="","",COUNTIFS(tbl_Finance[Job Number],A341&amp;"",tbl_Finance[Ex GST],"&lt;&gt;"))</f>
        <v/>
      </c>
      <c r="F341" s="16">
        <f>IF(A341="","",SUMIFS(tbl_Finance[Ex GST],tbl_Finance[Job Number],A341&amp;""))</f>
        <v/>
      </c>
      <c r="G341" s="14">
        <f>IF(A341="","",IFERROR(INDEX(tbl_Finance[Cost Centre],MATCH(A341&amp;"",tbl_Finance[Job Number],0)),"not invoiced yet"))</f>
        <v/>
      </c>
      <c r="H341" s="13" t="n"/>
      <c r="I341" s="13" t="n"/>
      <c r="J341" s="15" t="n"/>
      <c r="K341" s="15" t="n"/>
      <c r="L341" s="15" t="n"/>
      <c r="M341" s="14">
        <f>IF(A341="","",IF(N(J341)+N(K341)+N(L341)=0,"Not split",IF(ROUND(N(J341)+N(K341)+N(L341),2)=ROUND(F341,2),"OK","MISMATCH")))</f>
        <v/>
      </c>
      <c r="N341" s="15" t="n"/>
      <c r="O341" s="15" t="n"/>
      <c r="P341" s="15" t="n"/>
      <c r="Q341" s="16">
        <f>IF(A341="","",N(N341)+N(O341)+N(P341))</f>
        <v/>
      </c>
      <c r="R341" s="16">
        <f>IF(A341="","",F341-Q341)</f>
        <v/>
      </c>
      <c r="S341" s="46">
        <f>IFERROR(R341/F341,"")</f>
        <v/>
      </c>
      <c r="T341" s="13" t="n"/>
    </row>
    <row r="342" ht="15" customHeight="1">
      <c r="A342" s="13" t="n"/>
      <c r="B342" s="14">
        <f>IF(A342="","",IF(COUNTIF(lst_Jobs,A342&amp;"")&gt;0,"OK","CHECK"))</f>
        <v/>
      </c>
      <c r="C342" s="14">
        <f>IF(A342="","",IFERROR(INDEX(lst_JobName,MATCH(A342&amp;"",lst_Jobs,0)),""))</f>
        <v/>
      </c>
      <c r="D342" s="14">
        <f>IF(A342="","",IFERROR(INDEX(tbl_Finance[Client],MATCH(A342&amp;"",tbl_Finance[Job Number],0)),""))</f>
        <v/>
      </c>
      <c r="E342" s="44">
        <f>IF(A342="","",COUNTIFS(tbl_Finance[Job Number],A342&amp;"",tbl_Finance[Ex GST],"&lt;&gt;"))</f>
        <v/>
      </c>
      <c r="F342" s="16">
        <f>IF(A342="","",SUMIFS(tbl_Finance[Ex GST],tbl_Finance[Job Number],A342&amp;""))</f>
        <v/>
      </c>
      <c r="G342" s="14">
        <f>IF(A342="","",IFERROR(INDEX(tbl_Finance[Cost Centre],MATCH(A342&amp;"",tbl_Finance[Job Number],0)),"not invoiced yet"))</f>
        <v/>
      </c>
      <c r="H342" s="13" t="n"/>
      <c r="I342" s="13" t="n"/>
      <c r="J342" s="15" t="n"/>
      <c r="K342" s="15" t="n"/>
      <c r="L342" s="15" t="n"/>
      <c r="M342" s="14">
        <f>IF(A342="","",IF(N(J342)+N(K342)+N(L342)=0,"Not split",IF(ROUND(N(J342)+N(K342)+N(L342),2)=ROUND(F342,2),"OK","MISMATCH")))</f>
        <v/>
      </c>
      <c r="N342" s="15" t="n"/>
      <c r="O342" s="15" t="n"/>
      <c r="P342" s="15" t="n"/>
      <c r="Q342" s="16">
        <f>IF(A342="","",N(N342)+N(O342)+N(P342))</f>
        <v/>
      </c>
      <c r="R342" s="16">
        <f>IF(A342="","",F342-Q342)</f>
        <v/>
      </c>
      <c r="S342" s="46">
        <f>IFERROR(R342/F342,"")</f>
        <v/>
      </c>
      <c r="T342" s="13" t="n"/>
    </row>
    <row r="343" ht="15" customHeight="1">
      <c r="A343" s="13" t="n"/>
      <c r="B343" s="14">
        <f>IF(A343="","",IF(COUNTIF(lst_Jobs,A343&amp;"")&gt;0,"OK","CHECK"))</f>
        <v/>
      </c>
      <c r="C343" s="14">
        <f>IF(A343="","",IFERROR(INDEX(lst_JobName,MATCH(A343&amp;"",lst_Jobs,0)),""))</f>
        <v/>
      </c>
      <c r="D343" s="14">
        <f>IF(A343="","",IFERROR(INDEX(tbl_Finance[Client],MATCH(A343&amp;"",tbl_Finance[Job Number],0)),""))</f>
        <v/>
      </c>
      <c r="E343" s="44">
        <f>IF(A343="","",COUNTIFS(tbl_Finance[Job Number],A343&amp;"",tbl_Finance[Ex GST],"&lt;&gt;"))</f>
        <v/>
      </c>
      <c r="F343" s="16">
        <f>IF(A343="","",SUMIFS(tbl_Finance[Ex GST],tbl_Finance[Job Number],A343&amp;""))</f>
        <v/>
      </c>
      <c r="G343" s="14">
        <f>IF(A343="","",IFERROR(INDEX(tbl_Finance[Cost Centre],MATCH(A343&amp;"",tbl_Finance[Job Number],0)),"not invoiced yet"))</f>
        <v/>
      </c>
      <c r="H343" s="13" t="n"/>
      <c r="I343" s="13" t="n"/>
      <c r="J343" s="15" t="n"/>
      <c r="K343" s="15" t="n"/>
      <c r="L343" s="15" t="n"/>
      <c r="M343" s="14">
        <f>IF(A343="","",IF(N(J343)+N(K343)+N(L343)=0,"Not split",IF(ROUND(N(J343)+N(K343)+N(L343),2)=ROUND(F343,2),"OK","MISMATCH")))</f>
        <v/>
      </c>
      <c r="N343" s="15" t="n"/>
      <c r="O343" s="15" t="n"/>
      <c r="P343" s="15" t="n"/>
      <c r="Q343" s="16">
        <f>IF(A343="","",N(N343)+N(O343)+N(P343))</f>
        <v/>
      </c>
      <c r="R343" s="16">
        <f>IF(A343="","",F343-Q343)</f>
        <v/>
      </c>
      <c r="S343" s="46">
        <f>IFERROR(R343/F343,"")</f>
        <v/>
      </c>
      <c r="T343" s="13" t="n"/>
    </row>
    <row r="344" ht="15" customHeight="1">
      <c r="A344" s="13" t="n"/>
      <c r="B344" s="14">
        <f>IF(A344="","",IF(COUNTIF(lst_Jobs,A344&amp;"")&gt;0,"OK","CHECK"))</f>
        <v/>
      </c>
      <c r="C344" s="14">
        <f>IF(A344="","",IFERROR(INDEX(lst_JobName,MATCH(A344&amp;"",lst_Jobs,0)),""))</f>
        <v/>
      </c>
      <c r="D344" s="14">
        <f>IF(A344="","",IFERROR(INDEX(tbl_Finance[Client],MATCH(A344&amp;"",tbl_Finance[Job Number],0)),""))</f>
        <v/>
      </c>
      <c r="E344" s="44">
        <f>IF(A344="","",COUNTIFS(tbl_Finance[Job Number],A344&amp;"",tbl_Finance[Ex GST],"&lt;&gt;"))</f>
        <v/>
      </c>
      <c r="F344" s="16">
        <f>IF(A344="","",SUMIFS(tbl_Finance[Ex GST],tbl_Finance[Job Number],A344&amp;""))</f>
        <v/>
      </c>
      <c r="G344" s="14">
        <f>IF(A344="","",IFERROR(INDEX(tbl_Finance[Cost Centre],MATCH(A344&amp;"",tbl_Finance[Job Number],0)),"not invoiced yet"))</f>
        <v/>
      </c>
      <c r="H344" s="13" t="n"/>
      <c r="I344" s="13" t="n"/>
      <c r="J344" s="15" t="n"/>
      <c r="K344" s="15" t="n"/>
      <c r="L344" s="15" t="n"/>
      <c r="M344" s="14">
        <f>IF(A344="","",IF(N(J344)+N(K344)+N(L344)=0,"Not split",IF(ROUND(N(J344)+N(K344)+N(L344),2)=ROUND(F344,2),"OK","MISMATCH")))</f>
        <v/>
      </c>
      <c r="N344" s="15" t="n"/>
      <c r="O344" s="15" t="n"/>
      <c r="P344" s="15" t="n"/>
      <c r="Q344" s="16">
        <f>IF(A344="","",N(N344)+N(O344)+N(P344))</f>
        <v/>
      </c>
      <c r="R344" s="16">
        <f>IF(A344="","",F344-Q344)</f>
        <v/>
      </c>
      <c r="S344" s="46">
        <f>IFERROR(R344/F344,"")</f>
        <v/>
      </c>
      <c r="T344" s="13" t="n"/>
    </row>
    <row r="345" ht="15" customHeight="1">
      <c r="A345" s="13" t="n"/>
      <c r="B345" s="14">
        <f>IF(A345="","",IF(COUNTIF(lst_Jobs,A345&amp;"")&gt;0,"OK","CHECK"))</f>
        <v/>
      </c>
      <c r="C345" s="14">
        <f>IF(A345="","",IFERROR(INDEX(lst_JobName,MATCH(A345&amp;"",lst_Jobs,0)),""))</f>
        <v/>
      </c>
      <c r="D345" s="14">
        <f>IF(A345="","",IFERROR(INDEX(tbl_Finance[Client],MATCH(A345&amp;"",tbl_Finance[Job Number],0)),""))</f>
        <v/>
      </c>
      <c r="E345" s="44">
        <f>IF(A345="","",COUNTIFS(tbl_Finance[Job Number],A345&amp;"",tbl_Finance[Ex GST],"&lt;&gt;"))</f>
        <v/>
      </c>
      <c r="F345" s="16">
        <f>IF(A345="","",SUMIFS(tbl_Finance[Ex GST],tbl_Finance[Job Number],A345&amp;""))</f>
        <v/>
      </c>
      <c r="G345" s="14">
        <f>IF(A345="","",IFERROR(INDEX(tbl_Finance[Cost Centre],MATCH(A345&amp;"",tbl_Finance[Job Number],0)),"not invoiced yet"))</f>
        <v/>
      </c>
      <c r="H345" s="13" t="n"/>
      <c r="I345" s="13" t="n"/>
      <c r="J345" s="15" t="n"/>
      <c r="K345" s="15" t="n"/>
      <c r="L345" s="15" t="n"/>
      <c r="M345" s="14">
        <f>IF(A345="","",IF(N(J345)+N(K345)+N(L345)=0,"Not split",IF(ROUND(N(J345)+N(K345)+N(L345),2)=ROUND(F345,2),"OK","MISMATCH")))</f>
        <v/>
      </c>
      <c r="N345" s="15" t="n"/>
      <c r="O345" s="15" t="n"/>
      <c r="P345" s="15" t="n"/>
      <c r="Q345" s="16">
        <f>IF(A345="","",N(N345)+N(O345)+N(P345))</f>
        <v/>
      </c>
      <c r="R345" s="16">
        <f>IF(A345="","",F345-Q345)</f>
        <v/>
      </c>
      <c r="S345" s="46">
        <f>IFERROR(R345/F345,"")</f>
        <v/>
      </c>
      <c r="T345" s="13" t="n"/>
    </row>
    <row r="346" ht="15" customHeight="1">
      <c r="A346" s="13" t="n"/>
      <c r="B346" s="14">
        <f>IF(A346="","",IF(COUNTIF(lst_Jobs,A346&amp;"")&gt;0,"OK","CHECK"))</f>
        <v/>
      </c>
      <c r="C346" s="14">
        <f>IF(A346="","",IFERROR(INDEX(lst_JobName,MATCH(A346&amp;"",lst_Jobs,0)),""))</f>
        <v/>
      </c>
      <c r="D346" s="14">
        <f>IF(A346="","",IFERROR(INDEX(tbl_Finance[Client],MATCH(A346&amp;"",tbl_Finance[Job Number],0)),""))</f>
        <v/>
      </c>
      <c r="E346" s="44">
        <f>IF(A346="","",COUNTIFS(tbl_Finance[Job Number],A346&amp;"",tbl_Finance[Ex GST],"&lt;&gt;"))</f>
        <v/>
      </c>
      <c r="F346" s="16">
        <f>IF(A346="","",SUMIFS(tbl_Finance[Ex GST],tbl_Finance[Job Number],A346&amp;""))</f>
        <v/>
      </c>
      <c r="G346" s="14">
        <f>IF(A346="","",IFERROR(INDEX(tbl_Finance[Cost Centre],MATCH(A346&amp;"",tbl_Finance[Job Number],0)),"not invoiced yet"))</f>
        <v/>
      </c>
      <c r="H346" s="13" t="n"/>
      <c r="I346" s="13" t="n"/>
      <c r="J346" s="15" t="n"/>
      <c r="K346" s="15" t="n"/>
      <c r="L346" s="15" t="n"/>
      <c r="M346" s="14">
        <f>IF(A346="","",IF(N(J346)+N(K346)+N(L346)=0,"Not split",IF(ROUND(N(J346)+N(K346)+N(L346),2)=ROUND(F346,2),"OK","MISMATCH")))</f>
        <v/>
      </c>
      <c r="N346" s="15" t="n"/>
      <c r="O346" s="15" t="n"/>
      <c r="P346" s="15" t="n"/>
      <c r="Q346" s="16">
        <f>IF(A346="","",N(N346)+N(O346)+N(P346))</f>
        <v/>
      </c>
      <c r="R346" s="16">
        <f>IF(A346="","",F346-Q346)</f>
        <v/>
      </c>
      <c r="S346" s="46">
        <f>IFERROR(R346/F346,"")</f>
        <v/>
      </c>
      <c r="T346" s="13" t="n"/>
    </row>
    <row r="347" ht="15" customHeight="1">
      <c r="A347" s="13" t="n"/>
      <c r="B347" s="14">
        <f>IF(A347="","",IF(COUNTIF(lst_Jobs,A347&amp;"")&gt;0,"OK","CHECK"))</f>
        <v/>
      </c>
      <c r="C347" s="14">
        <f>IF(A347="","",IFERROR(INDEX(lst_JobName,MATCH(A347&amp;"",lst_Jobs,0)),""))</f>
        <v/>
      </c>
      <c r="D347" s="14">
        <f>IF(A347="","",IFERROR(INDEX(tbl_Finance[Client],MATCH(A347&amp;"",tbl_Finance[Job Number],0)),""))</f>
        <v/>
      </c>
      <c r="E347" s="44">
        <f>IF(A347="","",COUNTIFS(tbl_Finance[Job Number],A347&amp;"",tbl_Finance[Ex GST],"&lt;&gt;"))</f>
        <v/>
      </c>
      <c r="F347" s="16">
        <f>IF(A347="","",SUMIFS(tbl_Finance[Ex GST],tbl_Finance[Job Number],A347&amp;""))</f>
        <v/>
      </c>
      <c r="G347" s="14">
        <f>IF(A347="","",IFERROR(INDEX(tbl_Finance[Cost Centre],MATCH(A347&amp;"",tbl_Finance[Job Number],0)),"not invoiced yet"))</f>
        <v/>
      </c>
      <c r="H347" s="13" t="n"/>
      <c r="I347" s="13" t="n"/>
      <c r="J347" s="15" t="n"/>
      <c r="K347" s="15" t="n"/>
      <c r="L347" s="15" t="n"/>
      <c r="M347" s="14">
        <f>IF(A347="","",IF(N(J347)+N(K347)+N(L347)=0,"Not split",IF(ROUND(N(J347)+N(K347)+N(L347),2)=ROUND(F347,2),"OK","MISMATCH")))</f>
        <v/>
      </c>
      <c r="N347" s="15" t="n"/>
      <c r="O347" s="15" t="n"/>
      <c r="P347" s="15" t="n"/>
      <c r="Q347" s="16">
        <f>IF(A347="","",N(N347)+N(O347)+N(P347))</f>
        <v/>
      </c>
      <c r="R347" s="16">
        <f>IF(A347="","",F347-Q347)</f>
        <v/>
      </c>
      <c r="S347" s="46">
        <f>IFERROR(R347/F347,"")</f>
        <v/>
      </c>
      <c r="T347" s="13" t="n"/>
    </row>
    <row r="348" ht="15" customHeight="1">
      <c r="A348" s="13" t="n"/>
      <c r="B348" s="14">
        <f>IF(A348="","",IF(COUNTIF(lst_Jobs,A348&amp;"")&gt;0,"OK","CHECK"))</f>
        <v/>
      </c>
      <c r="C348" s="14">
        <f>IF(A348="","",IFERROR(INDEX(lst_JobName,MATCH(A348&amp;"",lst_Jobs,0)),""))</f>
        <v/>
      </c>
      <c r="D348" s="14">
        <f>IF(A348="","",IFERROR(INDEX(tbl_Finance[Client],MATCH(A348&amp;"",tbl_Finance[Job Number],0)),""))</f>
        <v/>
      </c>
      <c r="E348" s="44">
        <f>IF(A348="","",COUNTIFS(tbl_Finance[Job Number],A348&amp;"",tbl_Finance[Ex GST],"&lt;&gt;"))</f>
        <v/>
      </c>
      <c r="F348" s="16">
        <f>IF(A348="","",SUMIFS(tbl_Finance[Ex GST],tbl_Finance[Job Number],A348&amp;""))</f>
        <v/>
      </c>
      <c r="G348" s="14">
        <f>IF(A348="","",IFERROR(INDEX(tbl_Finance[Cost Centre],MATCH(A348&amp;"",tbl_Finance[Job Number],0)),"not invoiced yet"))</f>
        <v/>
      </c>
      <c r="H348" s="13" t="n"/>
      <c r="I348" s="13" t="n"/>
      <c r="J348" s="15" t="n"/>
      <c r="K348" s="15" t="n"/>
      <c r="L348" s="15" t="n"/>
      <c r="M348" s="14">
        <f>IF(A348="","",IF(N(J348)+N(K348)+N(L348)=0,"Not split",IF(ROUND(N(J348)+N(K348)+N(L348),2)=ROUND(F348,2),"OK","MISMATCH")))</f>
        <v/>
      </c>
      <c r="N348" s="15" t="n"/>
      <c r="O348" s="15" t="n"/>
      <c r="P348" s="15" t="n"/>
      <c r="Q348" s="16">
        <f>IF(A348="","",N(N348)+N(O348)+N(P348))</f>
        <v/>
      </c>
      <c r="R348" s="16">
        <f>IF(A348="","",F348-Q348)</f>
        <v/>
      </c>
      <c r="S348" s="46">
        <f>IFERROR(R348/F348,"")</f>
        <v/>
      </c>
      <c r="T348" s="13" t="n"/>
    </row>
    <row r="349" ht="15" customHeight="1">
      <c r="A349" s="13" t="n"/>
      <c r="B349" s="14">
        <f>IF(A349="","",IF(COUNTIF(lst_Jobs,A349&amp;"")&gt;0,"OK","CHECK"))</f>
        <v/>
      </c>
      <c r="C349" s="14">
        <f>IF(A349="","",IFERROR(INDEX(lst_JobName,MATCH(A349&amp;"",lst_Jobs,0)),""))</f>
        <v/>
      </c>
      <c r="D349" s="14">
        <f>IF(A349="","",IFERROR(INDEX(tbl_Finance[Client],MATCH(A349&amp;"",tbl_Finance[Job Number],0)),""))</f>
        <v/>
      </c>
      <c r="E349" s="44">
        <f>IF(A349="","",COUNTIFS(tbl_Finance[Job Number],A349&amp;"",tbl_Finance[Ex GST],"&lt;&gt;"))</f>
        <v/>
      </c>
      <c r="F349" s="16">
        <f>IF(A349="","",SUMIFS(tbl_Finance[Ex GST],tbl_Finance[Job Number],A349&amp;""))</f>
        <v/>
      </c>
      <c r="G349" s="14">
        <f>IF(A349="","",IFERROR(INDEX(tbl_Finance[Cost Centre],MATCH(A349&amp;"",tbl_Finance[Job Number],0)),"not invoiced yet"))</f>
        <v/>
      </c>
      <c r="H349" s="13" t="n"/>
      <c r="I349" s="13" t="n"/>
      <c r="J349" s="15" t="n"/>
      <c r="K349" s="15" t="n"/>
      <c r="L349" s="15" t="n"/>
      <c r="M349" s="14">
        <f>IF(A349="","",IF(N(J349)+N(K349)+N(L349)=0,"Not split",IF(ROUND(N(J349)+N(K349)+N(L349),2)=ROUND(F349,2),"OK","MISMATCH")))</f>
        <v/>
      </c>
      <c r="N349" s="15" t="n"/>
      <c r="O349" s="15" t="n"/>
      <c r="P349" s="15" t="n"/>
      <c r="Q349" s="16">
        <f>IF(A349="","",N(N349)+N(O349)+N(P349))</f>
        <v/>
      </c>
      <c r="R349" s="16">
        <f>IF(A349="","",F349-Q349)</f>
        <v/>
      </c>
      <c r="S349" s="46">
        <f>IFERROR(R349/F349,"")</f>
        <v/>
      </c>
      <c r="T349" s="13" t="n"/>
    </row>
    <row r="350" ht="15" customHeight="1">
      <c r="A350" s="13" t="n"/>
      <c r="B350" s="14">
        <f>IF(A350="","",IF(COUNTIF(lst_Jobs,A350&amp;"")&gt;0,"OK","CHECK"))</f>
        <v/>
      </c>
      <c r="C350" s="14">
        <f>IF(A350="","",IFERROR(INDEX(lst_JobName,MATCH(A350&amp;"",lst_Jobs,0)),""))</f>
        <v/>
      </c>
      <c r="D350" s="14">
        <f>IF(A350="","",IFERROR(INDEX(tbl_Finance[Client],MATCH(A350&amp;"",tbl_Finance[Job Number],0)),""))</f>
        <v/>
      </c>
      <c r="E350" s="44">
        <f>IF(A350="","",COUNTIFS(tbl_Finance[Job Number],A350&amp;"",tbl_Finance[Ex GST],"&lt;&gt;"))</f>
        <v/>
      </c>
      <c r="F350" s="16">
        <f>IF(A350="","",SUMIFS(tbl_Finance[Ex GST],tbl_Finance[Job Number],A350&amp;""))</f>
        <v/>
      </c>
      <c r="G350" s="14">
        <f>IF(A350="","",IFERROR(INDEX(tbl_Finance[Cost Centre],MATCH(A350&amp;"",tbl_Finance[Job Number],0)),"not invoiced yet"))</f>
        <v/>
      </c>
      <c r="H350" s="13" t="n"/>
      <c r="I350" s="13" t="n"/>
      <c r="J350" s="15" t="n"/>
      <c r="K350" s="15" t="n"/>
      <c r="L350" s="15" t="n"/>
      <c r="M350" s="14">
        <f>IF(A350="","",IF(N(J350)+N(K350)+N(L350)=0,"Not split",IF(ROUND(N(J350)+N(K350)+N(L350),2)=ROUND(F350,2),"OK","MISMATCH")))</f>
        <v/>
      </c>
      <c r="N350" s="15" t="n"/>
      <c r="O350" s="15" t="n"/>
      <c r="P350" s="15" t="n"/>
      <c r="Q350" s="16">
        <f>IF(A350="","",N(N350)+N(O350)+N(P350))</f>
        <v/>
      </c>
      <c r="R350" s="16">
        <f>IF(A350="","",F350-Q350)</f>
        <v/>
      </c>
      <c r="S350" s="46">
        <f>IFERROR(R350/F350,"")</f>
        <v/>
      </c>
      <c r="T350" s="13" t="n"/>
    </row>
    <row r="351" ht="15" customHeight="1">
      <c r="A351" s="13" t="n"/>
      <c r="B351" s="14">
        <f>IF(A351="","",IF(COUNTIF(lst_Jobs,A351&amp;"")&gt;0,"OK","CHECK"))</f>
        <v/>
      </c>
      <c r="C351" s="14">
        <f>IF(A351="","",IFERROR(INDEX(lst_JobName,MATCH(A351&amp;"",lst_Jobs,0)),""))</f>
        <v/>
      </c>
      <c r="D351" s="14">
        <f>IF(A351="","",IFERROR(INDEX(tbl_Finance[Client],MATCH(A351&amp;"",tbl_Finance[Job Number],0)),""))</f>
        <v/>
      </c>
      <c r="E351" s="44">
        <f>IF(A351="","",COUNTIFS(tbl_Finance[Job Number],A351&amp;"",tbl_Finance[Ex GST],"&lt;&gt;"))</f>
        <v/>
      </c>
      <c r="F351" s="16">
        <f>IF(A351="","",SUMIFS(tbl_Finance[Ex GST],tbl_Finance[Job Number],A351&amp;""))</f>
        <v/>
      </c>
      <c r="G351" s="14">
        <f>IF(A351="","",IFERROR(INDEX(tbl_Finance[Cost Centre],MATCH(A351&amp;"",tbl_Finance[Job Number],0)),"not invoiced yet"))</f>
        <v/>
      </c>
      <c r="H351" s="13" t="n"/>
      <c r="I351" s="13" t="n"/>
      <c r="J351" s="15" t="n"/>
      <c r="K351" s="15" t="n"/>
      <c r="L351" s="15" t="n"/>
      <c r="M351" s="14">
        <f>IF(A351="","",IF(N(J351)+N(K351)+N(L351)=0,"Not split",IF(ROUND(N(J351)+N(K351)+N(L351),2)=ROUND(F351,2),"OK","MISMATCH")))</f>
        <v/>
      </c>
      <c r="N351" s="15" t="n"/>
      <c r="O351" s="15" t="n"/>
      <c r="P351" s="15" t="n"/>
      <c r="Q351" s="16">
        <f>IF(A351="","",N(N351)+N(O351)+N(P351))</f>
        <v/>
      </c>
      <c r="R351" s="16">
        <f>IF(A351="","",F351-Q351)</f>
        <v/>
      </c>
      <c r="S351" s="46">
        <f>IFERROR(R351/F351,"")</f>
        <v/>
      </c>
      <c r="T351" s="13" t="n"/>
    </row>
    <row r="352" ht="15" customHeight="1">
      <c r="A352" s="13" t="n"/>
      <c r="B352" s="14">
        <f>IF(A352="","",IF(COUNTIF(lst_Jobs,A352&amp;"")&gt;0,"OK","CHECK"))</f>
        <v/>
      </c>
      <c r="C352" s="14">
        <f>IF(A352="","",IFERROR(INDEX(lst_JobName,MATCH(A352&amp;"",lst_Jobs,0)),""))</f>
        <v/>
      </c>
      <c r="D352" s="14">
        <f>IF(A352="","",IFERROR(INDEX(tbl_Finance[Client],MATCH(A352&amp;"",tbl_Finance[Job Number],0)),""))</f>
        <v/>
      </c>
      <c r="E352" s="44">
        <f>IF(A352="","",COUNTIFS(tbl_Finance[Job Number],A352&amp;"",tbl_Finance[Ex GST],"&lt;&gt;"))</f>
        <v/>
      </c>
      <c r="F352" s="16">
        <f>IF(A352="","",SUMIFS(tbl_Finance[Ex GST],tbl_Finance[Job Number],A352&amp;""))</f>
        <v/>
      </c>
      <c r="G352" s="14">
        <f>IF(A352="","",IFERROR(INDEX(tbl_Finance[Cost Centre],MATCH(A352&amp;"",tbl_Finance[Job Number],0)),"not invoiced yet"))</f>
        <v/>
      </c>
      <c r="H352" s="13" t="n"/>
      <c r="I352" s="13" t="n"/>
      <c r="J352" s="15" t="n"/>
      <c r="K352" s="15" t="n"/>
      <c r="L352" s="15" t="n"/>
      <c r="M352" s="14">
        <f>IF(A352="","",IF(N(J352)+N(K352)+N(L352)=0,"Not split",IF(ROUND(N(J352)+N(K352)+N(L352),2)=ROUND(F352,2),"OK","MISMATCH")))</f>
        <v/>
      </c>
      <c r="N352" s="15" t="n"/>
      <c r="O352" s="15" t="n"/>
      <c r="P352" s="15" t="n"/>
      <c r="Q352" s="16">
        <f>IF(A352="","",N(N352)+N(O352)+N(P352))</f>
        <v/>
      </c>
      <c r="R352" s="16">
        <f>IF(A352="","",F352-Q352)</f>
        <v/>
      </c>
      <c r="S352" s="46">
        <f>IFERROR(R352/F352,"")</f>
        <v/>
      </c>
      <c r="T352" s="13" t="n"/>
    </row>
    <row r="353" ht="15" customHeight="1">
      <c r="A353" s="13" t="n"/>
      <c r="B353" s="14">
        <f>IF(A353="","",IF(COUNTIF(lst_Jobs,A353&amp;"")&gt;0,"OK","CHECK"))</f>
        <v/>
      </c>
      <c r="C353" s="14">
        <f>IF(A353="","",IFERROR(INDEX(lst_JobName,MATCH(A353&amp;"",lst_Jobs,0)),""))</f>
        <v/>
      </c>
      <c r="D353" s="14">
        <f>IF(A353="","",IFERROR(INDEX(tbl_Finance[Client],MATCH(A353&amp;"",tbl_Finance[Job Number],0)),""))</f>
        <v/>
      </c>
      <c r="E353" s="44">
        <f>IF(A353="","",COUNTIFS(tbl_Finance[Job Number],A353&amp;"",tbl_Finance[Ex GST],"&lt;&gt;"))</f>
        <v/>
      </c>
      <c r="F353" s="16">
        <f>IF(A353="","",SUMIFS(tbl_Finance[Ex GST],tbl_Finance[Job Number],A353&amp;""))</f>
        <v/>
      </c>
      <c r="G353" s="14">
        <f>IF(A353="","",IFERROR(INDEX(tbl_Finance[Cost Centre],MATCH(A353&amp;"",tbl_Finance[Job Number],0)),"not invoiced yet"))</f>
        <v/>
      </c>
      <c r="H353" s="13" t="n"/>
      <c r="I353" s="13" t="n"/>
      <c r="J353" s="15" t="n"/>
      <c r="K353" s="15" t="n"/>
      <c r="L353" s="15" t="n"/>
      <c r="M353" s="14">
        <f>IF(A353="","",IF(N(J353)+N(K353)+N(L353)=0,"Not split",IF(ROUND(N(J353)+N(K353)+N(L353),2)=ROUND(F353,2),"OK","MISMATCH")))</f>
        <v/>
      </c>
      <c r="N353" s="15" t="n"/>
      <c r="O353" s="15" t="n"/>
      <c r="P353" s="15" t="n"/>
      <c r="Q353" s="16">
        <f>IF(A353="","",N(N353)+N(O353)+N(P353))</f>
        <v/>
      </c>
      <c r="R353" s="16">
        <f>IF(A353="","",F353-Q353)</f>
        <v/>
      </c>
      <c r="S353" s="46">
        <f>IFERROR(R353/F353,"")</f>
        <v/>
      </c>
      <c r="T353" s="13" t="n"/>
    </row>
    <row r="354" ht="15" customHeight="1">
      <c r="A354" s="13" t="n"/>
      <c r="B354" s="14">
        <f>IF(A354="","",IF(COUNTIF(lst_Jobs,A354&amp;"")&gt;0,"OK","CHECK"))</f>
        <v/>
      </c>
      <c r="C354" s="14">
        <f>IF(A354="","",IFERROR(INDEX(lst_JobName,MATCH(A354&amp;"",lst_Jobs,0)),""))</f>
        <v/>
      </c>
      <c r="D354" s="14">
        <f>IF(A354="","",IFERROR(INDEX(tbl_Finance[Client],MATCH(A354&amp;"",tbl_Finance[Job Number],0)),""))</f>
        <v/>
      </c>
      <c r="E354" s="44">
        <f>IF(A354="","",COUNTIFS(tbl_Finance[Job Number],A354&amp;"",tbl_Finance[Ex GST],"&lt;&gt;"))</f>
        <v/>
      </c>
      <c r="F354" s="16">
        <f>IF(A354="","",SUMIFS(tbl_Finance[Ex GST],tbl_Finance[Job Number],A354&amp;""))</f>
        <v/>
      </c>
      <c r="G354" s="14">
        <f>IF(A354="","",IFERROR(INDEX(tbl_Finance[Cost Centre],MATCH(A354&amp;"",tbl_Finance[Job Number],0)),"not invoiced yet"))</f>
        <v/>
      </c>
      <c r="H354" s="13" t="n"/>
      <c r="I354" s="13" t="n"/>
      <c r="J354" s="15" t="n"/>
      <c r="K354" s="15" t="n"/>
      <c r="L354" s="15" t="n"/>
      <c r="M354" s="14">
        <f>IF(A354="","",IF(N(J354)+N(K354)+N(L354)=0,"Not split",IF(ROUND(N(J354)+N(K354)+N(L354),2)=ROUND(F354,2),"OK","MISMATCH")))</f>
        <v/>
      </c>
      <c r="N354" s="15" t="n"/>
      <c r="O354" s="15" t="n"/>
      <c r="P354" s="15" t="n"/>
      <c r="Q354" s="16">
        <f>IF(A354="","",N(N354)+N(O354)+N(P354))</f>
        <v/>
      </c>
      <c r="R354" s="16">
        <f>IF(A354="","",F354-Q354)</f>
        <v/>
      </c>
      <c r="S354" s="46">
        <f>IFERROR(R354/F354,"")</f>
        <v/>
      </c>
      <c r="T354" s="13" t="n"/>
    </row>
    <row r="355" ht="15" customHeight="1">
      <c r="A355" s="13" t="n"/>
      <c r="B355" s="14">
        <f>IF(A355="","",IF(COUNTIF(lst_Jobs,A355&amp;"")&gt;0,"OK","CHECK"))</f>
        <v/>
      </c>
      <c r="C355" s="14">
        <f>IF(A355="","",IFERROR(INDEX(lst_JobName,MATCH(A355&amp;"",lst_Jobs,0)),""))</f>
        <v/>
      </c>
      <c r="D355" s="14">
        <f>IF(A355="","",IFERROR(INDEX(tbl_Finance[Client],MATCH(A355&amp;"",tbl_Finance[Job Number],0)),""))</f>
        <v/>
      </c>
      <c r="E355" s="44">
        <f>IF(A355="","",COUNTIFS(tbl_Finance[Job Number],A355&amp;"",tbl_Finance[Ex GST],"&lt;&gt;"))</f>
        <v/>
      </c>
      <c r="F355" s="16">
        <f>IF(A355="","",SUMIFS(tbl_Finance[Ex GST],tbl_Finance[Job Number],A355&amp;""))</f>
        <v/>
      </c>
      <c r="G355" s="14">
        <f>IF(A355="","",IFERROR(INDEX(tbl_Finance[Cost Centre],MATCH(A355&amp;"",tbl_Finance[Job Number],0)),"not invoiced yet"))</f>
        <v/>
      </c>
      <c r="H355" s="13" t="n"/>
      <c r="I355" s="13" t="n"/>
      <c r="J355" s="15" t="n"/>
      <c r="K355" s="15" t="n"/>
      <c r="L355" s="15" t="n"/>
      <c r="M355" s="14">
        <f>IF(A355="","",IF(N(J355)+N(K355)+N(L355)=0,"Not split",IF(ROUND(N(J355)+N(K355)+N(L355),2)=ROUND(F355,2),"OK","MISMATCH")))</f>
        <v/>
      </c>
      <c r="N355" s="15" t="n"/>
      <c r="O355" s="15" t="n"/>
      <c r="P355" s="15" t="n"/>
      <c r="Q355" s="16">
        <f>IF(A355="","",N(N355)+N(O355)+N(P355))</f>
        <v/>
      </c>
      <c r="R355" s="16">
        <f>IF(A355="","",F355-Q355)</f>
        <v/>
      </c>
      <c r="S355" s="46">
        <f>IFERROR(R355/F355,"")</f>
        <v/>
      </c>
      <c r="T355" s="13" t="n"/>
    </row>
    <row r="356" ht="15" customHeight="1">
      <c r="A356" s="13" t="n"/>
      <c r="B356" s="14">
        <f>IF(A356="","",IF(COUNTIF(lst_Jobs,A356&amp;"")&gt;0,"OK","CHECK"))</f>
        <v/>
      </c>
      <c r="C356" s="14">
        <f>IF(A356="","",IFERROR(INDEX(lst_JobName,MATCH(A356&amp;"",lst_Jobs,0)),""))</f>
        <v/>
      </c>
      <c r="D356" s="14">
        <f>IF(A356="","",IFERROR(INDEX(tbl_Finance[Client],MATCH(A356&amp;"",tbl_Finance[Job Number],0)),""))</f>
        <v/>
      </c>
      <c r="E356" s="44">
        <f>IF(A356="","",COUNTIFS(tbl_Finance[Job Number],A356&amp;"",tbl_Finance[Ex GST],"&lt;&gt;"))</f>
        <v/>
      </c>
      <c r="F356" s="16">
        <f>IF(A356="","",SUMIFS(tbl_Finance[Ex GST],tbl_Finance[Job Number],A356&amp;""))</f>
        <v/>
      </c>
      <c r="G356" s="14">
        <f>IF(A356="","",IFERROR(INDEX(tbl_Finance[Cost Centre],MATCH(A356&amp;"",tbl_Finance[Job Number],0)),"not invoiced yet"))</f>
        <v/>
      </c>
      <c r="H356" s="13" t="n"/>
      <c r="I356" s="13" t="n"/>
      <c r="J356" s="15" t="n"/>
      <c r="K356" s="15" t="n"/>
      <c r="L356" s="15" t="n"/>
      <c r="M356" s="14">
        <f>IF(A356="","",IF(N(J356)+N(K356)+N(L356)=0,"Not split",IF(ROUND(N(J356)+N(K356)+N(L356),2)=ROUND(F356,2),"OK","MISMATCH")))</f>
        <v/>
      </c>
      <c r="N356" s="15" t="n"/>
      <c r="O356" s="15" t="n"/>
      <c r="P356" s="15" t="n"/>
      <c r="Q356" s="16">
        <f>IF(A356="","",N(N356)+N(O356)+N(P356))</f>
        <v/>
      </c>
      <c r="R356" s="16">
        <f>IF(A356="","",F356-Q356)</f>
        <v/>
      </c>
      <c r="S356" s="46">
        <f>IFERROR(R356/F356,"")</f>
        <v/>
      </c>
      <c r="T356" s="13" t="n"/>
    </row>
    <row r="357" ht="15" customHeight="1">
      <c r="A357" s="13" t="n"/>
      <c r="B357" s="14">
        <f>IF(A357="","",IF(COUNTIF(lst_Jobs,A357&amp;"")&gt;0,"OK","CHECK"))</f>
        <v/>
      </c>
      <c r="C357" s="14">
        <f>IF(A357="","",IFERROR(INDEX(lst_JobName,MATCH(A357&amp;"",lst_Jobs,0)),""))</f>
        <v/>
      </c>
      <c r="D357" s="14">
        <f>IF(A357="","",IFERROR(INDEX(tbl_Finance[Client],MATCH(A357&amp;"",tbl_Finance[Job Number],0)),""))</f>
        <v/>
      </c>
      <c r="E357" s="44">
        <f>IF(A357="","",COUNTIFS(tbl_Finance[Job Number],A357&amp;"",tbl_Finance[Ex GST],"&lt;&gt;"))</f>
        <v/>
      </c>
      <c r="F357" s="16">
        <f>IF(A357="","",SUMIFS(tbl_Finance[Ex GST],tbl_Finance[Job Number],A357&amp;""))</f>
        <v/>
      </c>
      <c r="G357" s="14">
        <f>IF(A357="","",IFERROR(INDEX(tbl_Finance[Cost Centre],MATCH(A357&amp;"",tbl_Finance[Job Number],0)),"not invoiced yet"))</f>
        <v/>
      </c>
      <c r="H357" s="13" t="n"/>
      <c r="I357" s="13" t="n"/>
      <c r="J357" s="15" t="n"/>
      <c r="K357" s="15" t="n"/>
      <c r="L357" s="15" t="n"/>
      <c r="M357" s="14">
        <f>IF(A357="","",IF(N(J357)+N(K357)+N(L357)=0,"Not split",IF(ROUND(N(J357)+N(K357)+N(L357),2)=ROUND(F357,2),"OK","MISMATCH")))</f>
        <v/>
      </c>
      <c r="N357" s="15" t="n"/>
      <c r="O357" s="15" t="n"/>
      <c r="P357" s="15" t="n"/>
      <c r="Q357" s="16">
        <f>IF(A357="","",N(N357)+N(O357)+N(P357))</f>
        <v/>
      </c>
      <c r="R357" s="16">
        <f>IF(A357="","",F357-Q357)</f>
        <v/>
      </c>
      <c r="S357" s="46">
        <f>IFERROR(R357/F357,"")</f>
        <v/>
      </c>
      <c r="T357" s="13" t="n"/>
    </row>
    <row r="358" ht="15" customHeight="1">
      <c r="A358" s="13" t="n"/>
      <c r="B358" s="14">
        <f>IF(A358="","",IF(COUNTIF(lst_Jobs,A358&amp;"")&gt;0,"OK","CHECK"))</f>
        <v/>
      </c>
      <c r="C358" s="14">
        <f>IF(A358="","",IFERROR(INDEX(lst_JobName,MATCH(A358&amp;"",lst_Jobs,0)),""))</f>
        <v/>
      </c>
      <c r="D358" s="14">
        <f>IF(A358="","",IFERROR(INDEX(tbl_Finance[Client],MATCH(A358&amp;"",tbl_Finance[Job Number],0)),""))</f>
        <v/>
      </c>
      <c r="E358" s="44">
        <f>IF(A358="","",COUNTIFS(tbl_Finance[Job Number],A358&amp;"",tbl_Finance[Ex GST],"&lt;&gt;"))</f>
        <v/>
      </c>
      <c r="F358" s="16">
        <f>IF(A358="","",SUMIFS(tbl_Finance[Ex GST],tbl_Finance[Job Number],A358&amp;""))</f>
        <v/>
      </c>
      <c r="G358" s="14">
        <f>IF(A358="","",IFERROR(INDEX(tbl_Finance[Cost Centre],MATCH(A358&amp;"",tbl_Finance[Job Number],0)),"not invoiced yet"))</f>
        <v/>
      </c>
      <c r="H358" s="13" t="n"/>
      <c r="I358" s="13" t="n"/>
      <c r="J358" s="15" t="n"/>
      <c r="K358" s="15" t="n"/>
      <c r="L358" s="15" t="n"/>
      <c r="M358" s="14">
        <f>IF(A358="","",IF(N(J358)+N(K358)+N(L358)=0,"Not split",IF(ROUND(N(J358)+N(K358)+N(L358),2)=ROUND(F358,2),"OK","MISMATCH")))</f>
        <v/>
      </c>
      <c r="N358" s="15" t="n"/>
      <c r="O358" s="15" t="n"/>
      <c r="P358" s="15" t="n"/>
      <c r="Q358" s="16">
        <f>IF(A358="","",N(N358)+N(O358)+N(P358))</f>
        <v/>
      </c>
      <c r="R358" s="16">
        <f>IF(A358="","",F358-Q358)</f>
        <v/>
      </c>
      <c r="S358" s="46">
        <f>IFERROR(R358/F358,"")</f>
        <v/>
      </c>
      <c r="T358" s="13" t="n"/>
    </row>
    <row r="359" ht="15" customHeight="1">
      <c r="A359" s="13" t="n"/>
      <c r="B359" s="14">
        <f>IF(A359="","",IF(COUNTIF(lst_Jobs,A359&amp;"")&gt;0,"OK","CHECK"))</f>
        <v/>
      </c>
      <c r="C359" s="14">
        <f>IF(A359="","",IFERROR(INDEX(lst_JobName,MATCH(A359&amp;"",lst_Jobs,0)),""))</f>
        <v/>
      </c>
      <c r="D359" s="14">
        <f>IF(A359="","",IFERROR(INDEX(tbl_Finance[Client],MATCH(A359&amp;"",tbl_Finance[Job Number],0)),""))</f>
        <v/>
      </c>
      <c r="E359" s="44">
        <f>IF(A359="","",COUNTIFS(tbl_Finance[Job Number],A359&amp;"",tbl_Finance[Ex GST],"&lt;&gt;"))</f>
        <v/>
      </c>
      <c r="F359" s="16">
        <f>IF(A359="","",SUMIFS(tbl_Finance[Ex GST],tbl_Finance[Job Number],A359&amp;""))</f>
        <v/>
      </c>
      <c r="G359" s="14">
        <f>IF(A359="","",IFERROR(INDEX(tbl_Finance[Cost Centre],MATCH(A359&amp;"",tbl_Finance[Job Number],0)),"not invoiced yet"))</f>
        <v/>
      </c>
      <c r="H359" s="13" t="n"/>
      <c r="I359" s="13" t="n"/>
      <c r="J359" s="15" t="n"/>
      <c r="K359" s="15" t="n"/>
      <c r="L359" s="15" t="n"/>
      <c r="M359" s="14">
        <f>IF(A359="","",IF(N(J359)+N(K359)+N(L359)=0,"Not split",IF(ROUND(N(J359)+N(K359)+N(L359),2)=ROUND(F359,2),"OK","MISMATCH")))</f>
        <v/>
      </c>
      <c r="N359" s="15" t="n"/>
      <c r="O359" s="15" t="n"/>
      <c r="P359" s="15" t="n"/>
      <c r="Q359" s="16">
        <f>IF(A359="","",N(N359)+N(O359)+N(P359))</f>
        <v/>
      </c>
      <c r="R359" s="16">
        <f>IF(A359="","",F359-Q359)</f>
        <v/>
      </c>
      <c r="S359" s="46">
        <f>IFERROR(R359/F359,"")</f>
        <v/>
      </c>
      <c r="T359" s="13" t="n"/>
    </row>
    <row r="360" ht="15" customHeight="1">
      <c r="A360" s="13" t="n"/>
      <c r="B360" s="14">
        <f>IF(A360="","",IF(COUNTIF(lst_Jobs,A360&amp;"")&gt;0,"OK","CHECK"))</f>
        <v/>
      </c>
      <c r="C360" s="14">
        <f>IF(A360="","",IFERROR(INDEX(lst_JobName,MATCH(A360&amp;"",lst_Jobs,0)),""))</f>
        <v/>
      </c>
      <c r="D360" s="14">
        <f>IF(A360="","",IFERROR(INDEX(tbl_Finance[Client],MATCH(A360&amp;"",tbl_Finance[Job Number],0)),""))</f>
        <v/>
      </c>
      <c r="E360" s="44">
        <f>IF(A360="","",COUNTIFS(tbl_Finance[Job Number],A360&amp;"",tbl_Finance[Ex GST],"&lt;&gt;"))</f>
        <v/>
      </c>
      <c r="F360" s="16">
        <f>IF(A360="","",SUMIFS(tbl_Finance[Ex GST],tbl_Finance[Job Number],A360&amp;""))</f>
        <v/>
      </c>
      <c r="G360" s="14">
        <f>IF(A360="","",IFERROR(INDEX(tbl_Finance[Cost Centre],MATCH(A360&amp;"",tbl_Finance[Job Number],0)),"not invoiced yet"))</f>
        <v/>
      </c>
      <c r="H360" s="13" t="n"/>
      <c r="I360" s="13" t="n"/>
      <c r="J360" s="15" t="n"/>
      <c r="K360" s="15" t="n"/>
      <c r="L360" s="15" t="n"/>
      <c r="M360" s="14">
        <f>IF(A360="","",IF(N(J360)+N(K360)+N(L360)=0,"Not split",IF(ROUND(N(J360)+N(K360)+N(L360),2)=ROUND(F360,2),"OK","MISMATCH")))</f>
        <v/>
      </c>
      <c r="N360" s="15" t="n"/>
      <c r="O360" s="15" t="n"/>
      <c r="P360" s="15" t="n"/>
      <c r="Q360" s="16">
        <f>IF(A360="","",N(N360)+N(O360)+N(P360))</f>
        <v/>
      </c>
      <c r="R360" s="16">
        <f>IF(A360="","",F360-Q360)</f>
        <v/>
      </c>
      <c r="S360" s="46">
        <f>IFERROR(R360/F360,"")</f>
        <v/>
      </c>
      <c r="T360" s="13" t="n"/>
    </row>
    <row r="361" ht="15" customHeight="1">
      <c r="A361" s="13" t="n"/>
      <c r="B361" s="14">
        <f>IF(A361="","",IF(COUNTIF(lst_Jobs,A361&amp;"")&gt;0,"OK","CHECK"))</f>
        <v/>
      </c>
      <c r="C361" s="14">
        <f>IF(A361="","",IFERROR(INDEX(lst_JobName,MATCH(A361&amp;"",lst_Jobs,0)),""))</f>
        <v/>
      </c>
      <c r="D361" s="14">
        <f>IF(A361="","",IFERROR(INDEX(tbl_Finance[Client],MATCH(A361&amp;"",tbl_Finance[Job Number],0)),""))</f>
        <v/>
      </c>
      <c r="E361" s="44">
        <f>IF(A361="","",COUNTIFS(tbl_Finance[Job Number],A361&amp;"",tbl_Finance[Ex GST],"&lt;&gt;"))</f>
        <v/>
      </c>
      <c r="F361" s="16">
        <f>IF(A361="","",SUMIFS(tbl_Finance[Ex GST],tbl_Finance[Job Number],A361&amp;""))</f>
        <v/>
      </c>
      <c r="G361" s="14">
        <f>IF(A361="","",IFERROR(INDEX(tbl_Finance[Cost Centre],MATCH(A361&amp;"",tbl_Finance[Job Number],0)),"not invoiced yet"))</f>
        <v/>
      </c>
      <c r="H361" s="13" t="n"/>
      <c r="I361" s="13" t="n"/>
      <c r="J361" s="15" t="n"/>
      <c r="K361" s="15" t="n"/>
      <c r="L361" s="15" t="n"/>
      <c r="M361" s="14">
        <f>IF(A361="","",IF(N(J361)+N(K361)+N(L361)=0,"Not split",IF(ROUND(N(J361)+N(K361)+N(L361),2)=ROUND(F361,2),"OK","MISMATCH")))</f>
        <v/>
      </c>
      <c r="N361" s="15" t="n"/>
      <c r="O361" s="15" t="n"/>
      <c r="P361" s="15" t="n"/>
      <c r="Q361" s="16">
        <f>IF(A361="","",N(N361)+N(O361)+N(P361))</f>
        <v/>
      </c>
      <c r="R361" s="16">
        <f>IF(A361="","",F361-Q361)</f>
        <v/>
      </c>
      <c r="S361" s="46">
        <f>IFERROR(R361/F361,"")</f>
        <v/>
      </c>
      <c r="T361" s="13" t="n"/>
    </row>
    <row r="362" ht="15" customHeight="1">
      <c r="A362" s="13" t="n"/>
      <c r="B362" s="14">
        <f>IF(A362="","",IF(COUNTIF(lst_Jobs,A362&amp;"")&gt;0,"OK","CHECK"))</f>
        <v/>
      </c>
      <c r="C362" s="14">
        <f>IF(A362="","",IFERROR(INDEX(lst_JobName,MATCH(A362&amp;"",lst_Jobs,0)),""))</f>
        <v/>
      </c>
      <c r="D362" s="14">
        <f>IF(A362="","",IFERROR(INDEX(tbl_Finance[Client],MATCH(A362&amp;"",tbl_Finance[Job Number],0)),""))</f>
        <v/>
      </c>
      <c r="E362" s="44">
        <f>IF(A362="","",COUNTIFS(tbl_Finance[Job Number],A362&amp;"",tbl_Finance[Ex GST],"&lt;&gt;"))</f>
        <v/>
      </c>
      <c r="F362" s="16">
        <f>IF(A362="","",SUMIFS(tbl_Finance[Ex GST],tbl_Finance[Job Number],A362&amp;""))</f>
        <v/>
      </c>
      <c r="G362" s="14">
        <f>IF(A362="","",IFERROR(INDEX(tbl_Finance[Cost Centre],MATCH(A362&amp;"",tbl_Finance[Job Number],0)),"not invoiced yet"))</f>
        <v/>
      </c>
      <c r="H362" s="13" t="n"/>
      <c r="I362" s="13" t="n"/>
      <c r="J362" s="15" t="n"/>
      <c r="K362" s="15" t="n"/>
      <c r="L362" s="15" t="n"/>
      <c r="M362" s="14">
        <f>IF(A362="","",IF(N(J362)+N(K362)+N(L362)=0,"Not split",IF(ROUND(N(J362)+N(K362)+N(L362),2)=ROUND(F362,2),"OK","MISMATCH")))</f>
        <v/>
      </c>
      <c r="N362" s="15" t="n"/>
      <c r="O362" s="15" t="n"/>
      <c r="P362" s="15" t="n"/>
      <c r="Q362" s="16">
        <f>IF(A362="","",N(N362)+N(O362)+N(P362))</f>
        <v/>
      </c>
      <c r="R362" s="16">
        <f>IF(A362="","",F362-Q362)</f>
        <v/>
      </c>
      <c r="S362" s="46">
        <f>IFERROR(R362/F362,"")</f>
        <v/>
      </c>
      <c r="T362" s="13" t="n"/>
    </row>
    <row r="363" ht="15" customHeight="1">
      <c r="A363" s="13" t="n"/>
      <c r="B363" s="14">
        <f>IF(A363="","",IF(COUNTIF(lst_Jobs,A363&amp;"")&gt;0,"OK","CHECK"))</f>
        <v/>
      </c>
      <c r="C363" s="14">
        <f>IF(A363="","",IFERROR(INDEX(lst_JobName,MATCH(A363&amp;"",lst_Jobs,0)),""))</f>
        <v/>
      </c>
      <c r="D363" s="14">
        <f>IF(A363="","",IFERROR(INDEX(tbl_Finance[Client],MATCH(A363&amp;"",tbl_Finance[Job Number],0)),""))</f>
        <v/>
      </c>
      <c r="E363" s="44">
        <f>IF(A363="","",COUNTIFS(tbl_Finance[Job Number],A363&amp;"",tbl_Finance[Ex GST],"&lt;&gt;"))</f>
        <v/>
      </c>
      <c r="F363" s="16">
        <f>IF(A363="","",SUMIFS(tbl_Finance[Ex GST],tbl_Finance[Job Number],A363&amp;""))</f>
        <v/>
      </c>
      <c r="G363" s="14">
        <f>IF(A363="","",IFERROR(INDEX(tbl_Finance[Cost Centre],MATCH(A363&amp;"",tbl_Finance[Job Number],0)),"not invoiced yet"))</f>
        <v/>
      </c>
      <c r="H363" s="13" t="n"/>
      <c r="I363" s="13" t="n"/>
      <c r="J363" s="15" t="n"/>
      <c r="K363" s="15" t="n"/>
      <c r="L363" s="15" t="n"/>
      <c r="M363" s="14">
        <f>IF(A363="","",IF(N(J363)+N(K363)+N(L363)=0,"Not split",IF(ROUND(N(J363)+N(K363)+N(L363),2)=ROUND(F363,2),"OK","MISMATCH")))</f>
        <v/>
      </c>
      <c r="N363" s="15" t="n"/>
      <c r="O363" s="15" t="n"/>
      <c r="P363" s="15" t="n"/>
      <c r="Q363" s="16">
        <f>IF(A363="","",N(N363)+N(O363)+N(P363))</f>
        <v/>
      </c>
      <c r="R363" s="16">
        <f>IF(A363="","",F363-Q363)</f>
        <v/>
      </c>
      <c r="S363" s="46">
        <f>IFERROR(R363/F363,"")</f>
        <v/>
      </c>
      <c r="T363" s="13" t="n"/>
    </row>
    <row r="364" ht="15" customHeight="1">
      <c r="A364" s="13" t="n"/>
      <c r="B364" s="14">
        <f>IF(A364="","",IF(COUNTIF(lst_Jobs,A364&amp;"")&gt;0,"OK","CHECK"))</f>
        <v/>
      </c>
      <c r="C364" s="14">
        <f>IF(A364="","",IFERROR(INDEX(lst_JobName,MATCH(A364&amp;"",lst_Jobs,0)),""))</f>
        <v/>
      </c>
      <c r="D364" s="14">
        <f>IF(A364="","",IFERROR(INDEX(tbl_Finance[Client],MATCH(A364&amp;"",tbl_Finance[Job Number],0)),""))</f>
        <v/>
      </c>
      <c r="E364" s="44">
        <f>IF(A364="","",COUNTIFS(tbl_Finance[Job Number],A364&amp;"",tbl_Finance[Ex GST],"&lt;&gt;"))</f>
        <v/>
      </c>
      <c r="F364" s="16">
        <f>IF(A364="","",SUMIFS(tbl_Finance[Ex GST],tbl_Finance[Job Number],A364&amp;""))</f>
        <v/>
      </c>
      <c r="G364" s="14">
        <f>IF(A364="","",IFERROR(INDEX(tbl_Finance[Cost Centre],MATCH(A364&amp;"",tbl_Finance[Job Number],0)),"not invoiced yet"))</f>
        <v/>
      </c>
      <c r="H364" s="13" t="n"/>
      <c r="I364" s="13" t="n"/>
      <c r="J364" s="15" t="n"/>
      <c r="K364" s="15" t="n"/>
      <c r="L364" s="15" t="n"/>
      <c r="M364" s="14">
        <f>IF(A364="","",IF(N(J364)+N(K364)+N(L364)=0,"Not split",IF(ROUND(N(J364)+N(K364)+N(L364),2)=ROUND(F364,2),"OK","MISMATCH")))</f>
        <v/>
      </c>
      <c r="N364" s="15" t="n"/>
      <c r="O364" s="15" t="n"/>
      <c r="P364" s="15" t="n"/>
      <c r="Q364" s="16">
        <f>IF(A364="","",N(N364)+N(O364)+N(P364))</f>
        <v/>
      </c>
      <c r="R364" s="16">
        <f>IF(A364="","",F364-Q364)</f>
        <v/>
      </c>
      <c r="S364" s="46">
        <f>IFERROR(R364/F364,"")</f>
        <v/>
      </c>
      <c r="T364" s="13" t="n"/>
    </row>
    <row r="365" ht="15" customHeight="1">
      <c r="A365" s="13" t="n"/>
      <c r="B365" s="14">
        <f>IF(A365="","",IF(COUNTIF(lst_Jobs,A365&amp;"")&gt;0,"OK","CHECK"))</f>
        <v/>
      </c>
      <c r="C365" s="14">
        <f>IF(A365="","",IFERROR(INDEX(lst_JobName,MATCH(A365&amp;"",lst_Jobs,0)),""))</f>
        <v/>
      </c>
      <c r="D365" s="14">
        <f>IF(A365="","",IFERROR(INDEX(tbl_Finance[Client],MATCH(A365&amp;"",tbl_Finance[Job Number],0)),""))</f>
        <v/>
      </c>
      <c r="E365" s="44">
        <f>IF(A365="","",COUNTIFS(tbl_Finance[Job Number],A365&amp;"",tbl_Finance[Ex GST],"&lt;&gt;"))</f>
        <v/>
      </c>
      <c r="F365" s="16">
        <f>IF(A365="","",SUMIFS(tbl_Finance[Ex GST],tbl_Finance[Job Number],A365&amp;""))</f>
        <v/>
      </c>
      <c r="G365" s="14">
        <f>IF(A365="","",IFERROR(INDEX(tbl_Finance[Cost Centre],MATCH(A365&amp;"",tbl_Finance[Job Number],0)),"not invoiced yet"))</f>
        <v/>
      </c>
      <c r="H365" s="13" t="n"/>
      <c r="I365" s="13" t="n"/>
      <c r="J365" s="15" t="n"/>
      <c r="K365" s="15" t="n"/>
      <c r="L365" s="15" t="n"/>
      <c r="M365" s="14">
        <f>IF(A365="","",IF(N(J365)+N(K365)+N(L365)=0,"Not split",IF(ROUND(N(J365)+N(K365)+N(L365),2)=ROUND(F365,2),"OK","MISMATCH")))</f>
        <v/>
      </c>
      <c r="N365" s="15" t="n"/>
      <c r="O365" s="15" t="n"/>
      <c r="P365" s="15" t="n"/>
      <c r="Q365" s="16">
        <f>IF(A365="","",N(N365)+N(O365)+N(P365))</f>
        <v/>
      </c>
      <c r="R365" s="16">
        <f>IF(A365="","",F365-Q365)</f>
        <v/>
      </c>
      <c r="S365" s="46">
        <f>IFERROR(R365/F365,"")</f>
        <v/>
      </c>
      <c r="T365" s="13" t="n"/>
    </row>
    <row r="366" ht="15" customHeight="1">
      <c r="A366" s="13" t="n"/>
      <c r="B366" s="14">
        <f>IF(A366="","",IF(COUNTIF(lst_Jobs,A366&amp;"")&gt;0,"OK","CHECK"))</f>
        <v/>
      </c>
      <c r="C366" s="14">
        <f>IF(A366="","",IFERROR(INDEX(lst_JobName,MATCH(A366&amp;"",lst_Jobs,0)),""))</f>
        <v/>
      </c>
      <c r="D366" s="14">
        <f>IF(A366="","",IFERROR(INDEX(tbl_Finance[Client],MATCH(A366&amp;"",tbl_Finance[Job Number],0)),""))</f>
        <v/>
      </c>
      <c r="E366" s="44">
        <f>IF(A366="","",COUNTIFS(tbl_Finance[Job Number],A366&amp;"",tbl_Finance[Ex GST],"&lt;&gt;"))</f>
        <v/>
      </c>
      <c r="F366" s="16">
        <f>IF(A366="","",SUMIFS(tbl_Finance[Ex GST],tbl_Finance[Job Number],A366&amp;""))</f>
        <v/>
      </c>
      <c r="G366" s="14">
        <f>IF(A366="","",IFERROR(INDEX(tbl_Finance[Cost Centre],MATCH(A366&amp;"",tbl_Finance[Job Number],0)),"not invoiced yet"))</f>
        <v/>
      </c>
      <c r="H366" s="13" t="n"/>
      <c r="I366" s="13" t="n"/>
      <c r="J366" s="15" t="n"/>
      <c r="K366" s="15" t="n"/>
      <c r="L366" s="15" t="n"/>
      <c r="M366" s="14">
        <f>IF(A366="","",IF(N(J366)+N(K366)+N(L366)=0,"Not split",IF(ROUND(N(J366)+N(K366)+N(L366),2)=ROUND(F366,2),"OK","MISMATCH")))</f>
        <v/>
      </c>
      <c r="N366" s="15" t="n"/>
      <c r="O366" s="15" t="n"/>
      <c r="P366" s="15" t="n"/>
      <c r="Q366" s="16">
        <f>IF(A366="","",N(N366)+N(O366)+N(P366))</f>
        <v/>
      </c>
      <c r="R366" s="16">
        <f>IF(A366="","",F366-Q366)</f>
        <v/>
      </c>
      <c r="S366" s="46">
        <f>IFERROR(R366/F366,"")</f>
        <v/>
      </c>
      <c r="T366" s="13" t="n"/>
    </row>
    <row r="367" ht="15" customHeight="1">
      <c r="A367" s="13" t="n"/>
      <c r="B367" s="14">
        <f>IF(A367="","",IF(COUNTIF(lst_Jobs,A367&amp;"")&gt;0,"OK","CHECK"))</f>
        <v/>
      </c>
      <c r="C367" s="14">
        <f>IF(A367="","",IFERROR(INDEX(lst_JobName,MATCH(A367&amp;"",lst_Jobs,0)),""))</f>
        <v/>
      </c>
      <c r="D367" s="14">
        <f>IF(A367="","",IFERROR(INDEX(tbl_Finance[Client],MATCH(A367&amp;"",tbl_Finance[Job Number],0)),""))</f>
        <v/>
      </c>
      <c r="E367" s="44">
        <f>IF(A367="","",COUNTIFS(tbl_Finance[Job Number],A367&amp;"",tbl_Finance[Ex GST],"&lt;&gt;"))</f>
        <v/>
      </c>
      <c r="F367" s="16">
        <f>IF(A367="","",SUMIFS(tbl_Finance[Ex GST],tbl_Finance[Job Number],A367&amp;""))</f>
        <v/>
      </c>
      <c r="G367" s="14">
        <f>IF(A367="","",IFERROR(INDEX(tbl_Finance[Cost Centre],MATCH(A367&amp;"",tbl_Finance[Job Number],0)),"not invoiced yet"))</f>
        <v/>
      </c>
      <c r="H367" s="13" t="n"/>
      <c r="I367" s="13" t="n"/>
      <c r="J367" s="15" t="n"/>
      <c r="K367" s="15" t="n"/>
      <c r="L367" s="15" t="n"/>
      <c r="M367" s="14">
        <f>IF(A367="","",IF(N(J367)+N(K367)+N(L367)=0,"Not split",IF(ROUND(N(J367)+N(K367)+N(L367),2)=ROUND(F367,2),"OK","MISMATCH")))</f>
        <v/>
      </c>
      <c r="N367" s="15" t="n"/>
      <c r="O367" s="15" t="n"/>
      <c r="P367" s="15" t="n"/>
      <c r="Q367" s="16">
        <f>IF(A367="","",N(N367)+N(O367)+N(P367))</f>
        <v/>
      </c>
      <c r="R367" s="16">
        <f>IF(A367="","",F367-Q367)</f>
        <v/>
      </c>
      <c r="S367" s="46">
        <f>IFERROR(R367/F367,"")</f>
        <v/>
      </c>
      <c r="T367" s="13" t="n"/>
    </row>
    <row r="368" ht="15" customHeight="1">
      <c r="A368" s="13" t="n"/>
      <c r="B368" s="14">
        <f>IF(A368="","",IF(COUNTIF(lst_Jobs,A368&amp;"")&gt;0,"OK","CHECK"))</f>
        <v/>
      </c>
      <c r="C368" s="14">
        <f>IF(A368="","",IFERROR(INDEX(lst_JobName,MATCH(A368&amp;"",lst_Jobs,0)),""))</f>
        <v/>
      </c>
      <c r="D368" s="14">
        <f>IF(A368="","",IFERROR(INDEX(tbl_Finance[Client],MATCH(A368&amp;"",tbl_Finance[Job Number],0)),""))</f>
        <v/>
      </c>
      <c r="E368" s="44">
        <f>IF(A368="","",COUNTIFS(tbl_Finance[Job Number],A368&amp;"",tbl_Finance[Ex GST],"&lt;&gt;"))</f>
        <v/>
      </c>
      <c r="F368" s="16">
        <f>IF(A368="","",SUMIFS(tbl_Finance[Ex GST],tbl_Finance[Job Number],A368&amp;""))</f>
        <v/>
      </c>
      <c r="G368" s="14">
        <f>IF(A368="","",IFERROR(INDEX(tbl_Finance[Cost Centre],MATCH(A368&amp;"",tbl_Finance[Job Number],0)),"not invoiced yet"))</f>
        <v/>
      </c>
      <c r="H368" s="13" t="n"/>
      <c r="I368" s="13" t="n"/>
      <c r="J368" s="15" t="n"/>
      <c r="K368" s="15" t="n"/>
      <c r="L368" s="15" t="n"/>
      <c r="M368" s="14">
        <f>IF(A368="","",IF(N(J368)+N(K368)+N(L368)=0,"Not split",IF(ROUND(N(J368)+N(K368)+N(L368),2)=ROUND(F368,2),"OK","MISMATCH")))</f>
        <v/>
      </c>
      <c r="N368" s="15" t="n"/>
      <c r="O368" s="15" t="n"/>
      <c r="P368" s="15" t="n"/>
      <c r="Q368" s="16">
        <f>IF(A368="","",N(N368)+N(O368)+N(P368))</f>
        <v/>
      </c>
      <c r="R368" s="16">
        <f>IF(A368="","",F368-Q368)</f>
        <v/>
      </c>
      <c r="S368" s="46">
        <f>IFERROR(R368/F368,"")</f>
        <v/>
      </c>
      <c r="T368" s="13" t="n"/>
    </row>
    <row r="369" ht="15" customHeight="1">
      <c r="A369" s="13" t="n"/>
      <c r="B369" s="14">
        <f>IF(A369="","",IF(COUNTIF(lst_Jobs,A369&amp;"")&gt;0,"OK","CHECK"))</f>
        <v/>
      </c>
      <c r="C369" s="14">
        <f>IF(A369="","",IFERROR(INDEX(lst_JobName,MATCH(A369&amp;"",lst_Jobs,0)),""))</f>
        <v/>
      </c>
      <c r="D369" s="14">
        <f>IF(A369="","",IFERROR(INDEX(tbl_Finance[Client],MATCH(A369&amp;"",tbl_Finance[Job Number],0)),""))</f>
        <v/>
      </c>
      <c r="E369" s="44">
        <f>IF(A369="","",COUNTIFS(tbl_Finance[Job Number],A369&amp;"",tbl_Finance[Ex GST],"&lt;&gt;"))</f>
        <v/>
      </c>
      <c r="F369" s="16">
        <f>IF(A369="","",SUMIFS(tbl_Finance[Ex GST],tbl_Finance[Job Number],A369&amp;""))</f>
        <v/>
      </c>
      <c r="G369" s="14">
        <f>IF(A369="","",IFERROR(INDEX(tbl_Finance[Cost Centre],MATCH(A369&amp;"",tbl_Finance[Job Number],0)),"not invoiced yet"))</f>
        <v/>
      </c>
      <c r="H369" s="13" t="n"/>
      <c r="I369" s="13" t="n"/>
      <c r="J369" s="15" t="n"/>
      <c r="K369" s="15" t="n"/>
      <c r="L369" s="15" t="n"/>
      <c r="M369" s="14">
        <f>IF(A369="","",IF(N(J369)+N(K369)+N(L369)=0,"Not split",IF(ROUND(N(J369)+N(K369)+N(L369),2)=ROUND(F369,2),"OK","MISMATCH")))</f>
        <v/>
      </c>
      <c r="N369" s="15" t="n"/>
      <c r="O369" s="15" t="n"/>
      <c r="P369" s="15" t="n"/>
      <c r="Q369" s="16">
        <f>IF(A369="","",N(N369)+N(O369)+N(P369))</f>
        <v/>
      </c>
      <c r="R369" s="16">
        <f>IF(A369="","",F369-Q369)</f>
        <v/>
      </c>
      <c r="S369" s="46">
        <f>IFERROR(R369/F369,"")</f>
        <v/>
      </c>
      <c r="T369" s="13" t="n"/>
    </row>
    <row r="370" ht="15" customHeight="1">
      <c r="A370" s="13" t="n"/>
      <c r="B370" s="14">
        <f>IF(A370="","",IF(COUNTIF(lst_Jobs,A370&amp;"")&gt;0,"OK","CHECK"))</f>
        <v/>
      </c>
      <c r="C370" s="14">
        <f>IF(A370="","",IFERROR(INDEX(lst_JobName,MATCH(A370&amp;"",lst_Jobs,0)),""))</f>
        <v/>
      </c>
      <c r="D370" s="14">
        <f>IF(A370="","",IFERROR(INDEX(tbl_Finance[Client],MATCH(A370&amp;"",tbl_Finance[Job Number],0)),""))</f>
        <v/>
      </c>
      <c r="E370" s="44">
        <f>IF(A370="","",COUNTIFS(tbl_Finance[Job Number],A370&amp;"",tbl_Finance[Ex GST],"&lt;&gt;"))</f>
        <v/>
      </c>
      <c r="F370" s="16">
        <f>IF(A370="","",SUMIFS(tbl_Finance[Ex GST],tbl_Finance[Job Number],A370&amp;""))</f>
        <v/>
      </c>
      <c r="G370" s="14">
        <f>IF(A370="","",IFERROR(INDEX(tbl_Finance[Cost Centre],MATCH(A370&amp;"",tbl_Finance[Job Number],0)),"not invoiced yet"))</f>
        <v/>
      </c>
      <c r="H370" s="13" t="n"/>
      <c r="I370" s="13" t="n"/>
      <c r="J370" s="15" t="n"/>
      <c r="K370" s="15" t="n"/>
      <c r="L370" s="15" t="n"/>
      <c r="M370" s="14">
        <f>IF(A370="","",IF(N(J370)+N(K370)+N(L370)=0,"Not split",IF(ROUND(N(J370)+N(K370)+N(L370),2)=ROUND(F370,2),"OK","MISMATCH")))</f>
        <v/>
      </c>
      <c r="N370" s="15" t="n"/>
      <c r="O370" s="15" t="n"/>
      <c r="P370" s="15" t="n"/>
      <c r="Q370" s="16">
        <f>IF(A370="","",N(N370)+N(O370)+N(P370))</f>
        <v/>
      </c>
      <c r="R370" s="16">
        <f>IF(A370="","",F370-Q370)</f>
        <v/>
      </c>
      <c r="S370" s="46">
        <f>IFERROR(R370/F370,"")</f>
        <v/>
      </c>
      <c r="T370" s="13" t="n"/>
    </row>
    <row r="371" ht="15" customHeight="1">
      <c r="A371" s="13" t="n"/>
      <c r="B371" s="14">
        <f>IF(A371="","",IF(COUNTIF(lst_Jobs,A371&amp;"")&gt;0,"OK","CHECK"))</f>
        <v/>
      </c>
      <c r="C371" s="14">
        <f>IF(A371="","",IFERROR(INDEX(lst_JobName,MATCH(A371&amp;"",lst_Jobs,0)),""))</f>
        <v/>
      </c>
      <c r="D371" s="14">
        <f>IF(A371="","",IFERROR(INDEX(tbl_Finance[Client],MATCH(A371&amp;"",tbl_Finance[Job Number],0)),""))</f>
        <v/>
      </c>
      <c r="E371" s="44">
        <f>IF(A371="","",COUNTIFS(tbl_Finance[Job Number],A371&amp;"",tbl_Finance[Ex GST],"&lt;&gt;"))</f>
        <v/>
      </c>
      <c r="F371" s="16">
        <f>IF(A371="","",SUMIFS(tbl_Finance[Ex GST],tbl_Finance[Job Number],A371&amp;""))</f>
        <v/>
      </c>
      <c r="G371" s="14">
        <f>IF(A371="","",IFERROR(INDEX(tbl_Finance[Cost Centre],MATCH(A371&amp;"",tbl_Finance[Job Number],0)),"not invoiced yet"))</f>
        <v/>
      </c>
      <c r="H371" s="13" t="n"/>
      <c r="I371" s="13" t="n"/>
      <c r="J371" s="15" t="n"/>
      <c r="K371" s="15" t="n"/>
      <c r="L371" s="15" t="n"/>
      <c r="M371" s="14">
        <f>IF(A371="","",IF(N(J371)+N(K371)+N(L371)=0,"Not split",IF(ROUND(N(J371)+N(K371)+N(L371),2)=ROUND(F371,2),"OK","MISMATCH")))</f>
        <v/>
      </c>
      <c r="N371" s="15" t="n"/>
      <c r="O371" s="15" t="n"/>
      <c r="P371" s="15" t="n"/>
      <c r="Q371" s="16">
        <f>IF(A371="","",N(N371)+N(O371)+N(P371))</f>
        <v/>
      </c>
      <c r="R371" s="16">
        <f>IF(A371="","",F371-Q371)</f>
        <v/>
      </c>
      <c r="S371" s="46">
        <f>IFERROR(R371/F371,"")</f>
        <v/>
      </c>
      <c r="T371" s="13" t="n"/>
    </row>
    <row r="372" ht="15" customHeight="1">
      <c r="A372" s="13" t="n"/>
      <c r="B372" s="14">
        <f>IF(A372="","",IF(COUNTIF(lst_Jobs,A372&amp;"")&gt;0,"OK","CHECK"))</f>
        <v/>
      </c>
      <c r="C372" s="14">
        <f>IF(A372="","",IFERROR(INDEX(lst_JobName,MATCH(A372&amp;"",lst_Jobs,0)),""))</f>
        <v/>
      </c>
      <c r="D372" s="14">
        <f>IF(A372="","",IFERROR(INDEX(tbl_Finance[Client],MATCH(A372&amp;"",tbl_Finance[Job Number],0)),""))</f>
        <v/>
      </c>
      <c r="E372" s="44">
        <f>IF(A372="","",COUNTIFS(tbl_Finance[Job Number],A372&amp;"",tbl_Finance[Ex GST],"&lt;&gt;"))</f>
        <v/>
      </c>
      <c r="F372" s="16">
        <f>IF(A372="","",SUMIFS(tbl_Finance[Ex GST],tbl_Finance[Job Number],A372&amp;""))</f>
        <v/>
      </c>
      <c r="G372" s="14">
        <f>IF(A372="","",IFERROR(INDEX(tbl_Finance[Cost Centre],MATCH(A372&amp;"",tbl_Finance[Job Number],0)),"not invoiced yet"))</f>
        <v/>
      </c>
      <c r="H372" s="13" t="n"/>
      <c r="I372" s="13" t="n"/>
      <c r="J372" s="15" t="n"/>
      <c r="K372" s="15" t="n"/>
      <c r="L372" s="15" t="n"/>
      <c r="M372" s="14">
        <f>IF(A372="","",IF(N(J372)+N(K372)+N(L372)=0,"Not split",IF(ROUND(N(J372)+N(K372)+N(L372),2)=ROUND(F372,2),"OK","MISMATCH")))</f>
        <v/>
      </c>
      <c r="N372" s="15" t="n"/>
      <c r="O372" s="15" t="n"/>
      <c r="P372" s="15" t="n"/>
      <c r="Q372" s="16">
        <f>IF(A372="","",N(N372)+N(O372)+N(P372))</f>
        <v/>
      </c>
      <c r="R372" s="16">
        <f>IF(A372="","",F372-Q372)</f>
        <v/>
      </c>
      <c r="S372" s="46">
        <f>IFERROR(R372/F372,"")</f>
        <v/>
      </c>
      <c r="T372" s="13" t="n"/>
    </row>
    <row r="373" ht="15" customHeight="1">
      <c r="A373" s="13" t="n"/>
      <c r="B373" s="14">
        <f>IF(A373="","",IF(COUNTIF(lst_Jobs,A373&amp;"")&gt;0,"OK","CHECK"))</f>
        <v/>
      </c>
      <c r="C373" s="14">
        <f>IF(A373="","",IFERROR(INDEX(lst_JobName,MATCH(A373&amp;"",lst_Jobs,0)),""))</f>
        <v/>
      </c>
      <c r="D373" s="14">
        <f>IF(A373="","",IFERROR(INDEX(tbl_Finance[Client],MATCH(A373&amp;"",tbl_Finance[Job Number],0)),""))</f>
        <v/>
      </c>
      <c r="E373" s="44">
        <f>IF(A373="","",COUNTIFS(tbl_Finance[Job Number],A373&amp;"",tbl_Finance[Ex GST],"&lt;&gt;"))</f>
        <v/>
      </c>
      <c r="F373" s="16">
        <f>IF(A373="","",SUMIFS(tbl_Finance[Ex GST],tbl_Finance[Job Number],A373&amp;""))</f>
        <v/>
      </c>
      <c r="G373" s="14">
        <f>IF(A373="","",IFERROR(INDEX(tbl_Finance[Cost Centre],MATCH(A373&amp;"",tbl_Finance[Job Number],0)),"not invoiced yet"))</f>
        <v/>
      </c>
      <c r="H373" s="13" t="n"/>
      <c r="I373" s="13" t="n"/>
      <c r="J373" s="15" t="n"/>
      <c r="K373" s="15" t="n"/>
      <c r="L373" s="15" t="n"/>
      <c r="M373" s="14">
        <f>IF(A373="","",IF(N(J373)+N(K373)+N(L373)=0,"Not split",IF(ROUND(N(J373)+N(K373)+N(L373),2)=ROUND(F373,2),"OK","MISMATCH")))</f>
        <v/>
      </c>
      <c r="N373" s="15" t="n"/>
      <c r="O373" s="15" t="n"/>
      <c r="P373" s="15" t="n"/>
      <c r="Q373" s="16">
        <f>IF(A373="","",N(N373)+N(O373)+N(P373))</f>
        <v/>
      </c>
      <c r="R373" s="16">
        <f>IF(A373="","",F373-Q373)</f>
        <v/>
      </c>
      <c r="S373" s="46">
        <f>IFERROR(R373/F373,"")</f>
        <v/>
      </c>
      <c r="T373" s="13" t="n"/>
    </row>
    <row r="374" ht="15" customHeight="1">
      <c r="A374" s="13" t="n"/>
      <c r="B374" s="14">
        <f>IF(A374="","",IF(COUNTIF(lst_Jobs,A374&amp;"")&gt;0,"OK","CHECK"))</f>
        <v/>
      </c>
      <c r="C374" s="14">
        <f>IF(A374="","",IFERROR(INDEX(lst_JobName,MATCH(A374&amp;"",lst_Jobs,0)),""))</f>
        <v/>
      </c>
      <c r="D374" s="14">
        <f>IF(A374="","",IFERROR(INDEX(tbl_Finance[Client],MATCH(A374&amp;"",tbl_Finance[Job Number],0)),""))</f>
        <v/>
      </c>
      <c r="E374" s="44">
        <f>IF(A374="","",COUNTIFS(tbl_Finance[Job Number],A374&amp;"",tbl_Finance[Ex GST],"&lt;&gt;"))</f>
        <v/>
      </c>
      <c r="F374" s="16">
        <f>IF(A374="","",SUMIFS(tbl_Finance[Ex GST],tbl_Finance[Job Number],A374&amp;""))</f>
        <v/>
      </c>
      <c r="G374" s="14">
        <f>IF(A374="","",IFERROR(INDEX(tbl_Finance[Cost Centre],MATCH(A374&amp;"",tbl_Finance[Job Number],0)),"not invoiced yet"))</f>
        <v/>
      </c>
      <c r="H374" s="13" t="n"/>
      <c r="I374" s="13" t="n"/>
      <c r="J374" s="15" t="n"/>
      <c r="K374" s="15" t="n"/>
      <c r="L374" s="15" t="n"/>
      <c r="M374" s="14">
        <f>IF(A374="","",IF(N(J374)+N(K374)+N(L374)=0,"Not split",IF(ROUND(N(J374)+N(K374)+N(L374),2)=ROUND(F374,2),"OK","MISMATCH")))</f>
        <v/>
      </c>
      <c r="N374" s="15" t="n"/>
      <c r="O374" s="15" t="n"/>
      <c r="P374" s="15" t="n"/>
      <c r="Q374" s="16">
        <f>IF(A374="","",N(N374)+N(O374)+N(P374))</f>
        <v/>
      </c>
      <c r="R374" s="16">
        <f>IF(A374="","",F374-Q374)</f>
        <v/>
      </c>
      <c r="S374" s="46">
        <f>IFERROR(R374/F374,"")</f>
        <v/>
      </c>
      <c r="T374" s="13" t="n"/>
    </row>
    <row r="375" ht="15" customHeight="1">
      <c r="A375" s="13" t="n"/>
      <c r="B375" s="14">
        <f>IF(A375="","",IF(COUNTIF(lst_Jobs,A375&amp;"")&gt;0,"OK","CHECK"))</f>
        <v/>
      </c>
      <c r="C375" s="14">
        <f>IF(A375="","",IFERROR(INDEX(lst_JobName,MATCH(A375&amp;"",lst_Jobs,0)),""))</f>
        <v/>
      </c>
      <c r="D375" s="14">
        <f>IF(A375="","",IFERROR(INDEX(tbl_Finance[Client],MATCH(A375&amp;"",tbl_Finance[Job Number],0)),""))</f>
        <v/>
      </c>
      <c r="E375" s="44">
        <f>IF(A375="","",COUNTIFS(tbl_Finance[Job Number],A375&amp;"",tbl_Finance[Ex GST],"&lt;&gt;"))</f>
        <v/>
      </c>
      <c r="F375" s="16">
        <f>IF(A375="","",SUMIFS(tbl_Finance[Ex GST],tbl_Finance[Job Number],A375&amp;""))</f>
        <v/>
      </c>
      <c r="G375" s="14">
        <f>IF(A375="","",IFERROR(INDEX(tbl_Finance[Cost Centre],MATCH(A375&amp;"",tbl_Finance[Job Number],0)),"not invoiced yet"))</f>
        <v/>
      </c>
      <c r="H375" s="13" t="n"/>
      <c r="I375" s="13" t="n"/>
      <c r="J375" s="15" t="n"/>
      <c r="K375" s="15" t="n"/>
      <c r="L375" s="15" t="n"/>
      <c r="M375" s="14">
        <f>IF(A375="","",IF(N(J375)+N(K375)+N(L375)=0,"Not split",IF(ROUND(N(J375)+N(K375)+N(L375),2)=ROUND(F375,2),"OK","MISMATCH")))</f>
        <v/>
      </c>
      <c r="N375" s="15" t="n"/>
      <c r="O375" s="15" t="n"/>
      <c r="P375" s="15" t="n"/>
      <c r="Q375" s="16">
        <f>IF(A375="","",N(N375)+N(O375)+N(P375))</f>
        <v/>
      </c>
      <c r="R375" s="16">
        <f>IF(A375="","",F375-Q375)</f>
        <v/>
      </c>
      <c r="S375" s="46">
        <f>IFERROR(R375/F375,"")</f>
        <v/>
      </c>
      <c r="T375" s="13" t="n"/>
    </row>
    <row r="376" ht="15" customHeight="1">
      <c r="A376" s="13" t="n"/>
      <c r="B376" s="14">
        <f>IF(A376="","",IF(COUNTIF(lst_Jobs,A376&amp;"")&gt;0,"OK","CHECK"))</f>
        <v/>
      </c>
      <c r="C376" s="14">
        <f>IF(A376="","",IFERROR(INDEX(lst_JobName,MATCH(A376&amp;"",lst_Jobs,0)),""))</f>
        <v/>
      </c>
      <c r="D376" s="14">
        <f>IF(A376="","",IFERROR(INDEX(tbl_Finance[Client],MATCH(A376&amp;"",tbl_Finance[Job Number],0)),""))</f>
        <v/>
      </c>
      <c r="E376" s="44">
        <f>IF(A376="","",COUNTIFS(tbl_Finance[Job Number],A376&amp;"",tbl_Finance[Ex GST],"&lt;&gt;"))</f>
        <v/>
      </c>
      <c r="F376" s="16">
        <f>IF(A376="","",SUMIFS(tbl_Finance[Ex GST],tbl_Finance[Job Number],A376&amp;""))</f>
        <v/>
      </c>
      <c r="G376" s="14">
        <f>IF(A376="","",IFERROR(INDEX(tbl_Finance[Cost Centre],MATCH(A376&amp;"",tbl_Finance[Job Number],0)),"not invoiced yet"))</f>
        <v/>
      </c>
      <c r="H376" s="13" t="n"/>
      <c r="I376" s="13" t="n"/>
      <c r="J376" s="15" t="n"/>
      <c r="K376" s="15" t="n"/>
      <c r="L376" s="15" t="n"/>
      <c r="M376" s="14">
        <f>IF(A376="","",IF(N(J376)+N(K376)+N(L376)=0,"Not split",IF(ROUND(N(J376)+N(K376)+N(L376),2)=ROUND(F376,2),"OK","MISMATCH")))</f>
        <v/>
      </c>
      <c r="N376" s="15" t="n"/>
      <c r="O376" s="15" t="n"/>
      <c r="P376" s="15" t="n"/>
      <c r="Q376" s="16">
        <f>IF(A376="","",N(N376)+N(O376)+N(P376))</f>
        <v/>
      </c>
      <c r="R376" s="16">
        <f>IF(A376="","",F376-Q376)</f>
        <v/>
      </c>
      <c r="S376" s="46">
        <f>IFERROR(R376/F376,"")</f>
        <v/>
      </c>
      <c r="T376" s="13" t="n"/>
    </row>
    <row r="377" ht="15" customHeight="1">
      <c r="A377" s="13" t="n"/>
      <c r="B377" s="14">
        <f>IF(A377="","",IF(COUNTIF(lst_Jobs,A377&amp;"")&gt;0,"OK","CHECK"))</f>
        <v/>
      </c>
      <c r="C377" s="14">
        <f>IF(A377="","",IFERROR(INDEX(lst_JobName,MATCH(A377&amp;"",lst_Jobs,0)),""))</f>
        <v/>
      </c>
      <c r="D377" s="14">
        <f>IF(A377="","",IFERROR(INDEX(tbl_Finance[Client],MATCH(A377&amp;"",tbl_Finance[Job Number],0)),""))</f>
        <v/>
      </c>
      <c r="E377" s="44">
        <f>IF(A377="","",COUNTIFS(tbl_Finance[Job Number],A377&amp;"",tbl_Finance[Ex GST],"&lt;&gt;"))</f>
        <v/>
      </c>
      <c r="F377" s="16">
        <f>IF(A377="","",SUMIFS(tbl_Finance[Ex GST],tbl_Finance[Job Number],A377&amp;""))</f>
        <v/>
      </c>
      <c r="G377" s="14">
        <f>IF(A377="","",IFERROR(INDEX(tbl_Finance[Cost Centre],MATCH(A377&amp;"",tbl_Finance[Job Number],0)),"not invoiced yet"))</f>
        <v/>
      </c>
      <c r="H377" s="13" t="n"/>
      <c r="I377" s="13" t="n"/>
      <c r="J377" s="15" t="n"/>
      <c r="K377" s="15" t="n"/>
      <c r="L377" s="15" t="n"/>
      <c r="M377" s="14">
        <f>IF(A377="","",IF(N(J377)+N(K377)+N(L377)=0,"Not split",IF(ROUND(N(J377)+N(K377)+N(L377),2)=ROUND(F377,2),"OK","MISMATCH")))</f>
        <v/>
      </c>
      <c r="N377" s="15" t="n"/>
      <c r="O377" s="15" t="n"/>
      <c r="P377" s="15" t="n"/>
      <c r="Q377" s="16">
        <f>IF(A377="","",N(N377)+N(O377)+N(P377))</f>
        <v/>
      </c>
      <c r="R377" s="16">
        <f>IF(A377="","",F377-Q377)</f>
        <v/>
      </c>
      <c r="S377" s="46">
        <f>IFERROR(R377/F377,"")</f>
        <v/>
      </c>
      <c r="T377" s="13" t="n"/>
    </row>
    <row r="378" ht="15" customHeight="1">
      <c r="A378" s="13" t="n"/>
      <c r="B378" s="14">
        <f>IF(A378="","",IF(COUNTIF(lst_Jobs,A378&amp;"")&gt;0,"OK","CHECK"))</f>
        <v/>
      </c>
      <c r="C378" s="14">
        <f>IF(A378="","",IFERROR(INDEX(lst_JobName,MATCH(A378&amp;"",lst_Jobs,0)),""))</f>
        <v/>
      </c>
      <c r="D378" s="14">
        <f>IF(A378="","",IFERROR(INDEX(tbl_Finance[Client],MATCH(A378&amp;"",tbl_Finance[Job Number],0)),""))</f>
        <v/>
      </c>
      <c r="E378" s="44">
        <f>IF(A378="","",COUNTIFS(tbl_Finance[Job Number],A378&amp;"",tbl_Finance[Ex GST],"&lt;&gt;"))</f>
        <v/>
      </c>
      <c r="F378" s="16">
        <f>IF(A378="","",SUMIFS(tbl_Finance[Ex GST],tbl_Finance[Job Number],A378&amp;""))</f>
        <v/>
      </c>
      <c r="G378" s="14">
        <f>IF(A378="","",IFERROR(INDEX(tbl_Finance[Cost Centre],MATCH(A378&amp;"",tbl_Finance[Job Number],0)),"not invoiced yet"))</f>
        <v/>
      </c>
      <c r="H378" s="13" t="n"/>
      <c r="I378" s="13" t="n"/>
      <c r="J378" s="15" t="n"/>
      <c r="K378" s="15" t="n"/>
      <c r="L378" s="15" t="n"/>
      <c r="M378" s="14">
        <f>IF(A378="","",IF(N(J378)+N(K378)+N(L378)=0,"Not split",IF(ROUND(N(J378)+N(K378)+N(L378),2)=ROUND(F378,2),"OK","MISMATCH")))</f>
        <v/>
      </c>
      <c r="N378" s="15" t="n"/>
      <c r="O378" s="15" t="n"/>
      <c r="P378" s="15" t="n"/>
      <c r="Q378" s="16">
        <f>IF(A378="","",N(N378)+N(O378)+N(P378))</f>
        <v/>
      </c>
      <c r="R378" s="16">
        <f>IF(A378="","",F378-Q378)</f>
        <v/>
      </c>
      <c r="S378" s="46">
        <f>IFERROR(R378/F378,"")</f>
        <v/>
      </c>
      <c r="T378" s="13" t="n"/>
    </row>
    <row r="379" ht="15" customHeight="1">
      <c r="A379" s="13" t="n"/>
      <c r="B379" s="14">
        <f>IF(A379="","",IF(COUNTIF(lst_Jobs,A379&amp;"")&gt;0,"OK","CHECK"))</f>
        <v/>
      </c>
      <c r="C379" s="14">
        <f>IF(A379="","",IFERROR(INDEX(lst_JobName,MATCH(A379&amp;"",lst_Jobs,0)),""))</f>
        <v/>
      </c>
      <c r="D379" s="14">
        <f>IF(A379="","",IFERROR(INDEX(tbl_Finance[Client],MATCH(A379&amp;"",tbl_Finance[Job Number],0)),""))</f>
        <v/>
      </c>
      <c r="E379" s="44">
        <f>IF(A379="","",COUNTIFS(tbl_Finance[Job Number],A379&amp;"",tbl_Finance[Ex GST],"&lt;&gt;"))</f>
        <v/>
      </c>
      <c r="F379" s="16">
        <f>IF(A379="","",SUMIFS(tbl_Finance[Ex GST],tbl_Finance[Job Number],A379&amp;""))</f>
        <v/>
      </c>
      <c r="G379" s="14">
        <f>IF(A379="","",IFERROR(INDEX(tbl_Finance[Cost Centre],MATCH(A379&amp;"",tbl_Finance[Job Number],0)),"not invoiced yet"))</f>
        <v/>
      </c>
      <c r="H379" s="13" t="n"/>
      <c r="I379" s="13" t="n"/>
      <c r="J379" s="15" t="n"/>
      <c r="K379" s="15" t="n"/>
      <c r="L379" s="15" t="n"/>
      <c r="M379" s="14">
        <f>IF(A379="","",IF(N(J379)+N(K379)+N(L379)=0,"Not split",IF(ROUND(N(J379)+N(K379)+N(L379),2)=ROUND(F379,2),"OK","MISMATCH")))</f>
        <v/>
      </c>
      <c r="N379" s="15" t="n"/>
      <c r="O379" s="15" t="n"/>
      <c r="P379" s="15" t="n"/>
      <c r="Q379" s="16">
        <f>IF(A379="","",N(N379)+N(O379)+N(P379))</f>
        <v/>
      </c>
      <c r="R379" s="16">
        <f>IF(A379="","",F379-Q379)</f>
        <v/>
      </c>
      <c r="S379" s="46">
        <f>IFERROR(R379/F379,"")</f>
        <v/>
      </c>
      <c r="T379" s="13" t="n"/>
    </row>
    <row r="380" ht="15" customHeight="1">
      <c r="A380" s="13" t="n"/>
      <c r="B380" s="14">
        <f>IF(A380="","",IF(COUNTIF(lst_Jobs,A380&amp;"")&gt;0,"OK","CHECK"))</f>
        <v/>
      </c>
      <c r="C380" s="14">
        <f>IF(A380="","",IFERROR(INDEX(lst_JobName,MATCH(A380&amp;"",lst_Jobs,0)),""))</f>
        <v/>
      </c>
      <c r="D380" s="14">
        <f>IF(A380="","",IFERROR(INDEX(tbl_Finance[Client],MATCH(A380&amp;"",tbl_Finance[Job Number],0)),""))</f>
        <v/>
      </c>
      <c r="E380" s="44">
        <f>IF(A380="","",COUNTIFS(tbl_Finance[Job Number],A380&amp;"",tbl_Finance[Ex GST],"&lt;&gt;"))</f>
        <v/>
      </c>
      <c r="F380" s="16">
        <f>IF(A380="","",SUMIFS(tbl_Finance[Ex GST],tbl_Finance[Job Number],A380&amp;""))</f>
        <v/>
      </c>
      <c r="G380" s="14">
        <f>IF(A380="","",IFERROR(INDEX(tbl_Finance[Cost Centre],MATCH(A380&amp;"",tbl_Finance[Job Number],0)),"not invoiced yet"))</f>
        <v/>
      </c>
      <c r="H380" s="13" t="n"/>
      <c r="I380" s="13" t="n"/>
      <c r="J380" s="15" t="n"/>
      <c r="K380" s="15" t="n"/>
      <c r="L380" s="15" t="n"/>
      <c r="M380" s="14">
        <f>IF(A380="","",IF(N(J380)+N(K380)+N(L380)=0,"Not split",IF(ROUND(N(J380)+N(K380)+N(L380),2)=ROUND(F380,2),"OK","MISMATCH")))</f>
        <v/>
      </c>
      <c r="N380" s="15" t="n"/>
      <c r="O380" s="15" t="n"/>
      <c r="P380" s="15" t="n"/>
      <c r="Q380" s="16">
        <f>IF(A380="","",N(N380)+N(O380)+N(P380))</f>
        <v/>
      </c>
      <c r="R380" s="16">
        <f>IF(A380="","",F380-Q380)</f>
        <v/>
      </c>
      <c r="S380" s="46">
        <f>IFERROR(R380/F380,"")</f>
        <v/>
      </c>
      <c r="T380" s="13" t="n"/>
    </row>
    <row r="381" ht="15" customHeight="1">
      <c r="A381" s="13" t="n"/>
      <c r="B381" s="14">
        <f>IF(A381="","",IF(COUNTIF(lst_Jobs,A381&amp;"")&gt;0,"OK","CHECK"))</f>
        <v/>
      </c>
      <c r="C381" s="14">
        <f>IF(A381="","",IFERROR(INDEX(lst_JobName,MATCH(A381&amp;"",lst_Jobs,0)),""))</f>
        <v/>
      </c>
      <c r="D381" s="14">
        <f>IF(A381="","",IFERROR(INDEX(tbl_Finance[Client],MATCH(A381&amp;"",tbl_Finance[Job Number],0)),""))</f>
        <v/>
      </c>
      <c r="E381" s="44">
        <f>IF(A381="","",COUNTIFS(tbl_Finance[Job Number],A381&amp;"",tbl_Finance[Ex GST],"&lt;&gt;"))</f>
        <v/>
      </c>
      <c r="F381" s="16">
        <f>IF(A381="","",SUMIFS(tbl_Finance[Ex GST],tbl_Finance[Job Number],A381&amp;""))</f>
        <v/>
      </c>
      <c r="G381" s="14">
        <f>IF(A381="","",IFERROR(INDEX(tbl_Finance[Cost Centre],MATCH(A381&amp;"",tbl_Finance[Job Number],0)),"not invoiced yet"))</f>
        <v/>
      </c>
      <c r="H381" s="13" t="n"/>
      <c r="I381" s="13" t="n"/>
      <c r="J381" s="15" t="n"/>
      <c r="K381" s="15" t="n"/>
      <c r="L381" s="15" t="n"/>
      <c r="M381" s="14">
        <f>IF(A381="","",IF(N(J381)+N(K381)+N(L381)=0,"Not split",IF(ROUND(N(J381)+N(K381)+N(L381),2)=ROUND(F381,2),"OK","MISMATCH")))</f>
        <v/>
      </c>
      <c r="N381" s="15" t="n"/>
      <c r="O381" s="15" t="n"/>
      <c r="P381" s="15" t="n"/>
      <c r="Q381" s="16">
        <f>IF(A381="","",N(N381)+N(O381)+N(P381))</f>
        <v/>
      </c>
      <c r="R381" s="16">
        <f>IF(A381="","",F381-Q381)</f>
        <v/>
      </c>
      <c r="S381" s="46">
        <f>IFERROR(R381/F381,"")</f>
        <v/>
      </c>
      <c r="T381" s="13" t="n"/>
    </row>
    <row r="382" ht="15" customHeight="1">
      <c r="A382" s="13" t="n"/>
      <c r="B382" s="14">
        <f>IF(A382="","",IF(COUNTIF(lst_Jobs,A382&amp;"")&gt;0,"OK","CHECK"))</f>
        <v/>
      </c>
      <c r="C382" s="14">
        <f>IF(A382="","",IFERROR(INDEX(lst_JobName,MATCH(A382&amp;"",lst_Jobs,0)),""))</f>
        <v/>
      </c>
      <c r="D382" s="14">
        <f>IF(A382="","",IFERROR(INDEX(tbl_Finance[Client],MATCH(A382&amp;"",tbl_Finance[Job Number],0)),""))</f>
        <v/>
      </c>
      <c r="E382" s="44">
        <f>IF(A382="","",COUNTIFS(tbl_Finance[Job Number],A382&amp;"",tbl_Finance[Ex GST],"&lt;&gt;"))</f>
        <v/>
      </c>
      <c r="F382" s="16">
        <f>IF(A382="","",SUMIFS(tbl_Finance[Ex GST],tbl_Finance[Job Number],A382&amp;""))</f>
        <v/>
      </c>
      <c r="G382" s="14">
        <f>IF(A382="","",IFERROR(INDEX(tbl_Finance[Cost Centre],MATCH(A382&amp;"",tbl_Finance[Job Number],0)),"not invoiced yet"))</f>
        <v/>
      </c>
      <c r="H382" s="13" t="n"/>
      <c r="I382" s="13" t="n"/>
      <c r="J382" s="15" t="n"/>
      <c r="K382" s="15" t="n"/>
      <c r="L382" s="15" t="n"/>
      <c r="M382" s="14">
        <f>IF(A382="","",IF(N(J382)+N(K382)+N(L382)=0,"Not split",IF(ROUND(N(J382)+N(K382)+N(L382),2)=ROUND(F382,2),"OK","MISMATCH")))</f>
        <v/>
      </c>
      <c r="N382" s="15" t="n"/>
      <c r="O382" s="15" t="n"/>
      <c r="P382" s="15" t="n"/>
      <c r="Q382" s="16">
        <f>IF(A382="","",N(N382)+N(O382)+N(P382))</f>
        <v/>
      </c>
      <c r="R382" s="16">
        <f>IF(A382="","",F382-Q382)</f>
        <v/>
      </c>
      <c r="S382" s="46">
        <f>IFERROR(R382/F382,"")</f>
        <v/>
      </c>
      <c r="T382" s="13" t="n"/>
    </row>
    <row r="383" ht="15" customHeight="1">
      <c r="A383" s="13" t="n"/>
      <c r="B383" s="14">
        <f>IF(A383="","",IF(COUNTIF(lst_Jobs,A383&amp;"")&gt;0,"OK","CHECK"))</f>
        <v/>
      </c>
      <c r="C383" s="14">
        <f>IF(A383="","",IFERROR(INDEX(lst_JobName,MATCH(A383&amp;"",lst_Jobs,0)),""))</f>
        <v/>
      </c>
      <c r="D383" s="14">
        <f>IF(A383="","",IFERROR(INDEX(tbl_Finance[Client],MATCH(A383&amp;"",tbl_Finance[Job Number],0)),""))</f>
        <v/>
      </c>
      <c r="E383" s="44">
        <f>IF(A383="","",COUNTIFS(tbl_Finance[Job Number],A383&amp;"",tbl_Finance[Ex GST],"&lt;&gt;"))</f>
        <v/>
      </c>
      <c r="F383" s="16">
        <f>IF(A383="","",SUMIFS(tbl_Finance[Ex GST],tbl_Finance[Job Number],A383&amp;""))</f>
        <v/>
      </c>
      <c r="G383" s="14">
        <f>IF(A383="","",IFERROR(INDEX(tbl_Finance[Cost Centre],MATCH(A383&amp;"",tbl_Finance[Job Number],0)),"not invoiced yet"))</f>
        <v/>
      </c>
      <c r="H383" s="13" t="n"/>
      <c r="I383" s="13" t="n"/>
      <c r="J383" s="15" t="n"/>
      <c r="K383" s="15" t="n"/>
      <c r="L383" s="15" t="n"/>
      <c r="M383" s="14">
        <f>IF(A383="","",IF(N(J383)+N(K383)+N(L383)=0,"Not split",IF(ROUND(N(J383)+N(K383)+N(L383),2)=ROUND(F383,2),"OK","MISMATCH")))</f>
        <v/>
      </c>
      <c r="N383" s="15" t="n"/>
      <c r="O383" s="15" t="n"/>
      <c r="P383" s="15" t="n"/>
      <c r="Q383" s="16">
        <f>IF(A383="","",N(N383)+N(O383)+N(P383))</f>
        <v/>
      </c>
      <c r="R383" s="16">
        <f>IF(A383="","",F383-Q383)</f>
        <v/>
      </c>
      <c r="S383" s="46">
        <f>IFERROR(R383/F383,"")</f>
        <v/>
      </c>
      <c r="T383" s="13" t="n"/>
    </row>
    <row r="384" ht="15" customHeight="1">
      <c r="A384" s="13" t="n"/>
      <c r="B384" s="14">
        <f>IF(A384="","",IF(COUNTIF(lst_Jobs,A384&amp;"")&gt;0,"OK","CHECK"))</f>
        <v/>
      </c>
      <c r="C384" s="14">
        <f>IF(A384="","",IFERROR(INDEX(lst_JobName,MATCH(A384&amp;"",lst_Jobs,0)),""))</f>
        <v/>
      </c>
      <c r="D384" s="14">
        <f>IF(A384="","",IFERROR(INDEX(tbl_Finance[Client],MATCH(A384&amp;"",tbl_Finance[Job Number],0)),""))</f>
        <v/>
      </c>
      <c r="E384" s="44">
        <f>IF(A384="","",COUNTIFS(tbl_Finance[Job Number],A384&amp;"",tbl_Finance[Ex GST],"&lt;&gt;"))</f>
        <v/>
      </c>
      <c r="F384" s="16">
        <f>IF(A384="","",SUMIFS(tbl_Finance[Ex GST],tbl_Finance[Job Number],A384&amp;""))</f>
        <v/>
      </c>
      <c r="G384" s="14">
        <f>IF(A384="","",IFERROR(INDEX(tbl_Finance[Cost Centre],MATCH(A384&amp;"",tbl_Finance[Job Number],0)),"not invoiced yet"))</f>
        <v/>
      </c>
      <c r="H384" s="13" t="n"/>
      <c r="I384" s="13" t="n"/>
      <c r="J384" s="15" t="n"/>
      <c r="K384" s="15" t="n"/>
      <c r="L384" s="15" t="n"/>
      <c r="M384" s="14">
        <f>IF(A384="","",IF(N(J384)+N(K384)+N(L384)=0,"Not split",IF(ROUND(N(J384)+N(K384)+N(L384),2)=ROUND(F384,2),"OK","MISMATCH")))</f>
        <v/>
      </c>
      <c r="N384" s="15" t="n"/>
      <c r="O384" s="15" t="n"/>
      <c r="P384" s="15" t="n"/>
      <c r="Q384" s="16">
        <f>IF(A384="","",N(N384)+N(O384)+N(P384))</f>
        <v/>
      </c>
      <c r="R384" s="16">
        <f>IF(A384="","",F384-Q384)</f>
        <v/>
      </c>
      <c r="S384" s="46">
        <f>IFERROR(R384/F384,"")</f>
        <v/>
      </c>
      <c r="T384" s="13" t="n"/>
    </row>
    <row r="385" ht="15" customHeight="1">
      <c r="A385" s="13" t="n"/>
      <c r="B385" s="14">
        <f>IF(A385="","",IF(COUNTIF(lst_Jobs,A385&amp;"")&gt;0,"OK","CHECK"))</f>
        <v/>
      </c>
      <c r="C385" s="14">
        <f>IF(A385="","",IFERROR(INDEX(lst_JobName,MATCH(A385&amp;"",lst_Jobs,0)),""))</f>
        <v/>
      </c>
      <c r="D385" s="14">
        <f>IF(A385="","",IFERROR(INDEX(tbl_Finance[Client],MATCH(A385&amp;"",tbl_Finance[Job Number],0)),""))</f>
        <v/>
      </c>
      <c r="E385" s="44">
        <f>IF(A385="","",COUNTIFS(tbl_Finance[Job Number],A385&amp;"",tbl_Finance[Ex GST],"&lt;&gt;"))</f>
        <v/>
      </c>
      <c r="F385" s="16">
        <f>IF(A385="","",SUMIFS(tbl_Finance[Ex GST],tbl_Finance[Job Number],A385&amp;""))</f>
        <v/>
      </c>
      <c r="G385" s="14">
        <f>IF(A385="","",IFERROR(INDEX(tbl_Finance[Cost Centre],MATCH(A385&amp;"",tbl_Finance[Job Number],0)),"not invoiced yet"))</f>
        <v/>
      </c>
      <c r="H385" s="13" t="n"/>
      <c r="I385" s="13" t="n"/>
      <c r="J385" s="15" t="n"/>
      <c r="K385" s="15" t="n"/>
      <c r="L385" s="15" t="n"/>
      <c r="M385" s="14">
        <f>IF(A385="","",IF(N(J385)+N(K385)+N(L385)=0,"Not split",IF(ROUND(N(J385)+N(K385)+N(L385),2)=ROUND(F385,2),"OK","MISMATCH")))</f>
        <v/>
      </c>
      <c r="N385" s="15" t="n"/>
      <c r="O385" s="15" t="n"/>
      <c r="P385" s="15" t="n"/>
      <c r="Q385" s="16">
        <f>IF(A385="","",N(N385)+N(O385)+N(P385))</f>
        <v/>
      </c>
      <c r="R385" s="16">
        <f>IF(A385="","",F385-Q385)</f>
        <v/>
      </c>
      <c r="S385" s="46">
        <f>IFERROR(R385/F385,"")</f>
        <v/>
      </c>
      <c r="T385" s="13" t="n"/>
    </row>
    <row r="386" ht="15" customHeight="1">
      <c r="A386" s="13" t="n"/>
      <c r="B386" s="14">
        <f>IF(A386="","",IF(COUNTIF(lst_Jobs,A386&amp;"")&gt;0,"OK","CHECK"))</f>
        <v/>
      </c>
      <c r="C386" s="14">
        <f>IF(A386="","",IFERROR(INDEX(lst_JobName,MATCH(A386&amp;"",lst_Jobs,0)),""))</f>
        <v/>
      </c>
      <c r="D386" s="14">
        <f>IF(A386="","",IFERROR(INDEX(tbl_Finance[Client],MATCH(A386&amp;"",tbl_Finance[Job Number],0)),""))</f>
        <v/>
      </c>
      <c r="E386" s="44">
        <f>IF(A386="","",COUNTIFS(tbl_Finance[Job Number],A386&amp;"",tbl_Finance[Ex GST],"&lt;&gt;"))</f>
        <v/>
      </c>
      <c r="F386" s="16">
        <f>IF(A386="","",SUMIFS(tbl_Finance[Ex GST],tbl_Finance[Job Number],A386&amp;""))</f>
        <v/>
      </c>
      <c r="G386" s="14">
        <f>IF(A386="","",IFERROR(INDEX(tbl_Finance[Cost Centre],MATCH(A386&amp;"",tbl_Finance[Job Number],0)),"not invoiced yet"))</f>
        <v/>
      </c>
      <c r="H386" s="13" t="n"/>
      <c r="I386" s="13" t="n"/>
      <c r="J386" s="15" t="n"/>
      <c r="K386" s="15" t="n"/>
      <c r="L386" s="15" t="n"/>
      <c r="M386" s="14">
        <f>IF(A386="","",IF(N(J386)+N(K386)+N(L386)=0,"Not split",IF(ROUND(N(J386)+N(K386)+N(L386),2)=ROUND(F386,2),"OK","MISMATCH")))</f>
        <v/>
      </c>
      <c r="N386" s="15" t="n"/>
      <c r="O386" s="15" t="n"/>
      <c r="P386" s="15" t="n"/>
      <c r="Q386" s="16">
        <f>IF(A386="","",N(N386)+N(O386)+N(P386))</f>
        <v/>
      </c>
      <c r="R386" s="16">
        <f>IF(A386="","",F386-Q386)</f>
        <v/>
      </c>
      <c r="S386" s="46">
        <f>IFERROR(R386/F386,"")</f>
        <v/>
      </c>
      <c r="T386" s="13" t="n"/>
    </row>
    <row r="387" ht="15" customHeight="1">
      <c r="A387" s="13" t="n"/>
      <c r="B387" s="14">
        <f>IF(A387="","",IF(COUNTIF(lst_Jobs,A387&amp;"")&gt;0,"OK","CHECK"))</f>
        <v/>
      </c>
      <c r="C387" s="14">
        <f>IF(A387="","",IFERROR(INDEX(lst_JobName,MATCH(A387&amp;"",lst_Jobs,0)),""))</f>
        <v/>
      </c>
      <c r="D387" s="14">
        <f>IF(A387="","",IFERROR(INDEX(tbl_Finance[Client],MATCH(A387&amp;"",tbl_Finance[Job Number],0)),""))</f>
        <v/>
      </c>
      <c r="E387" s="44">
        <f>IF(A387="","",COUNTIFS(tbl_Finance[Job Number],A387&amp;"",tbl_Finance[Ex GST],"&lt;&gt;"))</f>
        <v/>
      </c>
      <c r="F387" s="16">
        <f>IF(A387="","",SUMIFS(tbl_Finance[Ex GST],tbl_Finance[Job Number],A387&amp;""))</f>
        <v/>
      </c>
      <c r="G387" s="14">
        <f>IF(A387="","",IFERROR(INDEX(tbl_Finance[Cost Centre],MATCH(A387&amp;"",tbl_Finance[Job Number],0)),"not invoiced yet"))</f>
        <v/>
      </c>
      <c r="H387" s="13" t="n"/>
      <c r="I387" s="13" t="n"/>
      <c r="J387" s="15" t="n"/>
      <c r="K387" s="15" t="n"/>
      <c r="L387" s="15" t="n"/>
      <c r="M387" s="14">
        <f>IF(A387="","",IF(N(J387)+N(K387)+N(L387)=0,"Not split",IF(ROUND(N(J387)+N(K387)+N(L387),2)=ROUND(F387,2),"OK","MISMATCH")))</f>
        <v/>
      </c>
      <c r="N387" s="15" t="n"/>
      <c r="O387" s="15" t="n"/>
      <c r="P387" s="15" t="n"/>
      <c r="Q387" s="16">
        <f>IF(A387="","",N(N387)+N(O387)+N(P387))</f>
        <v/>
      </c>
      <c r="R387" s="16">
        <f>IF(A387="","",F387-Q387)</f>
        <v/>
      </c>
      <c r="S387" s="46">
        <f>IFERROR(R387/F387,"")</f>
        <v/>
      </c>
      <c r="T387" s="13" t="n"/>
    </row>
    <row r="388" ht="15" customHeight="1">
      <c r="A388" s="13" t="n"/>
      <c r="B388" s="14">
        <f>IF(A388="","",IF(COUNTIF(lst_Jobs,A388&amp;"")&gt;0,"OK","CHECK"))</f>
        <v/>
      </c>
      <c r="C388" s="14">
        <f>IF(A388="","",IFERROR(INDEX(lst_JobName,MATCH(A388&amp;"",lst_Jobs,0)),""))</f>
        <v/>
      </c>
      <c r="D388" s="14">
        <f>IF(A388="","",IFERROR(INDEX(tbl_Finance[Client],MATCH(A388&amp;"",tbl_Finance[Job Number],0)),""))</f>
        <v/>
      </c>
      <c r="E388" s="44">
        <f>IF(A388="","",COUNTIFS(tbl_Finance[Job Number],A388&amp;"",tbl_Finance[Ex GST],"&lt;&gt;"))</f>
        <v/>
      </c>
      <c r="F388" s="16">
        <f>IF(A388="","",SUMIFS(tbl_Finance[Ex GST],tbl_Finance[Job Number],A388&amp;""))</f>
        <v/>
      </c>
      <c r="G388" s="14">
        <f>IF(A388="","",IFERROR(INDEX(tbl_Finance[Cost Centre],MATCH(A388&amp;"",tbl_Finance[Job Number],0)),"not invoiced yet"))</f>
        <v/>
      </c>
      <c r="H388" s="13" t="n"/>
      <c r="I388" s="13" t="n"/>
      <c r="J388" s="15" t="n"/>
      <c r="K388" s="15" t="n"/>
      <c r="L388" s="15" t="n"/>
      <c r="M388" s="14">
        <f>IF(A388="","",IF(N(J388)+N(K388)+N(L388)=0,"Not split",IF(ROUND(N(J388)+N(K388)+N(L388),2)=ROUND(F388,2),"OK","MISMATCH")))</f>
        <v/>
      </c>
      <c r="N388" s="15" t="n"/>
      <c r="O388" s="15" t="n"/>
      <c r="P388" s="15" t="n"/>
      <c r="Q388" s="16">
        <f>IF(A388="","",N(N388)+N(O388)+N(P388))</f>
        <v/>
      </c>
      <c r="R388" s="16">
        <f>IF(A388="","",F388-Q388)</f>
        <v/>
      </c>
      <c r="S388" s="46">
        <f>IFERROR(R388/F388,"")</f>
        <v/>
      </c>
      <c r="T388" s="13" t="n"/>
    </row>
    <row r="389" ht="15" customHeight="1">
      <c r="A389" s="13" t="n"/>
      <c r="B389" s="14">
        <f>IF(A389="","",IF(COUNTIF(lst_Jobs,A389&amp;"")&gt;0,"OK","CHECK"))</f>
        <v/>
      </c>
      <c r="C389" s="14">
        <f>IF(A389="","",IFERROR(INDEX(lst_JobName,MATCH(A389&amp;"",lst_Jobs,0)),""))</f>
        <v/>
      </c>
      <c r="D389" s="14">
        <f>IF(A389="","",IFERROR(INDEX(tbl_Finance[Client],MATCH(A389&amp;"",tbl_Finance[Job Number],0)),""))</f>
        <v/>
      </c>
      <c r="E389" s="44">
        <f>IF(A389="","",COUNTIFS(tbl_Finance[Job Number],A389&amp;"",tbl_Finance[Ex GST],"&lt;&gt;"))</f>
        <v/>
      </c>
      <c r="F389" s="16">
        <f>IF(A389="","",SUMIFS(tbl_Finance[Ex GST],tbl_Finance[Job Number],A389&amp;""))</f>
        <v/>
      </c>
      <c r="G389" s="14">
        <f>IF(A389="","",IFERROR(INDEX(tbl_Finance[Cost Centre],MATCH(A389&amp;"",tbl_Finance[Job Number],0)),"not invoiced yet"))</f>
        <v/>
      </c>
      <c r="H389" s="13" t="n"/>
      <c r="I389" s="13" t="n"/>
      <c r="J389" s="15" t="n"/>
      <c r="K389" s="15" t="n"/>
      <c r="L389" s="15" t="n"/>
      <c r="M389" s="14">
        <f>IF(A389="","",IF(N(J389)+N(K389)+N(L389)=0,"Not split",IF(ROUND(N(J389)+N(K389)+N(L389),2)=ROUND(F389,2),"OK","MISMATCH")))</f>
        <v/>
      </c>
      <c r="N389" s="15" t="n"/>
      <c r="O389" s="15" t="n"/>
      <c r="P389" s="15" t="n"/>
      <c r="Q389" s="16">
        <f>IF(A389="","",N(N389)+N(O389)+N(P389))</f>
        <v/>
      </c>
      <c r="R389" s="16">
        <f>IF(A389="","",F389-Q389)</f>
        <v/>
      </c>
      <c r="S389" s="46">
        <f>IFERROR(R389/F389,"")</f>
        <v/>
      </c>
      <c r="T389" s="13" t="n"/>
    </row>
    <row r="390" ht="15" customHeight="1">
      <c r="A390" s="13" t="n"/>
      <c r="B390" s="14">
        <f>IF(A390="","",IF(COUNTIF(lst_Jobs,A390&amp;"")&gt;0,"OK","CHECK"))</f>
        <v/>
      </c>
      <c r="C390" s="14">
        <f>IF(A390="","",IFERROR(INDEX(lst_JobName,MATCH(A390&amp;"",lst_Jobs,0)),""))</f>
        <v/>
      </c>
      <c r="D390" s="14">
        <f>IF(A390="","",IFERROR(INDEX(tbl_Finance[Client],MATCH(A390&amp;"",tbl_Finance[Job Number],0)),""))</f>
        <v/>
      </c>
      <c r="E390" s="44">
        <f>IF(A390="","",COUNTIFS(tbl_Finance[Job Number],A390&amp;"",tbl_Finance[Ex GST],"&lt;&gt;"))</f>
        <v/>
      </c>
      <c r="F390" s="16">
        <f>IF(A390="","",SUMIFS(tbl_Finance[Ex GST],tbl_Finance[Job Number],A390&amp;""))</f>
        <v/>
      </c>
      <c r="G390" s="14">
        <f>IF(A390="","",IFERROR(INDEX(tbl_Finance[Cost Centre],MATCH(A390&amp;"",tbl_Finance[Job Number],0)),"not invoiced yet"))</f>
        <v/>
      </c>
      <c r="H390" s="13" t="n"/>
      <c r="I390" s="13" t="n"/>
      <c r="J390" s="15" t="n"/>
      <c r="K390" s="15" t="n"/>
      <c r="L390" s="15" t="n"/>
      <c r="M390" s="14">
        <f>IF(A390="","",IF(N(J390)+N(K390)+N(L390)=0,"Not split",IF(ROUND(N(J390)+N(K390)+N(L390),2)=ROUND(F390,2),"OK","MISMATCH")))</f>
        <v/>
      </c>
      <c r="N390" s="15" t="n"/>
      <c r="O390" s="15" t="n"/>
      <c r="P390" s="15" t="n"/>
      <c r="Q390" s="16">
        <f>IF(A390="","",N(N390)+N(O390)+N(P390))</f>
        <v/>
      </c>
      <c r="R390" s="16">
        <f>IF(A390="","",F390-Q390)</f>
        <v/>
      </c>
      <c r="S390" s="46">
        <f>IFERROR(R390/F390,"")</f>
        <v/>
      </c>
      <c r="T390" s="13" t="n"/>
    </row>
    <row r="391" ht="15" customHeight="1">
      <c r="A391" s="13" t="n"/>
      <c r="B391" s="14">
        <f>IF(A391="","",IF(COUNTIF(lst_Jobs,A391&amp;"")&gt;0,"OK","CHECK"))</f>
        <v/>
      </c>
      <c r="C391" s="14">
        <f>IF(A391="","",IFERROR(INDEX(lst_JobName,MATCH(A391&amp;"",lst_Jobs,0)),""))</f>
        <v/>
      </c>
      <c r="D391" s="14">
        <f>IF(A391="","",IFERROR(INDEX(tbl_Finance[Client],MATCH(A391&amp;"",tbl_Finance[Job Number],0)),""))</f>
        <v/>
      </c>
      <c r="E391" s="44">
        <f>IF(A391="","",COUNTIFS(tbl_Finance[Job Number],A391&amp;"",tbl_Finance[Ex GST],"&lt;&gt;"))</f>
        <v/>
      </c>
      <c r="F391" s="16">
        <f>IF(A391="","",SUMIFS(tbl_Finance[Ex GST],tbl_Finance[Job Number],A391&amp;""))</f>
        <v/>
      </c>
      <c r="G391" s="14">
        <f>IF(A391="","",IFERROR(INDEX(tbl_Finance[Cost Centre],MATCH(A391&amp;"",tbl_Finance[Job Number],0)),"not invoiced yet"))</f>
        <v/>
      </c>
      <c r="H391" s="13" t="n"/>
      <c r="I391" s="13" t="n"/>
      <c r="J391" s="15" t="n"/>
      <c r="K391" s="15" t="n"/>
      <c r="L391" s="15" t="n"/>
      <c r="M391" s="14">
        <f>IF(A391="","",IF(N(J391)+N(K391)+N(L391)=0,"Not split",IF(ROUND(N(J391)+N(K391)+N(L391),2)=ROUND(F391,2),"OK","MISMATCH")))</f>
        <v/>
      </c>
      <c r="N391" s="15" t="n"/>
      <c r="O391" s="15" t="n"/>
      <c r="P391" s="15" t="n"/>
      <c r="Q391" s="16">
        <f>IF(A391="","",N(N391)+N(O391)+N(P391))</f>
        <v/>
      </c>
      <c r="R391" s="16">
        <f>IF(A391="","",F391-Q391)</f>
        <v/>
      </c>
      <c r="S391" s="46">
        <f>IFERROR(R391/F391,"")</f>
        <v/>
      </c>
      <c r="T391" s="13" t="n"/>
    </row>
    <row r="392" ht="15" customHeight="1">
      <c r="A392" s="13" t="n"/>
      <c r="B392" s="14">
        <f>IF(A392="","",IF(COUNTIF(lst_Jobs,A392&amp;"")&gt;0,"OK","CHECK"))</f>
        <v/>
      </c>
      <c r="C392" s="14">
        <f>IF(A392="","",IFERROR(INDEX(lst_JobName,MATCH(A392&amp;"",lst_Jobs,0)),""))</f>
        <v/>
      </c>
      <c r="D392" s="14">
        <f>IF(A392="","",IFERROR(INDEX(tbl_Finance[Client],MATCH(A392&amp;"",tbl_Finance[Job Number],0)),""))</f>
        <v/>
      </c>
      <c r="E392" s="44">
        <f>IF(A392="","",COUNTIFS(tbl_Finance[Job Number],A392&amp;"",tbl_Finance[Ex GST],"&lt;&gt;"))</f>
        <v/>
      </c>
      <c r="F392" s="16">
        <f>IF(A392="","",SUMIFS(tbl_Finance[Ex GST],tbl_Finance[Job Number],A392&amp;""))</f>
        <v/>
      </c>
      <c r="G392" s="14">
        <f>IF(A392="","",IFERROR(INDEX(tbl_Finance[Cost Centre],MATCH(A392&amp;"",tbl_Finance[Job Number],0)),"not invoiced yet"))</f>
        <v/>
      </c>
      <c r="H392" s="13" t="n"/>
      <c r="I392" s="13" t="n"/>
      <c r="J392" s="15" t="n"/>
      <c r="K392" s="15" t="n"/>
      <c r="L392" s="15" t="n"/>
      <c r="M392" s="14">
        <f>IF(A392="","",IF(N(J392)+N(K392)+N(L392)=0,"Not split",IF(ROUND(N(J392)+N(K392)+N(L392),2)=ROUND(F392,2),"OK","MISMATCH")))</f>
        <v/>
      </c>
      <c r="N392" s="15" t="n"/>
      <c r="O392" s="15" t="n"/>
      <c r="P392" s="15" t="n"/>
      <c r="Q392" s="16">
        <f>IF(A392="","",N(N392)+N(O392)+N(P392))</f>
        <v/>
      </c>
      <c r="R392" s="16">
        <f>IF(A392="","",F392-Q392)</f>
        <v/>
      </c>
      <c r="S392" s="46">
        <f>IFERROR(R392/F392,"")</f>
        <v/>
      </c>
      <c r="T392" s="13" t="n"/>
    </row>
    <row r="393" ht="15" customHeight="1">
      <c r="A393" s="13" t="n"/>
      <c r="B393" s="14">
        <f>IF(A393="","",IF(COUNTIF(lst_Jobs,A393&amp;"")&gt;0,"OK","CHECK"))</f>
        <v/>
      </c>
      <c r="C393" s="14">
        <f>IF(A393="","",IFERROR(INDEX(lst_JobName,MATCH(A393&amp;"",lst_Jobs,0)),""))</f>
        <v/>
      </c>
      <c r="D393" s="14">
        <f>IF(A393="","",IFERROR(INDEX(tbl_Finance[Client],MATCH(A393&amp;"",tbl_Finance[Job Number],0)),""))</f>
        <v/>
      </c>
      <c r="E393" s="44">
        <f>IF(A393="","",COUNTIFS(tbl_Finance[Job Number],A393&amp;"",tbl_Finance[Ex GST],"&lt;&gt;"))</f>
        <v/>
      </c>
      <c r="F393" s="16">
        <f>IF(A393="","",SUMIFS(tbl_Finance[Ex GST],tbl_Finance[Job Number],A393&amp;""))</f>
        <v/>
      </c>
      <c r="G393" s="14">
        <f>IF(A393="","",IFERROR(INDEX(tbl_Finance[Cost Centre],MATCH(A393&amp;"",tbl_Finance[Job Number],0)),"not invoiced yet"))</f>
        <v/>
      </c>
      <c r="H393" s="13" t="n"/>
      <c r="I393" s="13" t="n"/>
      <c r="J393" s="15" t="n"/>
      <c r="K393" s="15" t="n"/>
      <c r="L393" s="15" t="n"/>
      <c r="M393" s="14">
        <f>IF(A393="","",IF(N(J393)+N(K393)+N(L393)=0,"Not split",IF(ROUND(N(J393)+N(K393)+N(L393),2)=ROUND(F393,2),"OK","MISMATCH")))</f>
        <v/>
      </c>
      <c r="N393" s="15" t="n"/>
      <c r="O393" s="15" t="n"/>
      <c r="P393" s="15" t="n"/>
      <c r="Q393" s="16">
        <f>IF(A393="","",N(N393)+N(O393)+N(P393))</f>
        <v/>
      </c>
      <c r="R393" s="16">
        <f>IF(A393="","",F393-Q393)</f>
        <v/>
      </c>
      <c r="S393" s="46">
        <f>IFERROR(R393/F393,"")</f>
        <v/>
      </c>
      <c r="T393" s="13" t="n"/>
    </row>
    <row r="394" ht="15" customHeight="1">
      <c r="A394" s="13" t="n"/>
      <c r="B394" s="14">
        <f>IF(A394="","",IF(COUNTIF(lst_Jobs,A394&amp;"")&gt;0,"OK","CHECK"))</f>
        <v/>
      </c>
      <c r="C394" s="14">
        <f>IF(A394="","",IFERROR(INDEX(lst_JobName,MATCH(A394&amp;"",lst_Jobs,0)),""))</f>
        <v/>
      </c>
      <c r="D394" s="14">
        <f>IF(A394="","",IFERROR(INDEX(tbl_Finance[Client],MATCH(A394&amp;"",tbl_Finance[Job Number],0)),""))</f>
        <v/>
      </c>
      <c r="E394" s="44">
        <f>IF(A394="","",COUNTIFS(tbl_Finance[Job Number],A394&amp;"",tbl_Finance[Ex GST],"&lt;&gt;"))</f>
        <v/>
      </c>
      <c r="F394" s="16">
        <f>IF(A394="","",SUMIFS(tbl_Finance[Ex GST],tbl_Finance[Job Number],A394&amp;""))</f>
        <v/>
      </c>
      <c r="G394" s="14">
        <f>IF(A394="","",IFERROR(INDEX(tbl_Finance[Cost Centre],MATCH(A394&amp;"",tbl_Finance[Job Number],0)),"not invoiced yet"))</f>
        <v/>
      </c>
      <c r="H394" s="13" t="n"/>
      <c r="I394" s="13" t="n"/>
      <c r="J394" s="15" t="n"/>
      <c r="K394" s="15" t="n"/>
      <c r="L394" s="15" t="n"/>
      <c r="M394" s="14">
        <f>IF(A394="","",IF(N(J394)+N(K394)+N(L394)=0,"Not split",IF(ROUND(N(J394)+N(K394)+N(L394),2)=ROUND(F394,2),"OK","MISMATCH")))</f>
        <v/>
      </c>
      <c r="N394" s="15" t="n"/>
      <c r="O394" s="15" t="n"/>
      <c r="P394" s="15" t="n"/>
      <c r="Q394" s="16">
        <f>IF(A394="","",N(N394)+N(O394)+N(P394))</f>
        <v/>
      </c>
      <c r="R394" s="16">
        <f>IF(A394="","",F394-Q394)</f>
        <v/>
      </c>
      <c r="S394" s="46">
        <f>IFERROR(R394/F394,"")</f>
        <v/>
      </c>
      <c r="T394" s="13" t="n"/>
    </row>
    <row r="395" ht="15" customHeight="1">
      <c r="A395" s="13" t="n"/>
      <c r="B395" s="14">
        <f>IF(A395="","",IF(COUNTIF(lst_Jobs,A395&amp;"")&gt;0,"OK","CHECK"))</f>
        <v/>
      </c>
      <c r="C395" s="14">
        <f>IF(A395="","",IFERROR(INDEX(lst_JobName,MATCH(A395&amp;"",lst_Jobs,0)),""))</f>
        <v/>
      </c>
      <c r="D395" s="14">
        <f>IF(A395="","",IFERROR(INDEX(tbl_Finance[Client],MATCH(A395&amp;"",tbl_Finance[Job Number],0)),""))</f>
        <v/>
      </c>
      <c r="E395" s="44">
        <f>IF(A395="","",COUNTIFS(tbl_Finance[Job Number],A395&amp;"",tbl_Finance[Ex GST],"&lt;&gt;"))</f>
        <v/>
      </c>
      <c r="F395" s="16">
        <f>IF(A395="","",SUMIFS(tbl_Finance[Ex GST],tbl_Finance[Job Number],A395&amp;""))</f>
        <v/>
      </c>
      <c r="G395" s="14">
        <f>IF(A395="","",IFERROR(INDEX(tbl_Finance[Cost Centre],MATCH(A395&amp;"",tbl_Finance[Job Number],0)),"not invoiced yet"))</f>
        <v/>
      </c>
      <c r="H395" s="13" t="n"/>
      <c r="I395" s="13" t="n"/>
      <c r="J395" s="15" t="n"/>
      <c r="K395" s="15" t="n"/>
      <c r="L395" s="15" t="n"/>
      <c r="M395" s="14">
        <f>IF(A395="","",IF(N(J395)+N(K395)+N(L395)=0,"Not split",IF(ROUND(N(J395)+N(K395)+N(L395),2)=ROUND(F395,2),"OK","MISMATCH")))</f>
        <v/>
      </c>
      <c r="N395" s="15" t="n"/>
      <c r="O395" s="15" t="n"/>
      <c r="P395" s="15" t="n"/>
      <c r="Q395" s="16">
        <f>IF(A395="","",N(N395)+N(O395)+N(P395))</f>
        <v/>
      </c>
      <c r="R395" s="16">
        <f>IF(A395="","",F395-Q395)</f>
        <v/>
      </c>
      <c r="S395" s="46">
        <f>IFERROR(R395/F395,"")</f>
        <v/>
      </c>
      <c r="T395" s="13" t="n"/>
    </row>
    <row r="396" ht="15" customHeight="1">
      <c r="A396" s="13" t="n"/>
      <c r="B396" s="14">
        <f>IF(A396="","",IF(COUNTIF(lst_Jobs,A396&amp;"")&gt;0,"OK","CHECK"))</f>
        <v/>
      </c>
      <c r="C396" s="14">
        <f>IF(A396="","",IFERROR(INDEX(lst_JobName,MATCH(A396&amp;"",lst_Jobs,0)),""))</f>
        <v/>
      </c>
      <c r="D396" s="14">
        <f>IF(A396="","",IFERROR(INDEX(tbl_Finance[Client],MATCH(A396&amp;"",tbl_Finance[Job Number],0)),""))</f>
        <v/>
      </c>
      <c r="E396" s="44">
        <f>IF(A396="","",COUNTIFS(tbl_Finance[Job Number],A396&amp;"",tbl_Finance[Ex GST],"&lt;&gt;"))</f>
        <v/>
      </c>
      <c r="F396" s="16">
        <f>IF(A396="","",SUMIFS(tbl_Finance[Ex GST],tbl_Finance[Job Number],A396&amp;""))</f>
        <v/>
      </c>
      <c r="G396" s="14">
        <f>IF(A396="","",IFERROR(INDEX(tbl_Finance[Cost Centre],MATCH(A396&amp;"",tbl_Finance[Job Number],0)),"not invoiced yet"))</f>
        <v/>
      </c>
      <c r="H396" s="13" t="n"/>
      <c r="I396" s="13" t="n"/>
      <c r="J396" s="15" t="n"/>
      <c r="K396" s="15" t="n"/>
      <c r="L396" s="15" t="n"/>
      <c r="M396" s="14">
        <f>IF(A396="","",IF(N(J396)+N(K396)+N(L396)=0,"Not split",IF(ROUND(N(J396)+N(K396)+N(L396),2)=ROUND(F396,2),"OK","MISMATCH")))</f>
        <v/>
      </c>
      <c r="N396" s="15" t="n"/>
      <c r="O396" s="15" t="n"/>
      <c r="P396" s="15" t="n"/>
      <c r="Q396" s="16">
        <f>IF(A396="","",N(N396)+N(O396)+N(P396))</f>
        <v/>
      </c>
      <c r="R396" s="16">
        <f>IF(A396="","",F396-Q396)</f>
        <v/>
      </c>
      <c r="S396" s="46">
        <f>IFERROR(R396/F396,"")</f>
        <v/>
      </c>
      <c r="T396" s="13" t="n"/>
    </row>
    <row r="397" ht="15" customHeight="1">
      <c r="A397" s="13" t="n"/>
      <c r="B397" s="14">
        <f>IF(A397="","",IF(COUNTIF(lst_Jobs,A397&amp;"")&gt;0,"OK","CHECK"))</f>
        <v/>
      </c>
      <c r="C397" s="14">
        <f>IF(A397="","",IFERROR(INDEX(lst_JobName,MATCH(A397&amp;"",lst_Jobs,0)),""))</f>
        <v/>
      </c>
      <c r="D397" s="14">
        <f>IF(A397="","",IFERROR(INDEX(tbl_Finance[Client],MATCH(A397&amp;"",tbl_Finance[Job Number],0)),""))</f>
        <v/>
      </c>
      <c r="E397" s="44">
        <f>IF(A397="","",COUNTIFS(tbl_Finance[Job Number],A397&amp;"",tbl_Finance[Ex GST],"&lt;&gt;"))</f>
        <v/>
      </c>
      <c r="F397" s="16">
        <f>IF(A397="","",SUMIFS(tbl_Finance[Ex GST],tbl_Finance[Job Number],A397&amp;""))</f>
        <v/>
      </c>
      <c r="G397" s="14">
        <f>IF(A397="","",IFERROR(INDEX(tbl_Finance[Cost Centre],MATCH(A397&amp;"",tbl_Finance[Job Number],0)),"not invoiced yet"))</f>
        <v/>
      </c>
      <c r="H397" s="13" t="n"/>
      <c r="I397" s="13" t="n"/>
      <c r="J397" s="15" t="n"/>
      <c r="K397" s="15" t="n"/>
      <c r="L397" s="15" t="n"/>
      <c r="M397" s="14">
        <f>IF(A397="","",IF(N(J397)+N(K397)+N(L397)=0,"Not split",IF(ROUND(N(J397)+N(K397)+N(L397),2)=ROUND(F397,2),"OK","MISMATCH")))</f>
        <v/>
      </c>
      <c r="N397" s="15" t="n"/>
      <c r="O397" s="15" t="n"/>
      <c r="P397" s="15" t="n"/>
      <c r="Q397" s="16">
        <f>IF(A397="","",N(N397)+N(O397)+N(P397))</f>
        <v/>
      </c>
      <c r="R397" s="16">
        <f>IF(A397="","",F397-Q397)</f>
        <v/>
      </c>
      <c r="S397" s="46">
        <f>IFERROR(R397/F397,"")</f>
        <v/>
      </c>
      <c r="T397" s="13" t="n"/>
    </row>
    <row r="398" ht="15" customHeight="1">
      <c r="A398" s="13" t="n"/>
      <c r="B398" s="14">
        <f>IF(A398="","",IF(COUNTIF(lst_Jobs,A398&amp;"")&gt;0,"OK","CHECK"))</f>
        <v/>
      </c>
      <c r="C398" s="14">
        <f>IF(A398="","",IFERROR(INDEX(lst_JobName,MATCH(A398&amp;"",lst_Jobs,0)),""))</f>
        <v/>
      </c>
      <c r="D398" s="14">
        <f>IF(A398="","",IFERROR(INDEX(tbl_Finance[Client],MATCH(A398&amp;"",tbl_Finance[Job Number],0)),""))</f>
        <v/>
      </c>
      <c r="E398" s="44">
        <f>IF(A398="","",COUNTIFS(tbl_Finance[Job Number],A398&amp;"",tbl_Finance[Ex GST],"&lt;&gt;"))</f>
        <v/>
      </c>
      <c r="F398" s="16">
        <f>IF(A398="","",SUMIFS(tbl_Finance[Ex GST],tbl_Finance[Job Number],A398&amp;""))</f>
        <v/>
      </c>
      <c r="G398" s="14">
        <f>IF(A398="","",IFERROR(INDEX(tbl_Finance[Cost Centre],MATCH(A398&amp;"",tbl_Finance[Job Number],0)),"not invoiced yet"))</f>
        <v/>
      </c>
      <c r="H398" s="13" t="n"/>
      <c r="I398" s="13" t="n"/>
      <c r="J398" s="15" t="n"/>
      <c r="K398" s="15" t="n"/>
      <c r="L398" s="15" t="n"/>
      <c r="M398" s="14">
        <f>IF(A398="","",IF(N(J398)+N(K398)+N(L398)=0,"Not split",IF(ROUND(N(J398)+N(K398)+N(L398),2)=ROUND(F398,2),"OK","MISMATCH")))</f>
        <v/>
      </c>
      <c r="N398" s="15" t="n"/>
      <c r="O398" s="15" t="n"/>
      <c r="P398" s="15" t="n"/>
      <c r="Q398" s="16">
        <f>IF(A398="","",N(N398)+N(O398)+N(P398))</f>
        <v/>
      </c>
      <c r="R398" s="16">
        <f>IF(A398="","",F398-Q398)</f>
        <v/>
      </c>
      <c r="S398" s="46">
        <f>IFERROR(R398/F398,"")</f>
        <v/>
      </c>
      <c r="T398" s="13" t="n"/>
    </row>
    <row r="399" ht="15" customHeight="1">
      <c r="A399" s="13" t="n"/>
      <c r="B399" s="14">
        <f>IF(A399="","",IF(COUNTIF(lst_Jobs,A399&amp;"")&gt;0,"OK","CHECK"))</f>
        <v/>
      </c>
      <c r="C399" s="14">
        <f>IF(A399="","",IFERROR(INDEX(lst_JobName,MATCH(A399&amp;"",lst_Jobs,0)),""))</f>
        <v/>
      </c>
      <c r="D399" s="14">
        <f>IF(A399="","",IFERROR(INDEX(tbl_Finance[Client],MATCH(A399&amp;"",tbl_Finance[Job Number],0)),""))</f>
        <v/>
      </c>
      <c r="E399" s="44">
        <f>IF(A399="","",COUNTIFS(tbl_Finance[Job Number],A399&amp;"",tbl_Finance[Ex GST],"&lt;&gt;"))</f>
        <v/>
      </c>
      <c r="F399" s="16">
        <f>IF(A399="","",SUMIFS(tbl_Finance[Ex GST],tbl_Finance[Job Number],A399&amp;""))</f>
        <v/>
      </c>
      <c r="G399" s="14">
        <f>IF(A399="","",IFERROR(INDEX(tbl_Finance[Cost Centre],MATCH(A399&amp;"",tbl_Finance[Job Number],0)),"not invoiced yet"))</f>
        <v/>
      </c>
      <c r="H399" s="13" t="n"/>
      <c r="I399" s="13" t="n"/>
      <c r="J399" s="15" t="n"/>
      <c r="K399" s="15" t="n"/>
      <c r="L399" s="15" t="n"/>
      <c r="M399" s="14">
        <f>IF(A399="","",IF(N(J399)+N(K399)+N(L399)=0,"Not split",IF(ROUND(N(J399)+N(K399)+N(L399),2)=ROUND(F399,2),"OK","MISMATCH")))</f>
        <v/>
      </c>
      <c r="N399" s="15" t="n"/>
      <c r="O399" s="15" t="n"/>
      <c r="P399" s="15" t="n"/>
      <c r="Q399" s="16">
        <f>IF(A399="","",N(N399)+N(O399)+N(P399))</f>
        <v/>
      </c>
      <c r="R399" s="16">
        <f>IF(A399="","",F399-Q399)</f>
        <v/>
      </c>
      <c r="S399" s="46">
        <f>IFERROR(R399/F399,"")</f>
        <v/>
      </c>
      <c r="T399" s="13" t="n"/>
    </row>
    <row r="400" ht="15" customHeight="1">
      <c r="A400" s="13" t="n"/>
      <c r="B400" s="14">
        <f>IF(A400="","",IF(COUNTIF(lst_Jobs,A400&amp;"")&gt;0,"OK","CHECK"))</f>
        <v/>
      </c>
      <c r="C400" s="14">
        <f>IF(A400="","",IFERROR(INDEX(lst_JobName,MATCH(A400&amp;"",lst_Jobs,0)),""))</f>
        <v/>
      </c>
      <c r="D400" s="14">
        <f>IF(A400="","",IFERROR(INDEX(tbl_Finance[Client],MATCH(A400&amp;"",tbl_Finance[Job Number],0)),""))</f>
        <v/>
      </c>
      <c r="E400" s="44">
        <f>IF(A400="","",COUNTIFS(tbl_Finance[Job Number],A400&amp;"",tbl_Finance[Ex GST],"&lt;&gt;"))</f>
        <v/>
      </c>
      <c r="F400" s="16">
        <f>IF(A400="","",SUMIFS(tbl_Finance[Ex GST],tbl_Finance[Job Number],A400&amp;""))</f>
        <v/>
      </c>
      <c r="G400" s="14">
        <f>IF(A400="","",IFERROR(INDEX(tbl_Finance[Cost Centre],MATCH(A400&amp;"",tbl_Finance[Job Number],0)),"not invoiced yet"))</f>
        <v/>
      </c>
      <c r="H400" s="13" t="n"/>
      <c r="I400" s="13" t="n"/>
      <c r="J400" s="15" t="n"/>
      <c r="K400" s="15" t="n"/>
      <c r="L400" s="15" t="n"/>
      <c r="M400" s="14">
        <f>IF(A400="","",IF(N(J400)+N(K400)+N(L400)=0,"Not split",IF(ROUND(N(J400)+N(K400)+N(L400),2)=ROUND(F400,2),"OK","MISMATCH")))</f>
        <v/>
      </c>
      <c r="N400" s="15" t="n"/>
      <c r="O400" s="15" t="n"/>
      <c r="P400" s="15" t="n"/>
      <c r="Q400" s="16">
        <f>IF(A400="","",N(N400)+N(O400)+N(P400))</f>
        <v/>
      </c>
      <c r="R400" s="16">
        <f>IF(A400="","",F400-Q400)</f>
        <v/>
      </c>
      <c r="S400" s="46">
        <f>IFERROR(R400/F400,"")</f>
        <v/>
      </c>
      <c r="T400" s="13" t="n"/>
    </row>
    <row r="401" ht="15" customHeight="1">
      <c r="A401" s="13" t="n"/>
      <c r="B401" s="14">
        <f>IF(A401="","",IF(COUNTIF(lst_Jobs,A401&amp;"")&gt;0,"OK","CHECK"))</f>
        <v/>
      </c>
      <c r="C401" s="14">
        <f>IF(A401="","",IFERROR(INDEX(lst_JobName,MATCH(A401&amp;"",lst_Jobs,0)),""))</f>
        <v/>
      </c>
      <c r="D401" s="14">
        <f>IF(A401="","",IFERROR(INDEX(tbl_Finance[Client],MATCH(A401&amp;"",tbl_Finance[Job Number],0)),""))</f>
        <v/>
      </c>
      <c r="E401" s="44">
        <f>IF(A401="","",COUNTIFS(tbl_Finance[Job Number],A401&amp;"",tbl_Finance[Ex GST],"&lt;&gt;"))</f>
        <v/>
      </c>
      <c r="F401" s="16">
        <f>IF(A401="","",SUMIFS(tbl_Finance[Ex GST],tbl_Finance[Job Number],A401&amp;""))</f>
        <v/>
      </c>
      <c r="G401" s="14">
        <f>IF(A401="","",IFERROR(INDEX(tbl_Finance[Cost Centre],MATCH(A401&amp;"",tbl_Finance[Job Number],0)),"not invoiced yet"))</f>
        <v/>
      </c>
      <c r="H401" s="13" t="n"/>
      <c r="I401" s="13" t="n"/>
      <c r="J401" s="15" t="n"/>
      <c r="K401" s="15" t="n"/>
      <c r="L401" s="15" t="n"/>
      <c r="M401" s="14">
        <f>IF(A401="","",IF(N(J401)+N(K401)+N(L401)=0,"Not split",IF(ROUND(N(J401)+N(K401)+N(L401),2)=ROUND(F401,2),"OK","MISMATCH")))</f>
        <v/>
      </c>
      <c r="N401" s="15" t="n"/>
      <c r="O401" s="15" t="n"/>
      <c r="P401" s="15" t="n"/>
      <c r="Q401" s="16">
        <f>IF(A401="","",N(N401)+N(O401)+N(P401))</f>
        <v/>
      </c>
      <c r="R401" s="16">
        <f>IF(A401="","",F401-Q401)</f>
        <v/>
      </c>
      <c r="S401" s="46">
        <f>IFERROR(R401/F401,"")</f>
        <v/>
      </c>
      <c r="T401" s="13" t="n"/>
    </row>
    <row r="402" ht="15" customHeight="1">
      <c r="A402" s="13" t="n"/>
      <c r="B402" s="14">
        <f>IF(A402="","",IF(COUNTIF(lst_Jobs,A402&amp;"")&gt;0,"OK","CHECK"))</f>
        <v/>
      </c>
      <c r="C402" s="14">
        <f>IF(A402="","",IFERROR(INDEX(lst_JobName,MATCH(A402&amp;"",lst_Jobs,0)),""))</f>
        <v/>
      </c>
      <c r="D402" s="14">
        <f>IF(A402="","",IFERROR(INDEX(tbl_Finance[Client],MATCH(A402&amp;"",tbl_Finance[Job Number],0)),""))</f>
        <v/>
      </c>
      <c r="E402" s="44">
        <f>IF(A402="","",COUNTIFS(tbl_Finance[Job Number],A402&amp;"",tbl_Finance[Ex GST],"&lt;&gt;"))</f>
        <v/>
      </c>
      <c r="F402" s="16">
        <f>IF(A402="","",SUMIFS(tbl_Finance[Ex GST],tbl_Finance[Job Number],A402&amp;""))</f>
        <v/>
      </c>
      <c r="G402" s="14">
        <f>IF(A402="","",IFERROR(INDEX(tbl_Finance[Cost Centre],MATCH(A402&amp;"",tbl_Finance[Job Number],0)),"not invoiced yet"))</f>
        <v/>
      </c>
      <c r="H402" s="13" t="n"/>
      <c r="I402" s="13" t="n"/>
      <c r="J402" s="15" t="n"/>
      <c r="K402" s="15" t="n"/>
      <c r="L402" s="15" t="n"/>
      <c r="M402" s="14">
        <f>IF(A402="","",IF(N(J402)+N(K402)+N(L402)=0,"Not split",IF(ROUND(N(J402)+N(K402)+N(L402),2)=ROUND(F402,2),"OK","MISMATCH")))</f>
        <v/>
      </c>
      <c r="N402" s="15" t="n"/>
      <c r="O402" s="15" t="n"/>
      <c r="P402" s="15" t="n"/>
      <c r="Q402" s="16">
        <f>IF(A402="","",N(N402)+N(O402)+N(P402))</f>
        <v/>
      </c>
      <c r="R402" s="16">
        <f>IF(A402="","",F402-Q402)</f>
        <v/>
      </c>
      <c r="S402" s="46">
        <f>IFERROR(R402/F402,"")</f>
        <v/>
      </c>
      <c r="T402" s="13" t="n"/>
    </row>
    <row r="403" ht="15" customHeight="1">
      <c r="A403" s="13" t="n"/>
      <c r="B403" s="14">
        <f>IF(A403="","",IF(COUNTIF(lst_Jobs,A403&amp;"")&gt;0,"OK","CHECK"))</f>
        <v/>
      </c>
      <c r="C403" s="14">
        <f>IF(A403="","",IFERROR(INDEX(lst_JobName,MATCH(A403&amp;"",lst_Jobs,0)),""))</f>
        <v/>
      </c>
      <c r="D403" s="14">
        <f>IF(A403="","",IFERROR(INDEX(tbl_Finance[Client],MATCH(A403&amp;"",tbl_Finance[Job Number],0)),""))</f>
        <v/>
      </c>
      <c r="E403" s="44">
        <f>IF(A403="","",COUNTIFS(tbl_Finance[Job Number],A403&amp;"",tbl_Finance[Ex GST],"&lt;&gt;"))</f>
        <v/>
      </c>
      <c r="F403" s="16">
        <f>IF(A403="","",SUMIFS(tbl_Finance[Ex GST],tbl_Finance[Job Number],A403&amp;""))</f>
        <v/>
      </c>
      <c r="G403" s="14">
        <f>IF(A403="","",IFERROR(INDEX(tbl_Finance[Cost Centre],MATCH(A403&amp;"",tbl_Finance[Job Number],0)),"not invoiced yet"))</f>
        <v/>
      </c>
      <c r="H403" s="13" t="n"/>
      <c r="I403" s="13" t="n"/>
      <c r="J403" s="15" t="n"/>
      <c r="K403" s="15" t="n"/>
      <c r="L403" s="15" t="n"/>
      <c r="M403" s="14">
        <f>IF(A403="","",IF(N(J403)+N(K403)+N(L403)=0,"Not split",IF(ROUND(N(J403)+N(K403)+N(L403),2)=ROUND(F403,2),"OK","MISMATCH")))</f>
        <v/>
      </c>
      <c r="N403" s="15" t="n"/>
      <c r="O403" s="15" t="n"/>
      <c r="P403" s="15" t="n"/>
      <c r="Q403" s="16">
        <f>IF(A403="","",N(N403)+N(O403)+N(P403))</f>
        <v/>
      </c>
      <c r="R403" s="16">
        <f>IF(A403="","",F403-Q403)</f>
        <v/>
      </c>
      <c r="S403" s="46">
        <f>IFERROR(R403/F403,"")</f>
        <v/>
      </c>
      <c r="T403" s="13" t="n"/>
    </row>
    <row r="404" ht="15" customHeight="1">
      <c r="A404" s="13" t="n"/>
      <c r="B404" s="14">
        <f>IF(A404="","",IF(COUNTIF(lst_Jobs,A404&amp;"")&gt;0,"OK","CHECK"))</f>
        <v/>
      </c>
      <c r="C404" s="14">
        <f>IF(A404="","",IFERROR(INDEX(lst_JobName,MATCH(A404&amp;"",lst_Jobs,0)),""))</f>
        <v/>
      </c>
      <c r="D404" s="14">
        <f>IF(A404="","",IFERROR(INDEX(tbl_Finance[Client],MATCH(A404&amp;"",tbl_Finance[Job Number],0)),""))</f>
        <v/>
      </c>
      <c r="E404" s="44">
        <f>IF(A404="","",COUNTIFS(tbl_Finance[Job Number],A404&amp;"",tbl_Finance[Ex GST],"&lt;&gt;"))</f>
        <v/>
      </c>
      <c r="F404" s="16">
        <f>IF(A404="","",SUMIFS(tbl_Finance[Ex GST],tbl_Finance[Job Number],A404&amp;""))</f>
        <v/>
      </c>
      <c r="G404" s="14">
        <f>IF(A404="","",IFERROR(INDEX(tbl_Finance[Cost Centre],MATCH(A404&amp;"",tbl_Finance[Job Number],0)),"not invoiced yet"))</f>
        <v/>
      </c>
      <c r="H404" s="13" t="n"/>
      <c r="I404" s="13" t="n"/>
      <c r="J404" s="15" t="n"/>
      <c r="K404" s="15" t="n"/>
      <c r="L404" s="15" t="n"/>
      <c r="M404" s="14">
        <f>IF(A404="","",IF(N(J404)+N(K404)+N(L404)=0,"Not split",IF(ROUND(N(J404)+N(K404)+N(L404),2)=ROUND(F404,2),"OK","MISMATCH")))</f>
        <v/>
      </c>
      <c r="N404" s="15" t="n"/>
      <c r="O404" s="15" t="n"/>
      <c r="P404" s="15" t="n"/>
      <c r="Q404" s="16">
        <f>IF(A404="","",N(N404)+N(O404)+N(P404))</f>
        <v/>
      </c>
      <c r="R404" s="16">
        <f>IF(A404="","",F404-Q404)</f>
        <v/>
      </c>
      <c r="S404" s="46">
        <f>IFERROR(R404/F404,"")</f>
        <v/>
      </c>
      <c r="T404" s="13" t="n"/>
    </row>
    <row r="405" ht="15" customHeight="1">
      <c r="A405" s="13" t="n"/>
      <c r="B405" s="14">
        <f>IF(A405="","",IF(COUNTIF(lst_Jobs,A405&amp;"")&gt;0,"OK","CHECK"))</f>
        <v/>
      </c>
      <c r="C405" s="14">
        <f>IF(A405="","",IFERROR(INDEX(lst_JobName,MATCH(A405&amp;"",lst_Jobs,0)),""))</f>
        <v/>
      </c>
      <c r="D405" s="14">
        <f>IF(A405="","",IFERROR(INDEX(tbl_Finance[Client],MATCH(A405&amp;"",tbl_Finance[Job Number],0)),""))</f>
        <v/>
      </c>
      <c r="E405" s="44">
        <f>IF(A405="","",COUNTIFS(tbl_Finance[Job Number],A405&amp;"",tbl_Finance[Ex GST],"&lt;&gt;"))</f>
        <v/>
      </c>
      <c r="F405" s="16">
        <f>IF(A405="","",SUMIFS(tbl_Finance[Ex GST],tbl_Finance[Job Number],A405&amp;""))</f>
        <v/>
      </c>
      <c r="G405" s="14">
        <f>IF(A405="","",IFERROR(INDEX(tbl_Finance[Cost Centre],MATCH(A405&amp;"",tbl_Finance[Job Number],0)),"not invoiced yet"))</f>
        <v/>
      </c>
      <c r="H405" s="13" t="n"/>
      <c r="I405" s="13" t="n"/>
      <c r="J405" s="15" t="n"/>
      <c r="K405" s="15" t="n"/>
      <c r="L405" s="15" t="n"/>
      <c r="M405" s="14">
        <f>IF(A405="","",IF(N(J405)+N(K405)+N(L405)=0,"Not split",IF(ROUND(N(J405)+N(K405)+N(L405),2)=ROUND(F405,2),"OK","MISMATCH")))</f>
        <v/>
      </c>
      <c r="N405" s="15" t="n"/>
      <c r="O405" s="15" t="n"/>
      <c r="P405" s="15" t="n"/>
      <c r="Q405" s="16">
        <f>IF(A405="","",N(N405)+N(O405)+N(P405))</f>
        <v/>
      </c>
      <c r="R405" s="16">
        <f>IF(A405="","",F405-Q405)</f>
        <v/>
      </c>
      <c r="S405" s="46">
        <f>IFERROR(R405/F405,"")</f>
        <v/>
      </c>
      <c r="T405" s="13" t="n"/>
    </row>
    <row r="406" ht="15" customHeight="1">
      <c r="A406" s="13" t="n"/>
      <c r="B406" s="14">
        <f>IF(A406="","",IF(COUNTIF(lst_Jobs,A406&amp;"")&gt;0,"OK","CHECK"))</f>
        <v/>
      </c>
      <c r="C406" s="14">
        <f>IF(A406="","",IFERROR(INDEX(lst_JobName,MATCH(A406&amp;"",lst_Jobs,0)),""))</f>
        <v/>
      </c>
      <c r="D406" s="14">
        <f>IF(A406="","",IFERROR(INDEX(tbl_Finance[Client],MATCH(A406&amp;"",tbl_Finance[Job Number],0)),""))</f>
        <v/>
      </c>
      <c r="E406" s="44">
        <f>IF(A406="","",COUNTIFS(tbl_Finance[Job Number],A406&amp;"",tbl_Finance[Ex GST],"&lt;&gt;"))</f>
        <v/>
      </c>
      <c r="F406" s="16">
        <f>IF(A406="","",SUMIFS(tbl_Finance[Ex GST],tbl_Finance[Job Number],A406&amp;""))</f>
        <v/>
      </c>
      <c r="G406" s="14">
        <f>IF(A406="","",IFERROR(INDEX(tbl_Finance[Cost Centre],MATCH(A406&amp;"",tbl_Finance[Job Number],0)),"not invoiced yet"))</f>
        <v/>
      </c>
      <c r="H406" s="13" t="n"/>
      <c r="I406" s="13" t="n"/>
      <c r="J406" s="15" t="n"/>
      <c r="K406" s="15" t="n"/>
      <c r="L406" s="15" t="n"/>
      <c r="M406" s="14">
        <f>IF(A406="","",IF(N(J406)+N(K406)+N(L406)=0,"Not split",IF(ROUND(N(J406)+N(K406)+N(L406),2)=ROUND(F406,2),"OK","MISMATCH")))</f>
        <v/>
      </c>
      <c r="N406" s="15" t="n"/>
      <c r="O406" s="15" t="n"/>
      <c r="P406" s="15" t="n"/>
      <c r="Q406" s="16">
        <f>IF(A406="","",N(N406)+N(O406)+N(P406))</f>
        <v/>
      </c>
      <c r="R406" s="16">
        <f>IF(A406="","",F406-Q406)</f>
        <v/>
      </c>
      <c r="S406" s="46">
        <f>IFERROR(R406/F406,"")</f>
        <v/>
      </c>
      <c r="T406" s="13" t="n"/>
    </row>
    <row r="407" ht="15" customHeight="1">
      <c r="A407" s="13" t="n"/>
      <c r="B407" s="14">
        <f>IF(A407="","",IF(COUNTIF(lst_Jobs,A407&amp;"")&gt;0,"OK","CHECK"))</f>
        <v/>
      </c>
      <c r="C407" s="14">
        <f>IF(A407="","",IFERROR(INDEX(lst_JobName,MATCH(A407&amp;"",lst_Jobs,0)),""))</f>
        <v/>
      </c>
      <c r="D407" s="14">
        <f>IF(A407="","",IFERROR(INDEX(tbl_Finance[Client],MATCH(A407&amp;"",tbl_Finance[Job Number],0)),""))</f>
        <v/>
      </c>
      <c r="E407" s="44">
        <f>IF(A407="","",COUNTIFS(tbl_Finance[Job Number],A407&amp;"",tbl_Finance[Ex GST],"&lt;&gt;"))</f>
        <v/>
      </c>
      <c r="F407" s="16">
        <f>IF(A407="","",SUMIFS(tbl_Finance[Ex GST],tbl_Finance[Job Number],A407&amp;""))</f>
        <v/>
      </c>
      <c r="G407" s="14">
        <f>IF(A407="","",IFERROR(INDEX(tbl_Finance[Cost Centre],MATCH(A407&amp;"",tbl_Finance[Job Number],0)),"not invoiced yet"))</f>
        <v/>
      </c>
      <c r="H407" s="13" t="n"/>
      <c r="I407" s="13" t="n"/>
      <c r="J407" s="15" t="n"/>
      <c r="K407" s="15" t="n"/>
      <c r="L407" s="15" t="n"/>
      <c r="M407" s="14">
        <f>IF(A407="","",IF(N(J407)+N(K407)+N(L407)=0,"Not split",IF(ROUND(N(J407)+N(K407)+N(L407),2)=ROUND(F407,2),"OK","MISMATCH")))</f>
        <v/>
      </c>
      <c r="N407" s="15" t="n"/>
      <c r="O407" s="15" t="n"/>
      <c r="P407" s="15" t="n"/>
      <c r="Q407" s="16">
        <f>IF(A407="","",N(N407)+N(O407)+N(P407))</f>
        <v/>
      </c>
      <c r="R407" s="16">
        <f>IF(A407="","",F407-Q407)</f>
        <v/>
      </c>
      <c r="S407" s="46">
        <f>IFERROR(R407/F407,"")</f>
        <v/>
      </c>
      <c r="T407" s="13" t="n"/>
    </row>
    <row r="408" ht="15" customHeight="1">
      <c r="A408" s="13" t="n"/>
      <c r="B408" s="14">
        <f>IF(A408="","",IF(COUNTIF(lst_Jobs,A408&amp;"")&gt;0,"OK","CHECK"))</f>
        <v/>
      </c>
      <c r="C408" s="14">
        <f>IF(A408="","",IFERROR(INDEX(lst_JobName,MATCH(A408&amp;"",lst_Jobs,0)),""))</f>
        <v/>
      </c>
      <c r="D408" s="14">
        <f>IF(A408="","",IFERROR(INDEX(tbl_Finance[Client],MATCH(A408&amp;"",tbl_Finance[Job Number],0)),""))</f>
        <v/>
      </c>
      <c r="E408" s="44">
        <f>IF(A408="","",COUNTIFS(tbl_Finance[Job Number],A408&amp;"",tbl_Finance[Ex GST],"&lt;&gt;"))</f>
        <v/>
      </c>
      <c r="F408" s="16">
        <f>IF(A408="","",SUMIFS(tbl_Finance[Ex GST],tbl_Finance[Job Number],A408&amp;""))</f>
        <v/>
      </c>
      <c r="G408" s="14">
        <f>IF(A408="","",IFERROR(INDEX(tbl_Finance[Cost Centre],MATCH(A408&amp;"",tbl_Finance[Job Number],0)),"not invoiced yet"))</f>
        <v/>
      </c>
      <c r="H408" s="13" t="n"/>
      <c r="I408" s="13" t="n"/>
      <c r="J408" s="15" t="n"/>
      <c r="K408" s="15" t="n"/>
      <c r="L408" s="15" t="n"/>
      <c r="M408" s="14">
        <f>IF(A408="","",IF(N(J408)+N(K408)+N(L408)=0,"Not split",IF(ROUND(N(J408)+N(K408)+N(L408),2)=ROUND(F408,2),"OK","MISMATCH")))</f>
        <v/>
      </c>
      <c r="N408" s="15" t="n"/>
      <c r="O408" s="15" t="n"/>
      <c r="P408" s="15" t="n"/>
      <c r="Q408" s="16">
        <f>IF(A408="","",N(N408)+N(O408)+N(P408))</f>
        <v/>
      </c>
      <c r="R408" s="16">
        <f>IF(A408="","",F408-Q408)</f>
        <v/>
      </c>
      <c r="S408" s="46">
        <f>IFERROR(R408/F408,"")</f>
        <v/>
      </c>
      <c r="T408" s="13" t="n"/>
    </row>
    <row r="409" ht="15" customHeight="1">
      <c r="A409" s="13" t="n"/>
      <c r="B409" s="14">
        <f>IF(A409="","",IF(COUNTIF(lst_Jobs,A409&amp;"")&gt;0,"OK","CHECK"))</f>
        <v/>
      </c>
      <c r="C409" s="14">
        <f>IF(A409="","",IFERROR(INDEX(lst_JobName,MATCH(A409&amp;"",lst_Jobs,0)),""))</f>
        <v/>
      </c>
      <c r="D409" s="14">
        <f>IF(A409="","",IFERROR(INDEX(tbl_Finance[Client],MATCH(A409&amp;"",tbl_Finance[Job Number],0)),""))</f>
        <v/>
      </c>
      <c r="E409" s="44">
        <f>IF(A409="","",COUNTIFS(tbl_Finance[Job Number],A409&amp;"",tbl_Finance[Ex GST],"&lt;&gt;"))</f>
        <v/>
      </c>
      <c r="F409" s="16">
        <f>IF(A409="","",SUMIFS(tbl_Finance[Ex GST],tbl_Finance[Job Number],A409&amp;""))</f>
        <v/>
      </c>
      <c r="G409" s="14">
        <f>IF(A409="","",IFERROR(INDEX(tbl_Finance[Cost Centre],MATCH(A409&amp;"",tbl_Finance[Job Number],0)),"not invoiced yet"))</f>
        <v/>
      </c>
      <c r="H409" s="13" t="n"/>
      <c r="I409" s="13" t="n"/>
      <c r="J409" s="15" t="n"/>
      <c r="K409" s="15" t="n"/>
      <c r="L409" s="15" t="n"/>
      <c r="M409" s="14">
        <f>IF(A409="","",IF(N(J409)+N(K409)+N(L409)=0,"Not split",IF(ROUND(N(J409)+N(K409)+N(L409),2)=ROUND(F409,2),"OK","MISMATCH")))</f>
        <v/>
      </c>
      <c r="N409" s="15" t="n"/>
      <c r="O409" s="15" t="n"/>
      <c r="P409" s="15" t="n"/>
      <c r="Q409" s="16">
        <f>IF(A409="","",N(N409)+N(O409)+N(P409))</f>
        <v/>
      </c>
      <c r="R409" s="16">
        <f>IF(A409="","",F409-Q409)</f>
        <v/>
      </c>
      <c r="S409" s="46">
        <f>IFERROR(R409/F409,"")</f>
        <v/>
      </c>
      <c r="T409" s="13" t="n"/>
    </row>
    <row r="410" ht="15" customHeight="1">
      <c r="A410" s="13" t="n"/>
      <c r="B410" s="14">
        <f>IF(A410="","",IF(COUNTIF(lst_Jobs,A410&amp;"")&gt;0,"OK","CHECK"))</f>
        <v/>
      </c>
      <c r="C410" s="14">
        <f>IF(A410="","",IFERROR(INDEX(lst_JobName,MATCH(A410&amp;"",lst_Jobs,0)),""))</f>
        <v/>
      </c>
      <c r="D410" s="14">
        <f>IF(A410="","",IFERROR(INDEX(tbl_Finance[Client],MATCH(A410&amp;"",tbl_Finance[Job Number],0)),""))</f>
        <v/>
      </c>
      <c r="E410" s="44">
        <f>IF(A410="","",COUNTIFS(tbl_Finance[Job Number],A410&amp;"",tbl_Finance[Ex GST],"&lt;&gt;"))</f>
        <v/>
      </c>
      <c r="F410" s="16">
        <f>IF(A410="","",SUMIFS(tbl_Finance[Ex GST],tbl_Finance[Job Number],A410&amp;""))</f>
        <v/>
      </c>
      <c r="G410" s="14">
        <f>IF(A410="","",IFERROR(INDEX(tbl_Finance[Cost Centre],MATCH(A410&amp;"",tbl_Finance[Job Number],0)),"not invoiced yet"))</f>
        <v/>
      </c>
      <c r="H410" s="13" t="n"/>
      <c r="I410" s="13" t="n"/>
      <c r="J410" s="15" t="n"/>
      <c r="K410" s="15" t="n"/>
      <c r="L410" s="15" t="n"/>
      <c r="M410" s="14">
        <f>IF(A410="","",IF(N(J410)+N(K410)+N(L410)=0,"Not split",IF(ROUND(N(J410)+N(K410)+N(L410),2)=ROUND(F410,2),"OK","MISMATCH")))</f>
        <v/>
      </c>
      <c r="N410" s="15" t="n"/>
      <c r="O410" s="15" t="n"/>
      <c r="P410" s="15" t="n"/>
      <c r="Q410" s="16">
        <f>IF(A410="","",N(N410)+N(O410)+N(P410))</f>
        <v/>
      </c>
      <c r="R410" s="16">
        <f>IF(A410="","",F410-Q410)</f>
        <v/>
      </c>
      <c r="S410" s="46">
        <f>IFERROR(R410/F410,"")</f>
        <v/>
      </c>
      <c r="T410" s="13" t="n"/>
    </row>
    <row r="411" ht="15" customHeight="1">
      <c r="A411" s="13" t="n"/>
      <c r="B411" s="14">
        <f>IF(A411="","",IF(COUNTIF(lst_Jobs,A411&amp;"")&gt;0,"OK","CHECK"))</f>
        <v/>
      </c>
      <c r="C411" s="14">
        <f>IF(A411="","",IFERROR(INDEX(lst_JobName,MATCH(A411&amp;"",lst_Jobs,0)),""))</f>
        <v/>
      </c>
      <c r="D411" s="14">
        <f>IF(A411="","",IFERROR(INDEX(tbl_Finance[Client],MATCH(A411&amp;"",tbl_Finance[Job Number],0)),""))</f>
        <v/>
      </c>
      <c r="E411" s="44">
        <f>IF(A411="","",COUNTIFS(tbl_Finance[Job Number],A411&amp;"",tbl_Finance[Ex GST],"&lt;&gt;"))</f>
        <v/>
      </c>
      <c r="F411" s="16">
        <f>IF(A411="","",SUMIFS(tbl_Finance[Ex GST],tbl_Finance[Job Number],A411&amp;""))</f>
        <v/>
      </c>
      <c r="G411" s="14">
        <f>IF(A411="","",IFERROR(INDEX(tbl_Finance[Cost Centre],MATCH(A411&amp;"",tbl_Finance[Job Number],0)),"not invoiced yet"))</f>
        <v/>
      </c>
      <c r="H411" s="13" t="n"/>
      <c r="I411" s="13" t="n"/>
      <c r="J411" s="15" t="n"/>
      <c r="K411" s="15" t="n"/>
      <c r="L411" s="15" t="n"/>
      <c r="M411" s="14">
        <f>IF(A411="","",IF(N(J411)+N(K411)+N(L411)=0,"Not split",IF(ROUND(N(J411)+N(K411)+N(L411),2)=ROUND(F411,2),"OK","MISMATCH")))</f>
        <v/>
      </c>
      <c r="N411" s="15" t="n"/>
      <c r="O411" s="15" t="n"/>
      <c r="P411" s="15" t="n"/>
      <c r="Q411" s="16">
        <f>IF(A411="","",N(N411)+N(O411)+N(P411))</f>
        <v/>
      </c>
      <c r="R411" s="16">
        <f>IF(A411="","",F411-Q411)</f>
        <v/>
      </c>
      <c r="S411" s="46">
        <f>IFERROR(R411/F411,"")</f>
        <v/>
      </c>
      <c r="T411" s="13" t="n"/>
    </row>
    <row r="412" ht="15" customHeight="1">
      <c r="A412" s="13" t="n"/>
      <c r="B412" s="14">
        <f>IF(A412="","",IF(COUNTIF(lst_Jobs,A412&amp;"")&gt;0,"OK","CHECK"))</f>
        <v/>
      </c>
      <c r="C412" s="14">
        <f>IF(A412="","",IFERROR(INDEX(lst_JobName,MATCH(A412&amp;"",lst_Jobs,0)),""))</f>
        <v/>
      </c>
      <c r="D412" s="14">
        <f>IF(A412="","",IFERROR(INDEX(tbl_Finance[Client],MATCH(A412&amp;"",tbl_Finance[Job Number],0)),""))</f>
        <v/>
      </c>
      <c r="E412" s="44">
        <f>IF(A412="","",COUNTIFS(tbl_Finance[Job Number],A412&amp;"",tbl_Finance[Ex GST],"&lt;&gt;"))</f>
        <v/>
      </c>
      <c r="F412" s="16">
        <f>IF(A412="","",SUMIFS(tbl_Finance[Ex GST],tbl_Finance[Job Number],A412&amp;""))</f>
        <v/>
      </c>
      <c r="G412" s="14">
        <f>IF(A412="","",IFERROR(INDEX(tbl_Finance[Cost Centre],MATCH(A412&amp;"",tbl_Finance[Job Number],0)),"not invoiced yet"))</f>
        <v/>
      </c>
      <c r="H412" s="13" t="n"/>
      <c r="I412" s="13" t="n"/>
      <c r="J412" s="15" t="n"/>
      <c r="K412" s="15" t="n"/>
      <c r="L412" s="15" t="n"/>
      <c r="M412" s="14">
        <f>IF(A412="","",IF(N(J412)+N(K412)+N(L412)=0,"Not split",IF(ROUND(N(J412)+N(K412)+N(L412),2)=ROUND(F412,2),"OK","MISMATCH")))</f>
        <v/>
      </c>
      <c r="N412" s="15" t="n"/>
      <c r="O412" s="15" t="n"/>
      <c r="P412" s="15" t="n"/>
      <c r="Q412" s="16">
        <f>IF(A412="","",N(N412)+N(O412)+N(P412))</f>
        <v/>
      </c>
      <c r="R412" s="16">
        <f>IF(A412="","",F412-Q412)</f>
        <v/>
      </c>
      <c r="S412" s="46">
        <f>IFERROR(R412/F412,"")</f>
        <v/>
      </c>
      <c r="T412" s="13" t="n"/>
    </row>
    <row r="413" ht="15" customHeight="1">
      <c r="A413" s="13" t="n"/>
      <c r="B413" s="14">
        <f>IF(A413="","",IF(COUNTIF(lst_Jobs,A413&amp;"")&gt;0,"OK","CHECK"))</f>
        <v/>
      </c>
      <c r="C413" s="14">
        <f>IF(A413="","",IFERROR(INDEX(lst_JobName,MATCH(A413&amp;"",lst_Jobs,0)),""))</f>
        <v/>
      </c>
      <c r="D413" s="14">
        <f>IF(A413="","",IFERROR(INDEX(tbl_Finance[Client],MATCH(A413&amp;"",tbl_Finance[Job Number],0)),""))</f>
        <v/>
      </c>
      <c r="E413" s="44">
        <f>IF(A413="","",COUNTIFS(tbl_Finance[Job Number],A413&amp;"",tbl_Finance[Ex GST],"&lt;&gt;"))</f>
        <v/>
      </c>
      <c r="F413" s="16">
        <f>IF(A413="","",SUMIFS(tbl_Finance[Ex GST],tbl_Finance[Job Number],A413&amp;""))</f>
        <v/>
      </c>
      <c r="G413" s="14">
        <f>IF(A413="","",IFERROR(INDEX(tbl_Finance[Cost Centre],MATCH(A413&amp;"",tbl_Finance[Job Number],0)),"not invoiced yet"))</f>
        <v/>
      </c>
      <c r="H413" s="13" t="n"/>
      <c r="I413" s="13" t="n"/>
      <c r="J413" s="15" t="n"/>
      <c r="K413" s="15" t="n"/>
      <c r="L413" s="15" t="n"/>
      <c r="M413" s="14">
        <f>IF(A413="","",IF(N(J413)+N(K413)+N(L413)=0,"Not split",IF(ROUND(N(J413)+N(K413)+N(L413),2)=ROUND(F413,2),"OK","MISMATCH")))</f>
        <v/>
      </c>
      <c r="N413" s="15" t="n"/>
      <c r="O413" s="15" t="n"/>
      <c r="P413" s="15" t="n"/>
      <c r="Q413" s="16">
        <f>IF(A413="","",N(N413)+N(O413)+N(P413))</f>
        <v/>
      </c>
      <c r="R413" s="16">
        <f>IF(A413="","",F413-Q413)</f>
        <v/>
      </c>
      <c r="S413" s="46">
        <f>IFERROR(R413/F413,"")</f>
        <v/>
      </c>
      <c r="T413" s="13" t="n"/>
    </row>
    <row r="414" ht="15" customHeight="1">
      <c r="A414" s="13" t="n"/>
      <c r="B414" s="14">
        <f>IF(A414="","",IF(COUNTIF(lst_Jobs,A414&amp;"")&gt;0,"OK","CHECK"))</f>
        <v/>
      </c>
      <c r="C414" s="14">
        <f>IF(A414="","",IFERROR(INDEX(lst_JobName,MATCH(A414&amp;"",lst_Jobs,0)),""))</f>
        <v/>
      </c>
      <c r="D414" s="14">
        <f>IF(A414="","",IFERROR(INDEX(tbl_Finance[Client],MATCH(A414&amp;"",tbl_Finance[Job Number],0)),""))</f>
        <v/>
      </c>
      <c r="E414" s="44">
        <f>IF(A414="","",COUNTIFS(tbl_Finance[Job Number],A414&amp;"",tbl_Finance[Ex GST],"&lt;&gt;"))</f>
        <v/>
      </c>
      <c r="F414" s="16">
        <f>IF(A414="","",SUMIFS(tbl_Finance[Ex GST],tbl_Finance[Job Number],A414&amp;""))</f>
        <v/>
      </c>
      <c r="G414" s="14">
        <f>IF(A414="","",IFERROR(INDEX(tbl_Finance[Cost Centre],MATCH(A414&amp;"",tbl_Finance[Job Number],0)),"not invoiced yet"))</f>
        <v/>
      </c>
      <c r="H414" s="13" t="n"/>
      <c r="I414" s="13" t="n"/>
      <c r="J414" s="15" t="n"/>
      <c r="K414" s="15" t="n"/>
      <c r="L414" s="15" t="n"/>
      <c r="M414" s="14">
        <f>IF(A414="","",IF(N(J414)+N(K414)+N(L414)=0,"Not split",IF(ROUND(N(J414)+N(K414)+N(L414),2)=ROUND(F414,2),"OK","MISMATCH")))</f>
        <v/>
      </c>
      <c r="N414" s="15" t="n"/>
      <c r="O414" s="15" t="n"/>
      <c r="P414" s="15" t="n"/>
      <c r="Q414" s="16">
        <f>IF(A414="","",N(N414)+N(O414)+N(P414))</f>
        <v/>
      </c>
      <c r="R414" s="16">
        <f>IF(A414="","",F414-Q414)</f>
        <v/>
      </c>
      <c r="S414" s="46">
        <f>IFERROR(R414/F414,"")</f>
        <v/>
      </c>
      <c r="T414" s="13" t="n"/>
    </row>
    <row r="415" ht="15" customHeight="1">
      <c r="A415" s="13" t="n"/>
      <c r="B415" s="14">
        <f>IF(A415="","",IF(COUNTIF(lst_Jobs,A415&amp;"")&gt;0,"OK","CHECK"))</f>
        <v/>
      </c>
      <c r="C415" s="14">
        <f>IF(A415="","",IFERROR(INDEX(lst_JobName,MATCH(A415&amp;"",lst_Jobs,0)),""))</f>
        <v/>
      </c>
      <c r="D415" s="14">
        <f>IF(A415="","",IFERROR(INDEX(tbl_Finance[Client],MATCH(A415&amp;"",tbl_Finance[Job Number],0)),""))</f>
        <v/>
      </c>
      <c r="E415" s="44">
        <f>IF(A415="","",COUNTIFS(tbl_Finance[Job Number],A415&amp;"",tbl_Finance[Ex GST],"&lt;&gt;"))</f>
        <v/>
      </c>
      <c r="F415" s="16">
        <f>IF(A415="","",SUMIFS(tbl_Finance[Ex GST],tbl_Finance[Job Number],A415&amp;""))</f>
        <v/>
      </c>
      <c r="G415" s="14">
        <f>IF(A415="","",IFERROR(INDEX(tbl_Finance[Cost Centre],MATCH(A415&amp;"",tbl_Finance[Job Number],0)),"not invoiced yet"))</f>
        <v/>
      </c>
      <c r="H415" s="13" t="n"/>
      <c r="I415" s="13" t="n"/>
      <c r="J415" s="15" t="n"/>
      <c r="K415" s="15" t="n"/>
      <c r="L415" s="15" t="n"/>
      <c r="M415" s="14">
        <f>IF(A415="","",IF(N(J415)+N(K415)+N(L415)=0,"Not split",IF(ROUND(N(J415)+N(K415)+N(L415),2)=ROUND(F415,2),"OK","MISMATCH")))</f>
        <v/>
      </c>
      <c r="N415" s="15" t="n"/>
      <c r="O415" s="15" t="n"/>
      <c r="P415" s="15" t="n"/>
      <c r="Q415" s="16">
        <f>IF(A415="","",N(N415)+N(O415)+N(P415))</f>
        <v/>
      </c>
      <c r="R415" s="16">
        <f>IF(A415="","",F415-Q415)</f>
        <v/>
      </c>
      <c r="S415" s="46">
        <f>IFERROR(R415/F415,"")</f>
        <v/>
      </c>
      <c r="T415" s="13" t="n"/>
    </row>
    <row r="416" ht="15" customHeight="1">
      <c r="A416" s="13" t="n"/>
      <c r="B416" s="14">
        <f>IF(A416="","",IF(COUNTIF(lst_Jobs,A416&amp;"")&gt;0,"OK","CHECK"))</f>
        <v/>
      </c>
      <c r="C416" s="14">
        <f>IF(A416="","",IFERROR(INDEX(lst_JobName,MATCH(A416&amp;"",lst_Jobs,0)),""))</f>
        <v/>
      </c>
      <c r="D416" s="14">
        <f>IF(A416="","",IFERROR(INDEX(tbl_Finance[Client],MATCH(A416&amp;"",tbl_Finance[Job Number],0)),""))</f>
        <v/>
      </c>
      <c r="E416" s="44">
        <f>IF(A416="","",COUNTIFS(tbl_Finance[Job Number],A416&amp;"",tbl_Finance[Ex GST],"&lt;&gt;"))</f>
        <v/>
      </c>
      <c r="F416" s="16">
        <f>IF(A416="","",SUMIFS(tbl_Finance[Ex GST],tbl_Finance[Job Number],A416&amp;""))</f>
        <v/>
      </c>
      <c r="G416" s="14">
        <f>IF(A416="","",IFERROR(INDEX(tbl_Finance[Cost Centre],MATCH(A416&amp;"",tbl_Finance[Job Number],0)),"not invoiced yet"))</f>
        <v/>
      </c>
      <c r="H416" s="13" t="n"/>
      <c r="I416" s="13" t="n"/>
      <c r="J416" s="15" t="n"/>
      <c r="K416" s="15" t="n"/>
      <c r="L416" s="15" t="n"/>
      <c r="M416" s="14">
        <f>IF(A416="","",IF(N(J416)+N(K416)+N(L416)=0,"Not split",IF(ROUND(N(J416)+N(K416)+N(L416),2)=ROUND(F416,2),"OK","MISMATCH")))</f>
        <v/>
      </c>
      <c r="N416" s="15" t="n"/>
      <c r="O416" s="15" t="n"/>
      <c r="P416" s="15" t="n"/>
      <c r="Q416" s="16">
        <f>IF(A416="","",N(N416)+N(O416)+N(P416))</f>
        <v/>
      </c>
      <c r="R416" s="16">
        <f>IF(A416="","",F416-Q416)</f>
        <v/>
      </c>
      <c r="S416" s="46">
        <f>IFERROR(R416/F416,"")</f>
        <v/>
      </c>
      <c r="T416" s="13" t="n"/>
    </row>
    <row r="417" ht="15" customHeight="1">
      <c r="A417" s="13" t="n"/>
      <c r="B417" s="14">
        <f>IF(A417="","",IF(COUNTIF(lst_Jobs,A417&amp;"")&gt;0,"OK","CHECK"))</f>
        <v/>
      </c>
      <c r="C417" s="14">
        <f>IF(A417="","",IFERROR(INDEX(lst_JobName,MATCH(A417&amp;"",lst_Jobs,0)),""))</f>
        <v/>
      </c>
      <c r="D417" s="14">
        <f>IF(A417="","",IFERROR(INDEX(tbl_Finance[Client],MATCH(A417&amp;"",tbl_Finance[Job Number],0)),""))</f>
        <v/>
      </c>
      <c r="E417" s="44">
        <f>IF(A417="","",COUNTIFS(tbl_Finance[Job Number],A417&amp;"",tbl_Finance[Ex GST],"&lt;&gt;"))</f>
        <v/>
      </c>
      <c r="F417" s="16">
        <f>IF(A417="","",SUMIFS(tbl_Finance[Ex GST],tbl_Finance[Job Number],A417&amp;""))</f>
        <v/>
      </c>
      <c r="G417" s="14">
        <f>IF(A417="","",IFERROR(INDEX(tbl_Finance[Cost Centre],MATCH(A417&amp;"",tbl_Finance[Job Number],0)),"not invoiced yet"))</f>
        <v/>
      </c>
      <c r="H417" s="13" t="n"/>
      <c r="I417" s="13" t="n"/>
      <c r="J417" s="15" t="n"/>
      <c r="K417" s="15" t="n"/>
      <c r="L417" s="15" t="n"/>
      <c r="M417" s="14">
        <f>IF(A417="","",IF(N(J417)+N(K417)+N(L417)=0,"Not split",IF(ROUND(N(J417)+N(K417)+N(L417),2)=ROUND(F417,2),"OK","MISMATCH")))</f>
        <v/>
      </c>
      <c r="N417" s="15" t="n"/>
      <c r="O417" s="15" t="n"/>
      <c r="P417" s="15" t="n"/>
      <c r="Q417" s="16">
        <f>IF(A417="","",N(N417)+N(O417)+N(P417))</f>
        <v/>
      </c>
      <c r="R417" s="16">
        <f>IF(A417="","",F417-Q417)</f>
        <v/>
      </c>
      <c r="S417" s="46">
        <f>IFERROR(R417/F417,"")</f>
        <v/>
      </c>
      <c r="T417" s="13" t="n"/>
    </row>
    <row r="418" ht="15" customHeight="1">
      <c r="A418" s="13" t="n"/>
      <c r="B418" s="14">
        <f>IF(A418="","",IF(COUNTIF(lst_Jobs,A418&amp;"")&gt;0,"OK","CHECK"))</f>
        <v/>
      </c>
      <c r="C418" s="14">
        <f>IF(A418="","",IFERROR(INDEX(lst_JobName,MATCH(A418&amp;"",lst_Jobs,0)),""))</f>
        <v/>
      </c>
      <c r="D418" s="14">
        <f>IF(A418="","",IFERROR(INDEX(tbl_Finance[Client],MATCH(A418&amp;"",tbl_Finance[Job Number],0)),""))</f>
        <v/>
      </c>
      <c r="E418" s="44">
        <f>IF(A418="","",COUNTIFS(tbl_Finance[Job Number],A418&amp;"",tbl_Finance[Ex GST],"&lt;&gt;"))</f>
        <v/>
      </c>
      <c r="F418" s="16">
        <f>IF(A418="","",SUMIFS(tbl_Finance[Ex GST],tbl_Finance[Job Number],A418&amp;""))</f>
        <v/>
      </c>
      <c r="G418" s="14">
        <f>IF(A418="","",IFERROR(INDEX(tbl_Finance[Cost Centre],MATCH(A418&amp;"",tbl_Finance[Job Number],0)),"not invoiced yet"))</f>
        <v/>
      </c>
      <c r="H418" s="13" t="n"/>
      <c r="I418" s="13" t="n"/>
      <c r="J418" s="15" t="n"/>
      <c r="K418" s="15" t="n"/>
      <c r="L418" s="15" t="n"/>
      <c r="M418" s="14">
        <f>IF(A418="","",IF(N(J418)+N(K418)+N(L418)=0,"Not split",IF(ROUND(N(J418)+N(K418)+N(L418),2)=ROUND(F418,2),"OK","MISMATCH")))</f>
        <v/>
      </c>
      <c r="N418" s="15" t="n"/>
      <c r="O418" s="15" t="n"/>
      <c r="P418" s="15" t="n"/>
      <c r="Q418" s="16">
        <f>IF(A418="","",N(N418)+N(O418)+N(P418))</f>
        <v/>
      </c>
      <c r="R418" s="16">
        <f>IF(A418="","",F418-Q418)</f>
        <v/>
      </c>
      <c r="S418" s="46">
        <f>IFERROR(R418/F418,"")</f>
        <v/>
      </c>
      <c r="T418" s="13" t="n"/>
    </row>
    <row r="419" ht="15" customHeight="1">
      <c r="A419" s="13" t="n"/>
      <c r="B419" s="14">
        <f>IF(A419="","",IF(COUNTIF(lst_Jobs,A419&amp;"")&gt;0,"OK","CHECK"))</f>
        <v/>
      </c>
      <c r="C419" s="14">
        <f>IF(A419="","",IFERROR(INDEX(lst_JobName,MATCH(A419&amp;"",lst_Jobs,0)),""))</f>
        <v/>
      </c>
      <c r="D419" s="14">
        <f>IF(A419="","",IFERROR(INDEX(tbl_Finance[Client],MATCH(A419&amp;"",tbl_Finance[Job Number],0)),""))</f>
        <v/>
      </c>
      <c r="E419" s="44">
        <f>IF(A419="","",COUNTIFS(tbl_Finance[Job Number],A419&amp;"",tbl_Finance[Ex GST],"&lt;&gt;"))</f>
        <v/>
      </c>
      <c r="F419" s="16">
        <f>IF(A419="","",SUMIFS(tbl_Finance[Ex GST],tbl_Finance[Job Number],A419&amp;""))</f>
        <v/>
      </c>
      <c r="G419" s="14">
        <f>IF(A419="","",IFERROR(INDEX(tbl_Finance[Cost Centre],MATCH(A419&amp;"",tbl_Finance[Job Number],0)),"not invoiced yet"))</f>
        <v/>
      </c>
      <c r="H419" s="13" t="n"/>
      <c r="I419" s="13" t="n"/>
      <c r="J419" s="15" t="n"/>
      <c r="K419" s="15" t="n"/>
      <c r="L419" s="15" t="n"/>
      <c r="M419" s="14">
        <f>IF(A419="","",IF(N(J419)+N(K419)+N(L419)=0,"Not split",IF(ROUND(N(J419)+N(K419)+N(L419),2)=ROUND(F419,2),"OK","MISMATCH")))</f>
        <v/>
      </c>
      <c r="N419" s="15" t="n"/>
      <c r="O419" s="15" t="n"/>
      <c r="P419" s="15" t="n"/>
      <c r="Q419" s="16">
        <f>IF(A419="","",N(N419)+N(O419)+N(P419))</f>
        <v/>
      </c>
      <c r="R419" s="16">
        <f>IF(A419="","",F419-Q419)</f>
        <v/>
      </c>
      <c r="S419" s="46">
        <f>IFERROR(R419/F419,"")</f>
        <v/>
      </c>
      <c r="T419" s="13" t="n"/>
    </row>
    <row r="420" ht="15" customHeight="1">
      <c r="A420" s="13" t="n"/>
      <c r="B420" s="14">
        <f>IF(A420="","",IF(COUNTIF(lst_Jobs,A420&amp;"")&gt;0,"OK","CHECK"))</f>
        <v/>
      </c>
      <c r="C420" s="14">
        <f>IF(A420="","",IFERROR(INDEX(lst_JobName,MATCH(A420&amp;"",lst_Jobs,0)),""))</f>
        <v/>
      </c>
      <c r="D420" s="14">
        <f>IF(A420="","",IFERROR(INDEX(tbl_Finance[Client],MATCH(A420&amp;"",tbl_Finance[Job Number],0)),""))</f>
        <v/>
      </c>
      <c r="E420" s="44">
        <f>IF(A420="","",COUNTIFS(tbl_Finance[Job Number],A420&amp;"",tbl_Finance[Ex GST],"&lt;&gt;"))</f>
        <v/>
      </c>
      <c r="F420" s="16">
        <f>IF(A420="","",SUMIFS(tbl_Finance[Ex GST],tbl_Finance[Job Number],A420&amp;""))</f>
        <v/>
      </c>
      <c r="G420" s="14">
        <f>IF(A420="","",IFERROR(INDEX(tbl_Finance[Cost Centre],MATCH(A420&amp;"",tbl_Finance[Job Number],0)),"not invoiced yet"))</f>
        <v/>
      </c>
      <c r="H420" s="13" t="n"/>
      <c r="I420" s="13" t="n"/>
      <c r="J420" s="15" t="n"/>
      <c r="K420" s="15" t="n"/>
      <c r="L420" s="15" t="n"/>
      <c r="M420" s="14">
        <f>IF(A420="","",IF(N(J420)+N(K420)+N(L420)=0,"Not split",IF(ROUND(N(J420)+N(K420)+N(L420),2)=ROUND(F420,2),"OK","MISMATCH")))</f>
        <v/>
      </c>
      <c r="N420" s="15" t="n"/>
      <c r="O420" s="15" t="n"/>
      <c r="P420" s="15" t="n"/>
      <c r="Q420" s="16">
        <f>IF(A420="","",N(N420)+N(O420)+N(P420))</f>
        <v/>
      </c>
      <c r="R420" s="16">
        <f>IF(A420="","",F420-Q420)</f>
        <v/>
      </c>
      <c r="S420" s="46">
        <f>IFERROR(R420/F420,"")</f>
        <v/>
      </c>
      <c r="T420" s="13" t="n"/>
    </row>
    <row r="421" ht="15" customHeight="1">
      <c r="A421" s="13" t="n"/>
      <c r="B421" s="14">
        <f>IF(A421="","",IF(COUNTIF(lst_Jobs,A421&amp;"")&gt;0,"OK","CHECK"))</f>
        <v/>
      </c>
      <c r="C421" s="14">
        <f>IF(A421="","",IFERROR(INDEX(lst_JobName,MATCH(A421&amp;"",lst_Jobs,0)),""))</f>
        <v/>
      </c>
      <c r="D421" s="14">
        <f>IF(A421="","",IFERROR(INDEX(tbl_Finance[Client],MATCH(A421&amp;"",tbl_Finance[Job Number],0)),""))</f>
        <v/>
      </c>
      <c r="E421" s="44">
        <f>IF(A421="","",COUNTIFS(tbl_Finance[Job Number],A421&amp;"",tbl_Finance[Ex GST],"&lt;&gt;"))</f>
        <v/>
      </c>
      <c r="F421" s="16">
        <f>IF(A421="","",SUMIFS(tbl_Finance[Ex GST],tbl_Finance[Job Number],A421&amp;""))</f>
        <v/>
      </c>
      <c r="G421" s="14">
        <f>IF(A421="","",IFERROR(INDEX(tbl_Finance[Cost Centre],MATCH(A421&amp;"",tbl_Finance[Job Number],0)),"not invoiced yet"))</f>
        <v/>
      </c>
      <c r="H421" s="13" t="n"/>
      <c r="I421" s="13" t="n"/>
      <c r="J421" s="15" t="n"/>
      <c r="K421" s="15" t="n"/>
      <c r="L421" s="15" t="n"/>
      <c r="M421" s="14">
        <f>IF(A421="","",IF(N(J421)+N(K421)+N(L421)=0,"Not split",IF(ROUND(N(J421)+N(K421)+N(L421),2)=ROUND(F421,2),"OK","MISMATCH")))</f>
        <v/>
      </c>
      <c r="N421" s="15" t="n"/>
      <c r="O421" s="15" t="n"/>
      <c r="P421" s="15" t="n"/>
      <c r="Q421" s="16">
        <f>IF(A421="","",N(N421)+N(O421)+N(P421))</f>
        <v/>
      </c>
      <c r="R421" s="16">
        <f>IF(A421="","",F421-Q421)</f>
        <v/>
      </c>
      <c r="S421" s="46">
        <f>IFERROR(R421/F421,"")</f>
        <v/>
      </c>
      <c r="T421" s="13" t="n"/>
    </row>
    <row r="422" ht="15" customHeight="1">
      <c r="A422" s="13" t="n"/>
      <c r="B422" s="14">
        <f>IF(A422="","",IF(COUNTIF(lst_Jobs,A422&amp;"")&gt;0,"OK","CHECK"))</f>
        <v/>
      </c>
      <c r="C422" s="14">
        <f>IF(A422="","",IFERROR(INDEX(lst_JobName,MATCH(A422&amp;"",lst_Jobs,0)),""))</f>
        <v/>
      </c>
      <c r="D422" s="14">
        <f>IF(A422="","",IFERROR(INDEX(tbl_Finance[Client],MATCH(A422&amp;"",tbl_Finance[Job Number],0)),""))</f>
        <v/>
      </c>
      <c r="E422" s="44">
        <f>IF(A422="","",COUNTIFS(tbl_Finance[Job Number],A422&amp;"",tbl_Finance[Ex GST],"&lt;&gt;"))</f>
        <v/>
      </c>
      <c r="F422" s="16">
        <f>IF(A422="","",SUMIFS(tbl_Finance[Ex GST],tbl_Finance[Job Number],A422&amp;""))</f>
        <v/>
      </c>
      <c r="G422" s="14">
        <f>IF(A422="","",IFERROR(INDEX(tbl_Finance[Cost Centre],MATCH(A422&amp;"",tbl_Finance[Job Number],0)),"not invoiced yet"))</f>
        <v/>
      </c>
      <c r="H422" s="13" t="n"/>
      <c r="I422" s="13" t="n"/>
      <c r="J422" s="15" t="n"/>
      <c r="K422" s="15" t="n"/>
      <c r="L422" s="15" t="n"/>
      <c r="M422" s="14">
        <f>IF(A422="","",IF(N(J422)+N(K422)+N(L422)=0,"Not split",IF(ROUND(N(J422)+N(K422)+N(L422),2)=ROUND(F422,2),"OK","MISMATCH")))</f>
        <v/>
      </c>
      <c r="N422" s="15" t="n"/>
      <c r="O422" s="15" t="n"/>
      <c r="P422" s="15" t="n"/>
      <c r="Q422" s="16">
        <f>IF(A422="","",N(N422)+N(O422)+N(P422))</f>
        <v/>
      </c>
      <c r="R422" s="16">
        <f>IF(A422="","",F422-Q422)</f>
        <v/>
      </c>
      <c r="S422" s="46">
        <f>IFERROR(R422/F422,"")</f>
        <v/>
      </c>
      <c r="T422" s="13" t="n"/>
    </row>
    <row r="423" ht="15" customHeight="1">
      <c r="A423" s="13" t="n"/>
      <c r="B423" s="14">
        <f>IF(A423="","",IF(COUNTIF(lst_Jobs,A423&amp;"")&gt;0,"OK","CHECK"))</f>
        <v/>
      </c>
      <c r="C423" s="14">
        <f>IF(A423="","",IFERROR(INDEX(lst_JobName,MATCH(A423&amp;"",lst_Jobs,0)),""))</f>
        <v/>
      </c>
      <c r="D423" s="14">
        <f>IF(A423="","",IFERROR(INDEX(tbl_Finance[Client],MATCH(A423&amp;"",tbl_Finance[Job Number],0)),""))</f>
        <v/>
      </c>
      <c r="E423" s="44">
        <f>IF(A423="","",COUNTIFS(tbl_Finance[Job Number],A423&amp;"",tbl_Finance[Ex GST],"&lt;&gt;"))</f>
        <v/>
      </c>
      <c r="F423" s="16">
        <f>IF(A423="","",SUMIFS(tbl_Finance[Ex GST],tbl_Finance[Job Number],A423&amp;""))</f>
        <v/>
      </c>
      <c r="G423" s="14">
        <f>IF(A423="","",IFERROR(INDEX(tbl_Finance[Cost Centre],MATCH(A423&amp;"",tbl_Finance[Job Number],0)),"not invoiced yet"))</f>
        <v/>
      </c>
      <c r="H423" s="13" t="n"/>
      <c r="I423" s="13" t="n"/>
      <c r="J423" s="15" t="n"/>
      <c r="K423" s="15" t="n"/>
      <c r="L423" s="15" t="n"/>
      <c r="M423" s="14">
        <f>IF(A423="","",IF(N(J423)+N(K423)+N(L423)=0,"Not split",IF(ROUND(N(J423)+N(K423)+N(L423),2)=ROUND(F423,2),"OK","MISMATCH")))</f>
        <v/>
      </c>
      <c r="N423" s="15" t="n"/>
      <c r="O423" s="15" t="n"/>
      <c r="P423" s="15" t="n"/>
      <c r="Q423" s="16">
        <f>IF(A423="","",N(N423)+N(O423)+N(P423))</f>
        <v/>
      </c>
      <c r="R423" s="16">
        <f>IF(A423="","",F423-Q423)</f>
        <v/>
      </c>
      <c r="S423" s="46">
        <f>IFERROR(R423/F423,"")</f>
        <v/>
      </c>
      <c r="T423" s="13" t="n"/>
    </row>
    <row r="424" ht="15" customHeight="1">
      <c r="A424" s="13" t="n"/>
      <c r="B424" s="14">
        <f>IF(A424="","",IF(COUNTIF(lst_Jobs,A424&amp;"")&gt;0,"OK","CHECK"))</f>
        <v/>
      </c>
      <c r="C424" s="14">
        <f>IF(A424="","",IFERROR(INDEX(lst_JobName,MATCH(A424&amp;"",lst_Jobs,0)),""))</f>
        <v/>
      </c>
      <c r="D424" s="14">
        <f>IF(A424="","",IFERROR(INDEX(tbl_Finance[Client],MATCH(A424&amp;"",tbl_Finance[Job Number],0)),""))</f>
        <v/>
      </c>
      <c r="E424" s="44">
        <f>IF(A424="","",COUNTIFS(tbl_Finance[Job Number],A424&amp;"",tbl_Finance[Ex GST],"&lt;&gt;"))</f>
        <v/>
      </c>
      <c r="F424" s="16">
        <f>IF(A424="","",SUMIFS(tbl_Finance[Ex GST],tbl_Finance[Job Number],A424&amp;""))</f>
        <v/>
      </c>
      <c r="G424" s="14">
        <f>IF(A424="","",IFERROR(INDEX(tbl_Finance[Cost Centre],MATCH(A424&amp;"",tbl_Finance[Job Number],0)),"not invoiced yet"))</f>
        <v/>
      </c>
      <c r="H424" s="13" t="n"/>
      <c r="I424" s="13" t="n"/>
      <c r="J424" s="15" t="n"/>
      <c r="K424" s="15" t="n"/>
      <c r="L424" s="15" t="n"/>
      <c r="M424" s="14">
        <f>IF(A424="","",IF(N(J424)+N(K424)+N(L424)=0,"Not split",IF(ROUND(N(J424)+N(K424)+N(L424),2)=ROUND(F424,2),"OK","MISMATCH")))</f>
        <v/>
      </c>
      <c r="N424" s="15" t="n"/>
      <c r="O424" s="15" t="n"/>
      <c r="P424" s="15" t="n"/>
      <c r="Q424" s="16">
        <f>IF(A424="","",N(N424)+N(O424)+N(P424))</f>
        <v/>
      </c>
      <c r="R424" s="16">
        <f>IF(A424="","",F424-Q424)</f>
        <v/>
      </c>
      <c r="S424" s="46">
        <f>IFERROR(R424/F424,"")</f>
        <v/>
      </c>
      <c r="T424" s="13" t="n"/>
    </row>
    <row r="425" ht="15" customHeight="1">
      <c r="A425" s="13" t="n"/>
      <c r="B425" s="14">
        <f>IF(A425="","",IF(COUNTIF(lst_Jobs,A425&amp;"")&gt;0,"OK","CHECK"))</f>
        <v/>
      </c>
      <c r="C425" s="14">
        <f>IF(A425="","",IFERROR(INDEX(lst_JobName,MATCH(A425&amp;"",lst_Jobs,0)),""))</f>
        <v/>
      </c>
      <c r="D425" s="14">
        <f>IF(A425="","",IFERROR(INDEX(tbl_Finance[Client],MATCH(A425&amp;"",tbl_Finance[Job Number],0)),""))</f>
        <v/>
      </c>
      <c r="E425" s="44">
        <f>IF(A425="","",COUNTIFS(tbl_Finance[Job Number],A425&amp;"",tbl_Finance[Ex GST],"&lt;&gt;"))</f>
        <v/>
      </c>
      <c r="F425" s="16">
        <f>IF(A425="","",SUMIFS(tbl_Finance[Ex GST],tbl_Finance[Job Number],A425&amp;""))</f>
        <v/>
      </c>
      <c r="G425" s="14">
        <f>IF(A425="","",IFERROR(INDEX(tbl_Finance[Cost Centre],MATCH(A425&amp;"",tbl_Finance[Job Number],0)),"not invoiced yet"))</f>
        <v/>
      </c>
      <c r="H425" s="13" t="n"/>
      <c r="I425" s="13" t="n"/>
      <c r="J425" s="15" t="n"/>
      <c r="K425" s="15" t="n"/>
      <c r="L425" s="15" t="n"/>
      <c r="M425" s="14">
        <f>IF(A425="","",IF(N(J425)+N(K425)+N(L425)=0,"Not split",IF(ROUND(N(J425)+N(K425)+N(L425),2)=ROUND(F425,2),"OK","MISMATCH")))</f>
        <v/>
      </c>
      <c r="N425" s="15" t="n"/>
      <c r="O425" s="15" t="n"/>
      <c r="P425" s="15" t="n"/>
      <c r="Q425" s="16">
        <f>IF(A425="","",N(N425)+N(O425)+N(P425))</f>
        <v/>
      </c>
      <c r="R425" s="16">
        <f>IF(A425="","",F425-Q425)</f>
        <v/>
      </c>
      <c r="S425" s="46">
        <f>IFERROR(R425/F425,"")</f>
        <v/>
      </c>
      <c r="T425" s="13" t="n"/>
    </row>
    <row r="426" ht="15" customHeight="1">
      <c r="A426" s="13" t="n"/>
      <c r="B426" s="14">
        <f>IF(A426="","",IF(COUNTIF(lst_Jobs,A426&amp;"")&gt;0,"OK","CHECK"))</f>
        <v/>
      </c>
      <c r="C426" s="14">
        <f>IF(A426="","",IFERROR(INDEX(lst_JobName,MATCH(A426&amp;"",lst_Jobs,0)),""))</f>
        <v/>
      </c>
      <c r="D426" s="14">
        <f>IF(A426="","",IFERROR(INDEX(tbl_Finance[Client],MATCH(A426&amp;"",tbl_Finance[Job Number],0)),""))</f>
        <v/>
      </c>
      <c r="E426" s="44">
        <f>IF(A426="","",COUNTIFS(tbl_Finance[Job Number],A426&amp;"",tbl_Finance[Ex GST],"&lt;&gt;"))</f>
        <v/>
      </c>
      <c r="F426" s="16">
        <f>IF(A426="","",SUMIFS(tbl_Finance[Ex GST],tbl_Finance[Job Number],A426&amp;""))</f>
        <v/>
      </c>
      <c r="G426" s="14">
        <f>IF(A426="","",IFERROR(INDEX(tbl_Finance[Cost Centre],MATCH(A426&amp;"",tbl_Finance[Job Number],0)),"not invoiced yet"))</f>
        <v/>
      </c>
      <c r="H426" s="13" t="n"/>
      <c r="I426" s="13" t="n"/>
      <c r="J426" s="15" t="n"/>
      <c r="K426" s="15" t="n"/>
      <c r="L426" s="15" t="n"/>
      <c r="M426" s="14">
        <f>IF(A426="","",IF(N(J426)+N(K426)+N(L426)=0,"Not split",IF(ROUND(N(J426)+N(K426)+N(L426),2)=ROUND(F426,2),"OK","MISMATCH")))</f>
        <v/>
      </c>
      <c r="N426" s="15" t="n"/>
      <c r="O426" s="15" t="n"/>
      <c r="P426" s="15" t="n"/>
      <c r="Q426" s="16">
        <f>IF(A426="","",N(N426)+N(O426)+N(P426))</f>
        <v/>
      </c>
      <c r="R426" s="16">
        <f>IF(A426="","",F426-Q426)</f>
        <v/>
      </c>
      <c r="S426" s="46">
        <f>IFERROR(R426/F426,"")</f>
        <v/>
      </c>
      <c r="T426" s="13" t="n"/>
    </row>
    <row r="427" ht="15" customHeight="1">
      <c r="A427" s="13" t="n"/>
      <c r="B427" s="14">
        <f>IF(A427="","",IF(COUNTIF(lst_Jobs,A427&amp;"")&gt;0,"OK","CHECK"))</f>
        <v/>
      </c>
      <c r="C427" s="14">
        <f>IF(A427="","",IFERROR(INDEX(lst_JobName,MATCH(A427&amp;"",lst_Jobs,0)),""))</f>
        <v/>
      </c>
      <c r="D427" s="14">
        <f>IF(A427="","",IFERROR(INDEX(tbl_Finance[Client],MATCH(A427&amp;"",tbl_Finance[Job Number],0)),""))</f>
        <v/>
      </c>
      <c r="E427" s="44">
        <f>IF(A427="","",COUNTIFS(tbl_Finance[Job Number],A427&amp;"",tbl_Finance[Ex GST],"&lt;&gt;"))</f>
        <v/>
      </c>
      <c r="F427" s="16">
        <f>IF(A427="","",SUMIFS(tbl_Finance[Ex GST],tbl_Finance[Job Number],A427&amp;""))</f>
        <v/>
      </c>
      <c r="G427" s="14">
        <f>IF(A427="","",IFERROR(INDEX(tbl_Finance[Cost Centre],MATCH(A427&amp;"",tbl_Finance[Job Number],0)),"not invoiced yet"))</f>
        <v/>
      </c>
      <c r="H427" s="13" t="n"/>
      <c r="I427" s="13" t="n"/>
      <c r="J427" s="15" t="n"/>
      <c r="K427" s="15" t="n"/>
      <c r="L427" s="15" t="n"/>
      <c r="M427" s="14">
        <f>IF(A427="","",IF(N(J427)+N(K427)+N(L427)=0,"Not split",IF(ROUND(N(J427)+N(K427)+N(L427),2)=ROUND(F427,2),"OK","MISMATCH")))</f>
        <v/>
      </c>
      <c r="N427" s="15" t="n"/>
      <c r="O427" s="15" t="n"/>
      <c r="P427" s="15" t="n"/>
      <c r="Q427" s="16">
        <f>IF(A427="","",N(N427)+N(O427)+N(P427))</f>
        <v/>
      </c>
      <c r="R427" s="16">
        <f>IF(A427="","",F427-Q427)</f>
        <v/>
      </c>
      <c r="S427" s="46">
        <f>IFERROR(R427/F427,"")</f>
        <v/>
      </c>
      <c r="T427" s="13" t="n"/>
    </row>
    <row r="428" ht="15" customHeight="1">
      <c r="A428" s="13" t="n"/>
      <c r="B428" s="14">
        <f>IF(A428="","",IF(COUNTIF(lst_Jobs,A428&amp;"")&gt;0,"OK","CHECK"))</f>
        <v/>
      </c>
      <c r="C428" s="14">
        <f>IF(A428="","",IFERROR(INDEX(lst_JobName,MATCH(A428&amp;"",lst_Jobs,0)),""))</f>
        <v/>
      </c>
      <c r="D428" s="14">
        <f>IF(A428="","",IFERROR(INDEX(tbl_Finance[Client],MATCH(A428&amp;"",tbl_Finance[Job Number],0)),""))</f>
        <v/>
      </c>
      <c r="E428" s="44">
        <f>IF(A428="","",COUNTIFS(tbl_Finance[Job Number],A428&amp;"",tbl_Finance[Ex GST],"&lt;&gt;"))</f>
        <v/>
      </c>
      <c r="F428" s="16">
        <f>IF(A428="","",SUMIFS(tbl_Finance[Ex GST],tbl_Finance[Job Number],A428&amp;""))</f>
        <v/>
      </c>
      <c r="G428" s="14">
        <f>IF(A428="","",IFERROR(INDEX(tbl_Finance[Cost Centre],MATCH(A428&amp;"",tbl_Finance[Job Number],0)),"not invoiced yet"))</f>
        <v/>
      </c>
      <c r="H428" s="13" t="n"/>
      <c r="I428" s="13" t="n"/>
      <c r="J428" s="15" t="n"/>
      <c r="K428" s="15" t="n"/>
      <c r="L428" s="15" t="n"/>
      <c r="M428" s="14">
        <f>IF(A428="","",IF(N(J428)+N(K428)+N(L428)=0,"Not split",IF(ROUND(N(J428)+N(K428)+N(L428),2)=ROUND(F428,2),"OK","MISMATCH")))</f>
        <v/>
      </c>
      <c r="N428" s="15" t="n"/>
      <c r="O428" s="15" t="n"/>
      <c r="P428" s="15" t="n"/>
      <c r="Q428" s="16">
        <f>IF(A428="","",N(N428)+N(O428)+N(P428))</f>
        <v/>
      </c>
      <c r="R428" s="16">
        <f>IF(A428="","",F428-Q428)</f>
        <v/>
      </c>
      <c r="S428" s="46">
        <f>IFERROR(R428/F428,"")</f>
        <v/>
      </c>
      <c r="T428" s="13" t="n"/>
    </row>
    <row r="429" ht="15" customHeight="1">
      <c r="A429" s="13" t="n"/>
      <c r="B429" s="14">
        <f>IF(A429="","",IF(COUNTIF(lst_Jobs,A429&amp;"")&gt;0,"OK","CHECK"))</f>
        <v/>
      </c>
      <c r="C429" s="14">
        <f>IF(A429="","",IFERROR(INDEX(lst_JobName,MATCH(A429&amp;"",lst_Jobs,0)),""))</f>
        <v/>
      </c>
      <c r="D429" s="14">
        <f>IF(A429="","",IFERROR(INDEX(tbl_Finance[Client],MATCH(A429&amp;"",tbl_Finance[Job Number],0)),""))</f>
        <v/>
      </c>
      <c r="E429" s="44">
        <f>IF(A429="","",COUNTIFS(tbl_Finance[Job Number],A429&amp;"",tbl_Finance[Ex GST],"&lt;&gt;"))</f>
        <v/>
      </c>
      <c r="F429" s="16">
        <f>IF(A429="","",SUMIFS(tbl_Finance[Ex GST],tbl_Finance[Job Number],A429&amp;""))</f>
        <v/>
      </c>
      <c r="G429" s="14">
        <f>IF(A429="","",IFERROR(INDEX(tbl_Finance[Cost Centre],MATCH(A429&amp;"",tbl_Finance[Job Number],0)),"not invoiced yet"))</f>
        <v/>
      </c>
      <c r="H429" s="13" t="n"/>
      <c r="I429" s="13" t="n"/>
      <c r="J429" s="15" t="n"/>
      <c r="K429" s="15" t="n"/>
      <c r="L429" s="15" t="n"/>
      <c r="M429" s="14">
        <f>IF(A429="","",IF(N(J429)+N(K429)+N(L429)=0,"Not split",IF(ROUND(N(J429)+N(K429)+N(L429),2)=ROUND(F429,2),"OK","MISMATCH")))</f>
        <v/>
      </c>
      <c r="N429" s="15" t="n"/>
      <c r="O429" s="15" t="n"/>
      <c r="P429" s="15" t="n"/>
      <c r="Q429" s="16">
        <f>IF(A429="","",N(N429)+N(O429)+N(P429))</f>
        <v/>
      </c>
      <c r="R429" s="16">
        <f>IF(A429="","",F429-Q429)</f>
        <v/>
      </c>
      <c r="S429" s="46">
        <f>IFERROR(R429/F429,"")</f>
        <v/>
      </c>
      <c r="T429" s="13" t="n"/>
    </row>
    <row r="430" ht="15" customHeight="1">
      <c r="A430" s="13" t="n"/>
      <c r="B430" s="14">
        <f>IF(A430="","",IF(COUNTIF(lst_Jobs,A430&amp;"")&gt;0,"OK","CHECK"))</f>
        <v/>
      </c>
      <c r="C430" s="14">
        <f>IF(A430="","",IFERROR(INDEX(lst_JobName,MATCH(A430&amp;"",lst_Jobs,0)),""))</f>
        <v/>
      </c>
      <c r="D430" s="14">
        <f>IF(A430="","",IFERROR(INDEX(tbl_Finance[Client],MATCH(A430&amp;"",tbl_Finance[Job Number],0)),""))</f>
        <v/>
      </c>
      <c r="E430" s="44">
        <f>IF(A430="","",COUNTIFS(tbl_Finance[Job Number],A430&amp;"",tbl_Finance[Ex GST],"&lt;&gt;"))</f>
        <v/>
      </c>
      <c r="F430" s="16">
        <f>IF(A430="","",SUMIFS(tbl_Finance[Ex GST],tbl_Finance[Job Number],A430&amp;""))</f>
        <v/>
      </c>
      <c r="G430" s="14">
        <f>IF(A430="","",IFERROR(INDEX(tbl_Finance[Cost Centre],MATCH(A430&amp;"",tbl_Finance[Job Number],0)),"not invoiced yet"))</f>
        <v/>
      </c>
      <c r="H430" s="13" t="n"/>
      <c r="I430" s="13" t="n"/>
      <c r="J430" s="15" t="n"/>
      <c r="K430" s="15" t="n"/>
      <c r="L430" s="15" t="n"/>
      <c r="M430" s="14">
        <f>IF(A430="","",IF(N(J430)+N(K430)+N(L430)=0,"Not split",IF(ROUND(N(J430)+N(K430)+N(L430),2)=ROUND(F430,2),"OK","MISMATCH")))</f>
        <v/>
      </c>
      <c r="N430" s="15" t="n"/>
      <c r="O430" s="15" t="n"/>
      <c r="P430" s="15" t="n"/>
      <c r="Q430" s="16">
        <f>IF(A430="","",N(N430)+N(O430)+N(P430))</f>
        <v/>
      </c>
      <c r="R430" s="16">
        <f>IF(A430="","",F430-Q430)</f>
        <v/>
      </c>
      <c r="S430" s="46">
        <f>IFERROR(R430/F430,"")</f>
        <v/>
      </c>
      <c r="T430" s="13" t="n"/>
    </row>
    <row r="431" ht="15" customHeight="1">
      <c r="A431" s="13" t="n"/>
      <c r="B431" s="14">
        <f>IF(A431="","",IF(COUNTIF(lst_Jobs,A431&amp;"")&gt;0,"OK","CHECK"))</f>
        <v/>
      </c>
      <c r="C431" s="14">
        <f>IF(A431="","",IFERROR(INDEX(lst_JobName,MATCH(A431&amp;"",lst_Jobs,0)),""))</f>
        <v/>
      </c>
      <c r="D431" s="14">
        <f>IF(A431="","",IFERROR(INDEX(tbl_Finance[Client],MATCH(A431&amp;"",tbl_Finance[Job Number],0)),""))</f>
        <v/>
      </c>
      <c r="E431" s="44">
        <f>IF(A431="","",COUNTIFS(tbl_Finance[Job Number],A431&amp;"",tbl_Finance[Ex GST],"&lt;&gt;"))</f>
        <v/>
      </c>
      <c r="F431" s="16">
        <f>IF(A431="","",SUMIFS(tbl_Finance[Ex GST],tbl_Finance[Job Number],A431&amp;""))</f>
        <v/>
      </c>
      <c r="G431" s="14">
        <f>IF(A431="","",IFERROR(INDEX(tbl_Finance[Cost Centre],MATCH(A431&amp;"",tbl_Finance[Job Number],0)),"not invoiced yet"))</f>
        <v/>
      </c>
      <c r="H431" s="13" t="n"/>
      <c r="I431" s="13" t="n"/>
      <c r="J431" s="15" t="n"/>
      <c r="K431" s="15" t="n"/>
      <c r="L431" s="15" t="n"/>
      <c r="M431" s="14">
        <f>IF(A431="","",IF(N(J431)+N(K431)+N(L431)=0,"Not split",IF(ROUND(N(J431)+N(K431)+N(L431),2)=ROUND(F431,2),"OK","MISMATCH")))</f>
        <v/>
      </c>
      <c r="N431" s="15" t="n"/>
      <c r="O431" s="15" t="n"/>
      <c r="P431" s="15" t="n"/>
      <c r="Q431" s="16">
        <f>IF(A431="","",N(N431)+N(O431)+N(P431))</f>
        <v/>
      </c>
      <c r="R431" s="16">
        <f>IF(A431="","",F431-Q431)</f>
        <v/>
      </c>
      <c r="S431" s="46">
        <f>IFERROR(R431/F431,"")</f>
        <v/>
      </c>
      <c r="T431" s="13" t="n"/>
    </row>
    <row r="432" ht="15" customHeight="1">
      <c r="A432" s="13" t="n"/>
      <c r="B432" s="14">
        <f>IF(A432="","",IF(COUNTIF(lst_Jobs,A432&amp;"")&gt;0,"OK","CHECK"))</f>
        <v/>
      </c>
      <c r="C432" s="14">
        <f>IF(A432="","",IFERROR(INDEX(lst_JobName,MATCH(A432&amp;"",lst_Jobs,0)),""))</f>
        <v/>
      </c>
      <c r="D432" s="14">
        <f>IF(A432="","",IFERROR(INDEX(tbl_Finance[Client],MATCH(A432&amp;"",tbl_Finance[Job Number],0)),""))</f>
        <v/>
      </c>
      <c r="E432" s="44">
        <f>IF(A432="","",COUNTIFS(tbl_Finance[Job Number],A432&amp;"",tbl_Finance[Ex GST],"&lt;&gt;"))</f>
        <v/>
      </c>
      <c r="F432" s="16">
        <f>IF(A432="","",SUMIFS(tbl_Finance[Ex GST],tbl_Finance[Job Number],A432&amp;""))</f>
        <v/>
      </c>
      <c r="G432" s="14">
        <f>IF(A432="","",IFERROR(INDEX(tbl_Finance[Cost Centre],MATCH(A432&amp;"",tbl_Finance[Job Number],0)),"not invoiced yet"))</f>
        <v/>
      </c>
      <c r="H432" s="13" t="n"/>
      <c r="I432" s="13" t="n"/>
      <c r="J432" s="15" t="n"/>
      <c r="K432" s="15" t="n"/>
      <c r="L432" s="15" t="n"/>
      <c r="M432" s="14">
        <f>IF(A432="","",IF(N(J432)+N(K432)+N(L432)=0,"Not split",IF(ROUND(N(J432)+N(K432)+N(L432),2)=ROUND(F432,2),"OK","MISMATCH")))</f>
        <v/>
      </c>
      <c r="N432" s="15" t="n"/>
      <c r="O432" s="15" t="n"/>
      <c r="P432" s="15" t="n"/>
      <c r="Q432" s="16">
        <f>IF(A432="","",N(N432)+N(O432)+N(P432))</f>
        <v/>
      </c>
      <c r="R432" s="16">
        <f>IF(A432="","",F432-Q432)</f>
        <v/>
      </c>
      <c r="S432" s="46">
        <f>IFERROR(R432/F432,"")</f>
        <v/>
      </c>
      <c r="T432" s="13" t="n"/>
    </row>
  </sheetData>
  <conditionalFormatting sqref="B5:B5000">
    <cfRule type="expression" priority="1" dxfId="0" stopIfTrue="0">
      <formula>B5="CHECK"</formula>
    </cfRule>
  </conditionalFormatting>
  <conditionalFormatting sqref="M5:M5000">
    <cfRule type="expression" priority="2" dxfId="1" stopIfTrue="0">
      <formula>M5="MISMATCH"</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8B6A2B"/>
    <outlinePr summaryBelow="1" summaryRight="1"/>
    <pageSetUpPr/>
  </sheetPr>
  <dimension ref="A1:M330"/>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0" customWidth="1" min="6" max="6"/>
    <col width="26" customWidth="1" min="7" max="7"/>
    <col width="16" customWidth="1" min="8" max="8"/>
    <col width="15" customWidth="1" min="9" max="9"/>
    <col width="11" customWidth="1" min="10" max="10"/>
    <col width="14" customWidth="1" min="11" max="11"/>
    <col width="14" customWidth="1" min="12" max="12"/>
    <col width="40" customWidth="1" min="13" max="13"/>
  </cols>
  <sheetData>
    <row r="1" ht="24" customHeight="1">
      <c r="A1" s="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6" customHeight="1"/>
    <row r="4" ht="34" customHeight="1">
      <c r="A4" s="9" t="inlineStr">
        <is>
          <t>Month</t>
        </is>
      </c>
      <c r="B4" s="9" t="inlineStr">
        <is>
          <t>Job Number</t>
        </is>
      </c>
      <c r="C4" s="10" t="inlineStr">
        <is>
          <t>Job in Xero?</t>
        </is>
      </c>
      <c r="D4" s="9" t="inlineStr">
        <is>
          <t>Client</t>
        </is>
      </c>
      <c r="E4" s="9" t="inlineStr">
        <is>
          <t>Cost Centre</t>
        </is>
      </c>
      <c r="F4" s="9" t="inlineStr">
        <is>
          <t>Description</t>
        </is>
      </c>
      <c r="G4" s="9" t="inlineStr">
        <is>
          <t>Type</t>
        </is>
      </c>
      <c r="H4" s="9" t="inlineStr">
        <is>
          <t>Xero Invoice No</t>
        </is>
      </c>
      <c r="I4" s="9" t="inlineStr">
        <is>
          <t>Amount</t>
        </is>
      </c>
      <c r="J4" s="9" t="inlineStr">
        <is>
          <t>GL Code</t>
        </is>
      </c>
      <c r="K4" s="9" t="inlineStr">
        <is>
          <t>Journal Ref</t>
        </is>
      </c>
      <c r="L4" s="9" t="inlineStr">
        <is>
          <t>Posted to Xero</t>
        </is>
      </c>
      <c r="M4" s="9" t="inlineStr">
        <is>
          <t>Notes</t>
        </is>
      </c>
    </row>
    <row r="5" ht="15" customHeight="1">
      <c r="A5" s="47" t="n">
        <v>46234</v>
      </c>
      <c r="B5" s="13" t="inlineStr">
        <is>
          <t>2506208</t>
        </is>
      </c>
      <c r="C5" s="14">
        <f>IF(B5="","",IF(COUNTIF(lst_Jobs,B5&amp;"")&gt;0,"OK","CHECK"))</f>
        <v/>
      </c>
      <c r="D5" s="13" t="inlineStr">
        <is>
          <t>CBA</t>
        </is>
      </c>
      <c r="E5" s="13" t="inlineStr">
        <is>
          <t>PRODUCTION</t>
        </is>
      </c>
      <c r="F5" s="13" t="inlineStr">
        <is>
          <t>CBA AGM 2026 Pre-production work at $130ph</t>
        </is>
      </c>
      <c r="G5" s="13" t="inlineStr">
        <is>
          <t>Accrual - unbilled work</t>
        </is>
      </c>
      <c r="H5" s="13" t="n"/>
      <c r="I5" s="15" t="n">
        <v>2535</v>
      </c>
      <c r="J5" s="13" t="inlineStr">
        <is>
          <t>11300</t>
        </is>
      </c>
      <c r="K5" s="13" t="n"/>
      <c r="L5" s="13" t="inlineStr">
        <is>
          <t>Y</t>
        </is>
      </c>
      <c r="M5" s="13" t="inlineStr">
        <is>
          <t>Migrated from FY27 Revenue Tracker v2 - confirm type/sign</t>
        </is>
      </c>
    </row>
    <row r="6" ht="15" customHeight="1">
      <c r="A6" s="47" t="n">
        <v>46234</v>
      </c>
      <c r="B6" s="13" t="inlineStr">
        <is>
          <t>25070702</t>
        </is>
      </c>
      <c r="C6" s="14">
        <f>IF(B6="","",IF(COUNTIF(lst_Jobs,B6&amp;"")&gt;0,"OK","CHECK"))</f>
        <v/>
      </c>
      <c r="D6" s="13" t="inlineStr">
        <is>
          <t>APA</t>
        </is>
      </c>
      <c r="E6" s="13" t="inlineStr">
        <is>
          <t>INTEGRATION</t>
        </is>
      </c>
      <c r="F6" s="13" t="inlineStr">
        <is>
          <t>APA BNE &amp; NT Year 1/3 Inv9988 (Revenue) Sep 2025 - Aug 2026</t>
        </is>
      </c>
      <c r="G6" s="13" t="inlineStr">
        <is>
          <t>Accrual - unbilled work</t>
        </is>
      </c>
      <c r="H6" s="13" t="n"/>
      <c r="I6" s="15" t="n">
        <v>308.16</v>
      </c>
      <c r="J6" s="13" t="inlineStr">
        <is>
          <t>11300</t>
        </is>
      </c>
      <c r="K6" s="13" t="n"/>
      <c r="L6" s="13" t="inlineStr">
        <is>
          <t>Y</t>
        </is>
      </c>
      <c r="M6" s="13" t="inlineStr">
        <is>
          <t>Migrated from FY27 Revenue Tracker v2 - confirm type/sign</t>
        </is>
      </c>
    </row>
    <row r="7" ht="15" customHeight="1">
      <c r="A7" s="47" t="n">
        <v>46234</v>
      </c>
      <c r="B7" s="13" t="inlineStr">
        <is>
          <t>3072</t>
        </is>
      </c>
      <c r="C7" s="14">
        <f>IF(B7="","",IF(COUNTIF(lst_Jobs,B7&amp;"")&gt;0,"OK","CHECK"))</f>
        <v/>
      </c>
      <c r="D7" s="13" t="inlineStr">
        <is>
          <t>APA Thomastown</t>
        </is>
      </c>
      <c r="E7" s="13" t="inlineStr">
        <is>
          <t>INTEGRATION</t>
        </is>
      </c>
      <c r="F7" s="13" t="inlineStr">
        <is>
          <t>APA Thomastown INV-10133 Year 3 Licence (January - December 2026)</t>
        </is>
      </c>
      <c r="G7" s="13" t="inlineStr">
        <is>
          <t>Accrual - unbilled work</t>
        </is>
      </c>
      <c r="H7" s="13" t="n"/>
      <c r="I7" s="15" t="n">
        <v>1033.06</v>
      </c>
      <c r="J7" s="13" t="inlineStr">
        <is>
          <t>11300</t>
        </is>
      </c>
      <c r="K7" s="13" t="n"/>
      <c r="L7" s="13" t="inlineStr">
        <is>
          <t>Y</t>
        </is>
      </c>
      <c r="M7" s="13" t="inlineStr">
        <is>
          <t>Migrated from FY27 Revenue Tracker v2 - confirm type/sign</t>
        </is>
      </c>
    </row>
    <row r="8" ht="15" customHeight="1">
      <c r="A8" s="47" t="n">
        <v>46234</v>
      </c>
      <c r="B8" s="13" t="inlineStr">
        <is>
          <t>2519</t>
        </is>
      </c>
      <c r="C8" s="14">
        <f>IF(B8="","",IF(COUNTIF(lst_Jobs,B8&amp;"")&gt;0,"OK","CHECK"))</f>
        <v/>
      </c>
      <c r="D8" s="13" t="inlineStr">
        <is>
          <t>NSW Property</t>
        </is>
      </c>
      <c r="E8" s="13" t="inlineStr">
        <is>
          <t>INTEGRATION</t>
        </is>
      </c>
      <c r="F8" s="13" t="inlineStr">
        <is>
          <t>NSW Property 6PSQ Multi-Tennant Year 4 INV 10162 Revenue (November - October 2026)</t>
        </is>
      </c>
      <c r="G8" s="13" t="inlineStr">
        <is>
          <t>Accrual - unbilled work</t>
        </is>
      </c>
      <c r="H8" s="13" t="n"/>
      <c r="I8" s="15" t="n">
        <v>929.33</v>
      </c>
      <c r="J8" s="13" t="inlineStr">
        <is>
          <t>11300</t>
        </is>
      </c>
      <c r="K8" s="13" t="n"/>
      <c r="L8" s="13" t="inlineStr">
        <is>
          <t>Y</t>
        </is>
      </c>
      <c r="M8" s="13" t="inlineStr">
        <is>
          <t>Migrated from FY27 Revenue Tracker v2 - confirm type/sign</t>
        </is>
      </c>
    </row>
    <row r="9" ht="15" customHeight="1">
      <c r="A9" s="47" t="n">
        <v>46234</v>
      </c>
      <c r="B9" s="13" t="inlineStr">
        <is>
          <t>2510804</t>
        </is>
      </c>
      <c r="C9" s="14">
        <f>IF(B9="","",IF(COUNTIF(lst_Jobs,B9&amp;"")&gt;0,"OK","CHECK"))</f>
        <v/>
      </c>
      <c r="D9" s="13" t="inlineStr">
        <is>
          <t>Presynct</t>
        </is>
      </c>
      <c r="E9" s="13" t="inlineStr">
        <is>
          <t>INTEGRATION</t>
        </is>
      </c>
      <c r="F9" s="13" t="inlineStr">
        <is>
          <t>Presynct - QLD - Condeco Desk Booking System INV 10199 Revenue (Nov 2025 - Oct 2025)</t>
        </is>
      </c>
      <c r="G9" s="13" t="inlineStr">
        <is>
          <t>Accrual - unbilled work</t>
        </is>
      </c>
      <c r="H9" s="13" t="n"/>
      <c r="I9" s="15" t="n">
        <v>439.33</v>
      </c>
      <c r="J9" s="13" t="inlineStr">
        <is>
          <t>11300</t>
        </is>
      </c>
      <c r="K9" s="13" t="n"/>
      <c r="L9" s="13" t="inlineStr">
        <is>
          <t>Y</t>
        </is>
      </c>
      <c r="M9" s="13" t="inlineStr">
        <is>
          <t>Migrated from FY27 Revenue Tracker v2 - confirm type/sign</t>
        </is>
      </c>
    </row>
    <row r="10" ht="15" customHeight="1">
      <c r="A10" s="47" t="n">
        <v>46234</v>
      </c>
      <c r="B10" s="13" t="inlineStr">
        <is>
          <t>2719</t>
        </is>
      </c>
      <c r="C10" s="14">
        <f>IF(B10="","",IF(COUNTIF(lst_Jobs,B10&amp;"")&gt;0,"OK","CHECK"))</f>
        <v/>
      </c>
      <c r="D10" s="13" t="inlineStr">
        <is>
          <t>NSW Property</t>
        </is>
      </c>
      <c r="E10" s="13" t="inlineStr">
        <is>
          <t>INTEGRATION</t>
        </is>
      </c>
      <c r="F10" s="13" t="inlineStr">
        <is>
          <t>NSW Property GSP Proxyclick INV 10176 Revenue (Dec 2025 - Nov 2026)</t>
        </is>
      </c>
      <c r="G10" s="13" t="inlineStr">
        <is>
          <t>Accrual - unbilled work</t>
        </is>
      </c>
      <c r="H10" s="13" t="n"/>
      <c r="I10" s="15" t="n">
        <v>381.15</v>
      </c>
      <c r="J10" s="13" t="inlineStr">
        <is>
          <t>11300</t>
        </is>
      </c>
      <c r="K10" s="13" t="n"/>
      <c r="L10" s="13" t="inlineStr">
        <is>
          <t>Y</t>
        </is>
      </c>
      <c r="M10" s="13" t="inlineStr">
        <is>
          <t>Migrated from FY27 Revenue Tracker v2 - confirm type/sign</t>
        </is>
      </c>
    </row>
    <row r="11" ht="15" customHeight="1">
      <c r="A11" s="47" t="n">
        <v>46234</v>
      </c>
      <c r="B11" s="13" t="inlineStr">
        <is>
          <t>2834</t>
        </is>
      </c>
      <c r="C11" s="14">
        <f>IF(B11="","",IF(COUNTIF(lst_Jobs,B11&amp;"")&gt;0,"OK","CHECK"))</f>
        <v/>
      </c>
      <c r="D11" s="13" t="inlineStr">
        <is>
          <t>APA</t>
        </is>
      </c>
      <c r="E11" s="13" t="inlineStr">
        <is>
          <t>INTEGRATION</t>
        </is>
      </c>
      <c r="F11" s="13" t="inlineStr">
        <is>
          <t>APA Young Year 4 INV-10280 Revenue (Mar 2026 - Feb 2027)</t>
        </is>
      </c>
      <c r="G11" s="13" t="inlineStr">
        <is>
          <t>Accrual - unbilled work</t>
        </is>
      </c>
      <c r="H11" s="13" t="n"/>
      <c r="I11" s="15" t="n">
        <v>312.9</v>
      </c>
      <c r="J11" s="13" t="inlineStr">
        <is>
          <t>11300</t>
        </is>
      </c>
      <c r="K11" s="13" t="n"/>
      <c r="L11" s="13" t="inlineStr">
        <is>
          <t>Y</t>
        </is>
      </c>
      <c r="M11" s="13" t="inlineStr">
        <is>
          <t>Migrated from FY27 Revenue Tracker v2 - confirm type/sign</t>
        </is>
      </c>
    </row>
    <row r="12" ht="15" customHeight="1">
      <c r="A12" s="47" t="n">
        <v>46234</v>
      </c>
      <c r="B12" s="13" t="inlineStr">
        <is>
          <t>3027</t>
        </is>
      </c>
      <c r="C12" s="14">
        <f>IF(B12="","",IF(COUNTIF(lst_Jobs,B12&amp;"")&gt;0,"OK","CHECK"))</f>
        <v/>
      </c>
      <c r="D12" s="13" t="inlineStr">
        <is>
          <t>NSW Property</t>
        </is>
      </c>
      <c r="E12" s="13" t="inlineStr">
        <is>
          <t>INTEGRATION</t>
        </is>
      </c>
      <c r="F12" s="13" t="inlineStr">
        <is>
          <t>NSW Property  - 231 Eliz L13 Touchdown - Condeco Desk Booking System (INV10391 Revenue)</t>
        </is>
      </c>
      <c r="G12" s="13" t="inlineStr">
        <is>
          <t>Accrual - unbilled work</t>
        </is>
      </c>
      <c r="H12" s="13" t="n"/>
      <c r="I12" s="15" t="n">
        <v>721.7</v>
      </c>
      <c r="J12" s="13" t="inlineStr">
        <is>
          <t>11300</t>
        </is>
      </c>
      <c r="K12" s="13" t="n"/>
      <c r="L12" s="13" t="inlineStr">
        <is>
          <t>Y</t>
        </is>
      </c>
      <c r="M12" s="13" t="inlineStr">
        <is>
          <t>Migrated from FY27 Revenue Tracker v2 - confirm type/sign</t>
        </is>
      </c>
    </row>
    <row r="13" ht="15" customHeight="1">
      <c r="A13" s="47" t="n">
        <v>46234</v>
      </c>
      <c r="B13" s="13" t="inlineStr">
        <is>
          <t>3027</t>
        </is>
      </c>
      <c r="C13" s="14">
        <f>IF(B13="","",IF(COUNTIF(lst_Jobs,B13&amp;"")&gt;0,"OK","CHECK"))</f>
        <v/>
      </c>
      <c r="D13" s="13" t="inlineStr">
        <is>
          <t>NSW Property</t>
        </is>
      </c>
      <c r="E13" s="13" t="inlineStr">
        <is>
          <t>INTEGRATION</t>
        </is>
      </c>
      <c r="F13" s="13" t="inlineStr">
        <is>
          <t>NSW Property - 231 Eliz Workplace L1 (INV10392 Revenue)</t>
        </is>
      </c>
      <c r="G13" s="13" t="inlineStr">
        <is>
          <t>Accrual - unbilled work</t>
        </is>
      </c>
      <c r="H13" s="13" t="n"/>
      <c r="I13" s="15" t="n">
        <v>876.35</v>
      </c>
      <c r="J13" s="13" t="inlineStr">
        <is>
          <t>11300</t>
        </is>
      </c>
      <c r="K13" s="13" t="n"/>
      <c r="L13" s="13" t="inlineStr">
        <is>
          <t>Y</t>
        </is>
      </c>
      <c r="M13" s="13" t="inlineStr">
        <is>
          <t>Migrated from FY27 Revenue Tracker v2 - confirm type/sign</t>
        </is>
      </c>
    </row>
    <row r="14" ht="15" customHeight="1">
      <c r="A14" s="47" t="n">
        <v>46234</v>
      </c>
      <c r="B14" s="13" t="inlineStr">
        <is>
          <t>25060301</t>
        </is>
      </c>
      <c r="C14" s="14">
        <f>IF(B14="","",IF(COUNTIF(lst_Jobs,B14&amp;"")&gt;0,"OK","CHECK"))</f>
        <v/>
      </c>
      <c r="D14" s="13" t="inlineStr">
        <is>
          <t>NSW Property</t>
        </is>
      </c>
      <c r="E14" s="13" t="inlineStr">
        <is>
          <t>INTEGRATION</t>
        </is>
      </c>
      <c r="F14" s="13" t="inlineStr">
        <is>
          <t>NSW Property - 6PSQ Workplace L12 Hub (INV10393 Revenue)</t>
        </is>
      </c>
      <c r="G14" s="13" t="inlineStr">
        <is>
          <t>Accrual - unbilled work</t>
        </is>
      </c>
      <c r="H14" s="13" t="n"/>
      <c r="I14" s="15" t="n">
        <v>2964.14</v>
      </c>
      <c r="J14" s="13" t="inlineStr">
        <is>
          <t>11300</t>
        </is>
      </c>
      <c r="K14" s="13" t="n"/>
      <c r="L14" s="13" t="inlineStr">
        <is>
          <t>Y</t>
        </is>
      </c>
      <c r="M14" s="13" t="inlineStr">
        <is>
          <t>Migrated from FY27 Revenue Tracker v2 - confirm type/sign</t>
        </is>
      </c>
    </row>
    <row r="15" ht="15" customHeight="1">
      <c r="A15" s="47" t="n">
        <v>46234</v>
      </c>
      <c r="B15" s="13" t="inlineStr">
        <is>
          <t>2519</t>
        </is>
      </c>
      <c r="C15" s="14">
        <f>IF(B15="","",IF(COUNTIF(lst_Jobs,B15&amp;"")&gt;0,"OK","CHECK"))</f>
        <v/>
      </c>
      <c r="D15" s="13" t="inlineStr">
        <is>
          <t>NSW Property</t>
        </is>
      </c>
      <c r="E15" s="13" t="inlineStr">
        <is>
          <t>INTEGRATION</t>
        </is>
      </c>
      <c r="F15" s="13" t="inlineStr">
        <is>
          <t>NSW Property - 6PSQ L11 Touchdown (INV10394 Revenue)</t>
        </is>
      </c>
      <c r="G15" s="13" t="inlineStr">
        <is>
          <t>Accrual - unbilled work</t>
        </is>
      </c>
      <c r="H15" s="13" t="n"/>
      <c r="I15" s="15" t="n">
        <v>799.03</v>
      </c>
      <c r="J15" s="13" t="inlineStr">
        <is>
          <t>11300</t>
        </is>
      </c>
      <c r="K15" s="13" t="n"/>
      <c r="L15" s="13" t="inlineStr">
        <is>
          <t>Y</t>
        </is>
      </c>
      <c r="M15" s="13" t="inlineStr">
        <is>
          <t>Migrated from FY27 Revenue Tracker v2 - confirm type/sign</t>
        </is>
      </c>
    </row>
    <row r="16" ht="15" customHeight="1">
      <c r="A16" s="47" t="n">
        <v>46234</v>
      </c>
      <c r="B16" s="13" t="inlineStr">
        <is>
          <t>3068</t>
        </is>
      </c>
      <c r="C16" s="14">
        <f>IF(B16="","",IF(COUNTIF(lst_Jobs,B16&amp;"")&gt;0,"OK","CHECK"))</f>
        <v/>
      </c>
      <c r="D16" s="13" t="inlineStr">
        <is>
          <t>NSW Property</t>
        </is>
      </c>
      <c r="E16" s="13" t="inlineStr">
        <is>
          <t>INTEGRATION</t>
        </is>
      </c>
      <c r="F16" s="13" t="inlineStr">
        <is>
          <t>NSW Property  – Penrith 50 Belmore St – Workplace Hub (INV10395 Revenue)</t>
        </is>
      </c>
      <c r="G16" s="13" t="inlineStr">
        <is>
          <t>Accrual - unbilled work</t>
        </is>
      </c>
      <c r="H16" s="13" t="n"/>
      <c r="I16" s="15" t="n">
        <v>154.65</v>
      </c>
      <c r="J16" s="13" t="inlineStr">
        <is>
          <t>11300</t>
        </is>
      </c>
      <c r="K16" s="13" t="n"/>
      <c r="L16" s="13" t="inlineStr">
        <is>
          <t>Y</t>
        </is>
      </c>
      <c r="M16" s="13" t="inlineStr">
        <is>
          <t>Migrated from FY27 Revenue Tracker v2 - confirm type/sign</t>
        </is>
      </c>
    </row>
    <row r="17" ht="15" customHeight="1">
      <c r="A17" s="47" t="n">
        <v>46234</v>
      </c>
      <c r="B17" s="13" t="inlineStr">
        <is>
          <t>25051302</t>
        </is>
      </c>
      <c r="C17" s="14">
        <f>IF(B17="","",IF(COUNTIF(lst_Jobs,B17&amp;"")&gt;0,"OK","CHECK"))</f>
        <v/>
      </c>
      <c r="D17" s="13" t="inlineStr">
        <is>
          <t>NSW Property</t>
        </is>
      </c>
      <c r="E17" s="13" t="inlineStr">
        <is>
          <t>INTEGRATION</t>
        </is>
      </c>
      <c r="F17" s="13" t="inlineStr">
        <is>
          <t>NSW Property - Penrith BDA (INV10396)</t>
        </is>
      </c>
      <c r="G17" s="13" t="inlineStr">
        <is>
          <t>Accrual - unbilled work</t>
        </is>
      </c>
      <c r="H17" s="13" t="n"/>
      <c r="I17" s="15" t="n">
        <v>1494.96</v>
      </c>
      <c r="J17" s="13" t="inlineStr">
        <is>
          <t>11300</t>
        </is>
      </c>
      <c r="K17" s="13" t="n"/>
      <c r="L17" s="13" t="inlineStr">
        <is>
          <t>Y</t>
        </is>
      </c>
      <c r="M17" s="13" t="inlineStr">
        <is>
          <t>Migrated from FY27 Revenue Tracker v2 - confirm type/sign</t>
        </is>
      </c>
    </row>
    <row r="18" ht="15" customHeight="1">
      <c r="A18" s="47" t="n">
        <v>46234</v>
      </c>
      <c r="B18" s="13" t="inlineStr">
        <is>
          <t>25060307</t>
        </is>
      </c>
      <c r="C18" s="14">
        <f>IF(B18="","",IF(COUNTIF(lst_Jobs,B18&amp;"")&gt;0,"OK","CHECK"))</f>
        <v/>
      </c>
      <c r="D18" s="13" t="inlineStr">
        <is>
          <t>NSW Property</t>
        </is>
      </c>
      <c r="E18" s="13" t="inlineStr">
        <is>
          <t>INTEGRATION</t>
        </is>
      </c>
      <c r="F18" s="13" t="inlineStr">
        <is>
          <t>NSW Property - RA Molesworth St (INV10397 Revenue)</t>
        </is>
      </c>
      <c r="G18" s="13" t="inlineStr">
        <is>
          <t>Accrual - unbilled work</t>
        </is>
      </c>
      <c r="H18" s="13" t="n"/>
      <c r="I18" s="15" t="n">
        <v>786.14</v>
      </c>
      <c r="J18" s="13" t="inlineStr">
        <is>
          <t>11300</t>
        </is>
      </c>
      <c r="K18" s="13" t="n"/>
      <c r="L18" s="13" t="inlineStr">
        <is>
          <t>Y</t>
        </is>
      </c>
      <c r="M18" s="13" t="inlineStr">
        <is>
          <t>Migrated from FY27 Revenue Tracker v2 - confirm type/sign</t>
        </is>
      </c>
    </row>
    <row r="19" ht="15" customHeight="1">
      <c r="A19" s="47" t="n">
        <v>46234</v>
      </c>
      <c r="B19" s="13" t="inlineStr">
        <is>
          <t>2510805</t>
        </is>
      </c>
      <c r="C19" s="14">
        <f>IF(B19="","",IF(COUNTIF(lst_Jobs,B19&amp;"")&gt;0,"OK","CHECK"))</f>
        <v/>
      </c>
      <c r="D19" s="13" t="inlineStr">
        <is>
          <t>NSW Property</t>
        </is>
      </c>
      <c r="E19" s="13" t="inlineStr">
        <is>
          <t>INTEGRATION</t>
        </is>
      </c>
      <c r="F19" s="13" t="inlineStr">
        <is>
          <t>NSW Property - RA Newcastle Bellvue (INV10398 Revenue)</t>
        </is>
      </c>
      <c r="G19" s="13" t="inlineStr">
        <is>
          <t>Accrual - unbilled work</t>
        </is>
      </c>
      <c r="H19" s="13" t="n"/>
      <c r="I19" s="15" t="n">
        <v>270.64</v>
      </c>
      <c r="J19" s="13" t="inlineStr">
        <is>
          <t>11300</t>
        </is>
      </c>
      <c r="K19" s="13" t="n"/>
      <c r="L19" s="13" t="inlineStr">
        <is>
          <t>Y</t>
        </is>
      </c>
      <c r="M19" s="13" t="inlineStr">
        <is>
          <t>Migrated from FY27 Revenue Tracker v2 - confirm type/sign</t>
        </is>
      </c>
    </row>
    <row r="20" ht="15" customHeight="1">
      <c r="A20" s="47" t="n">
        <v>46234</v>
      </c>
      <c r="B20" s="13" t="inlineStr">
        <is>
          <t>2603202</t>
        </is>
      </c>
      <c r="C20" s="14">
        <f>IF(B20="","",IF(COUNTIF(lst_Jobs,B20&amp;"")&gt;0,"OK","CHECK"))</f>
        <v/>
      </c>
      <c r="D20" s="13" t="inlineStr">
        <is>
          <t>NSW Property</t>
        </is>
      </c>
      <c r="E20" s="13" t="inlineStr">
        <is>
          <t>INTEGRATION</t>
        </is>
      </c>
      <c r="F20" s="13" t="inlineStr">
        <is>
          <t>NSW Property - 5 O’Keefe Ave Nowra Workplace Hub (INV10399 Revenue)</t>
        </is>
      </c>
      <c r="G20" s="13" t="inlineStr">
        <is>
          <t>Accrual - unbilled work</t>
        </is>
      </c>
      <c r="H20" s="13" t="n"/>
      <c r="I20" s="15" t="n">
        <v>2242.44</v>
      </c>
      <c r="J20" s="13" t="inlineStr">
        <is>
          <t>11300</t>
        </is>
      </c>
      <c r="K20" s="13" t="n"/>
      <c r="L20" s="13" t="inlineStr">
        <is>
          <t>Y</t>
        </is>
      </c>
      <c r="M20" s="13" t="inlineStr">
        <is>
          <t>Migrated from FY27 Revenue Tracker v2 - confirm type/sign</t>
        </is>
      </c>
    </row>
    <row r="21" ht="15" customHeight="1">
      <c r="A21" s="47" t="n">
        <v>46234</v>
      </c>
      <c r="B21" s="13" t="inlineStr">
        <is>
          <t>25041502</t>
        </is>
      </c>
      <c r="C21" s="14">
        <f>IF(B21="","",IF(COUNTIF(lst_Jobs,B21&amp;"")&gt;0,"OK","CHECK"))</f>
        <v/>
      </c>
      <c r="D21" s="13" t="inlineStr">
        <is>
          <t>NSW Property</t>
        </is>
      </c>
      <c r="E21" s="13" t="inlineStr">
        <is>
          <t>INTEGRATION</t>
        </is>
      </c>
      <c r="F21" s="13" t="inlineStr">
        <is>
          <t>NSW Property -  Maitland 510-516 High St WP Services (INV10400 Revenue)</t>
        </is>
      </c>
      <c r="G21" s="13" t="inlineStr">
        <is>
          <t>Accrual - unbilled work</t>
        </is>
      </c>
      <c r="H21" s="13" t="n"/>
      <c r="I21" s="15" t="n">
        <v>3041.47</v>
      </c>
      <c r="J21" s="13" t="inlineStr">
        <is>
          <t>11300</t>
        </is>
      </c>
      <c r="K21" s="13" t="n"/>
      <c r="L21" s="13" t="inlineStr">
        <is>
          <t>Y</t>
        </is>
      </c>
      <c r="M21" s="13" t="inlineStr">
        <is>
          <t>Migrated from FY27 Revenue Tracker v2 - confirm type/sign</t>
        </is>
      </c>
    </row>
    <row r="22" ht="15" customHeight="1">
      <c r="A22" s="47" t="n">
        <v>46234</v>
      </c>
      <c r="B22" s="13" t="inlineStr">
        <is>
          <t>3068</t>
        </is>
      </c>
      <c r="C22" s="14">
        <f>IF(B22="","",IF(COUNTIF(lst_Jobs,B22&amp;"")&gt;0,"OK","CHECK"))</f>
        <v/>
      </c>
      <c r="D22" s="13" t="inlineStr">
        <is>
          <t>NSW Property</t>
        </is>
      </c>
      <c r="E22" s="13" t="inlineStr">
        <is>
          <t>INTEGRATION</t>
        </is>
      </c>
      <c r="F22" s="13" t="inlineStr">
        <is>
          <t>NSW Property -  252 Pitt St Parkline Workplace Hub (INV10401 Revenue)</t>
        </is>
      </c>
      <c r="G22" s="13" t="inlineStr">
        <is>
          <t>Accrual - unbilled work</t>
        </is>
      </c>
      <c r="H22" s="13" t="n"/>
      <c r="I22" s="15" t="n">
        <v>4085.36</v>
      </c>
      <c r="J22" s="13" t="inlineStr">
        <is>
          <t>11300</t>
        </is>
      </c>
      <c r="K22" s="13" t="n"/>
      <c r="L22" s="13" t="inlineStr">
        <is>
          <t>Y</t>
        </is>
      </c>
      <c r="M22" s="13" t="inlineStr">
        <is>
          <t>Migrated from FY27 Revenue Tracker v2 - confirm type/sign</t>
        </is>
      </c>
    </row>
    <row r="23" ht="15" customHeight="1">
      <c r="A23" s="47" t="n">
        <v>46234</v>
      </c>
      <c r="B23" s="13" t="inlineStr">
        <is>
          <t>2510205</t>
        </is>
      </c>
      <c r="C23" s="14">
        <f>IF(B23="","",IF(COUNTIF(lst_Jobs,B23&amp;"")&gt;0,"OK","CHECK"))</f>
        <v/>
      </c>
      <c r="D23" s="13" t="inlineStr">
        <is>
          <t>NSW Property</t>
        </is>
      </c>
      <c r="E23" s="13" t="inlineStr">
        <is>
          <t>INTEGRATION</t>
        </is>
      </c>
      <c r="F23" s="13" t="inlineStr">
        <is>
          <t>NSW Property - Sydney 1 Prince Albert Workplace Hub (INV10412 Revenue)</t>
        </is>
      </c>
      <c r="G23" s="13" t="inlineStr">
        <is>
          <t>Accrual - unbilled work</t>
        </is>
      </c>
      <c r="H23" s="13" t="n"/>
      <c r="I23" s="15" t="n">
        <v>1868.7</v>
      </c>
      <c r="J23" s="13" t="inlineStr">
        <is>
          <t>11300</t>
        </is>
      </c>
      <c r="K23" s="13" t="n"/>
      <c r="L23" s="13" t="inlineStr">
        <is>
          <t>Y</t>
        </is>
      </c>
      <c r="M23" s="13" t="inlineStr">
        <is>
          <t>Migrated from FY27 Revenue Tracker v2 - confirm type/sign</t>
        </is>
      </c>
    </row>
    <row r="24" ht="15" customHeight="1">
      <c r="A24" s="47" t="n">
        <v>46234</v>
      </c>
      <c r="B24" s="13" t="inlineStr">
        <is>
          <t>26043001</t>
        </is>
      </c>
      <c r="C24" s="14">
        <f>IF(B24="","",IF(COUNTIF(lst_Jobs,B24&amp;"")&gt;0,"OK","CHECK"))</f>
        <v/>
      </c>
      <c r="D24" s="13" t="inlineStr">
        <is>
          <t>CBA</t>
        </is>
      </c>
      <c r="E24" s="13" t="inlineStr">
        <is>
          <t>ONSITE</t>
        </is>
      </c>
      <c r="F24" s="13" t="inlineStr">
        <is>
          <t>CBA Melbourne Half of May 2026 not invoiced yet (Invoiced in June)</t>
        </is>
      </c>
      <c r="G24" s="13" t="inlineStr">
        <is>
          <t>Deferral - invoiced in advance</t>
        </is>
      </c>
      <c r="H24" s="13" t="n"/>
      <c r="I24" s="15" t="n">
        <v>-5950</v>
      </c>
      <c r="J24" s="13" t="inlineStr">
        <is>
          <t>11300</t>
        </is>
      </c>
      <c r="K24" s="13" t="n"/>
      <c r="L24" s="13" t="inlineStr">
        <is>
          <t>Y</t>
        </is>
      </c>
      <c r="M24" s="13" t="inlineStr">
        <is>
          <t>Migrated from FY27 Revenue Tracker v2 - confirm type/sign</t>
        </is>
      </c>
    </row>
    <row r="25" ht="15" customHeight="1">
      <c r="A25" s="47" t="n">
        <v>46234</v>
      </c>
      <c r="B25" s="13" t="inlineStr">
        <is>
          <t>2604704</t>
        </is>
      </c>
      <c r="C25" s="14">
        <f>IF(B25="","",IF(COUNTIF(lst_Jobs,B25&amp;"")&gt;0,"OK","CHECK"))</f>
        <v/>
      </c>
      <c r="D25" s="13" t="inlineStr">
        <is>
          <t>Aware Super</t>
        </is>
      </c>
      <c r="E25" s="13" t="inlineStr">
        <is>
          <t>INTEGRATION</t>
        </is>
      </c>
      <c r="F25" s="13" t="inlineStr">
        <is>
          <t>Aware Super Seminar Room Audio Upgrade [INT] Revenue</t>
        </is>
      </c>
      <c r="G25" s="13" t="inlineStr">
        <is>
          <t>Accrual - unbilled work</t>
        </is>
      </c>
      <c r="H25" s="13" t="n"/>
      <c r="I25" s="15" t="n">
        <v>1821.25</v>
      </c>
      <c r="J25" s="13" t="inlineStr">
        <is>
          <t>11300</t>
        </is>
      </c>
      <c r="K25" s="13" t="n"/>
      <c r="L25" s="13" t="inlineStr">
        <is>
          <t>Y</t>
        </is>
      </c>
      <c r="M25" s="13" t="inlineStr">
        <is>
          <t>Migrated from FY27 Revenue Tracker v2 - confirm type/sign</t>
        </is>
      </c>
    </row>
    <row r="26" ht="15" customHeight="1">
      <c r="A26" s="47" t="n">
        <v>46234</v>
      </c>
      <c r="B26" s="13" t="inlineStr">
        <is>
          <t>3028</t>
        </is>
      </c>
      <c r="C26" s="14">
        <f>IF(B26="","",IF(COUNTIF(lst_Jobs,B26&amp;"")&gt;0,"OK","CHECK"))</f>
        <v/>
      </c>
      <c r="D26" s="13" t="inlineStr">
        <is>
          <t>APA</t>
        </is>
      </c>
      <c r="E26" s="13" t="inlineStr">
        <is>
          <t>INTEGRATION</t>
        </is>
      </c>
      <c r="F26" s="13" t="inlineStr">
        <is>
          <t>APA Kidman Proxyclick Term 3 Jun26-Dec26 INV-10477 (Revenue)</t>
        </is>
      </c>
      <c r="G26" s="13" t="inlineStr">
        <is>
          <t>Accrual - unbilled work</t>
        </is>
      </c>
      <c r="H26" s="13" t="n"/>
      <c r="I26" s="15" t="n">
        <v>996.74</v>
      </c>
      <c r="J26" s="13" t="inlineStr">
        <is>
          <t>11300</t>
        </is>
      </c>
      <c r="K26" s="13" t="n"/>
      <c r="L26" s="13" t="inlineStr">
        <is>
          <t>Y</t>
        </is>
      </c>
      <c r="M26" s="13" t="inlineStr">
        <is>
          <t>Migrated from FY27 Revenue Tracker v2 - confirm type/sign</t>
        </is>
      </c>
    </row>
    <row r="27" ht="15" customHeight="1">
      <c r="A27" s="47" t="n">
        <v>46234</v>
      </c>
      <c r="B27" s="13" t="inlineStr">
        <is>
          <t>2855</t>
        </is>
      </c>
      <c r="C27" s="14">
        <f>IF(B27="","",IF(COUNTIF(lst_Jobs,B27&amp;"")&gt;0,"OK","CHECK"))</f>
        <v/>
      </c>
      <c r="D27" s="13" t="inlineStr">
        <is>
          <t>APA</t>
        </is>
      </c>
      <c r="E27" s="13" t="inlineStr">
        <is>
          <t>INTEGRATION</t>
        </is>
      </c>
      <c r="F27" s="13" t="inlineStr">
        <is>
          <t>APA Melbourne Proxyclick Jul26-Jun27 INV-10501(Revenue)</t>
        </is>
      </c>
      <c r="G27" s="13" t="inlineStr">
        <is>
          <t>Accrual - unbilled work</t>
        </is>
      </c>
      <c r="H27" s="13" t="n"/>
      <c r="I27" s="15" t="n">
        <v>1357.33</v>
      </c>
      <c r="J27" s="13" t="inlineStr">
        <is>
          <t>11300</t>
        </is>
      </c>
      <c r="K27" s="13" t="n"/>
      <c r="L27" s="13" t="inlineStr">
        <is>
          <t>Y</t>
        </is>
      </c>
      <c r="M27" s="13" t="inlineStr">
        <is>
          <t>Migrated from FY27 Revenue Tracker v2 - confirm type/sign</t>
        </is>
      </c>
    </row>
    <row r="28" ht="15" customHeight="1">
      <c r="A28" s="47" t="n">
        <v>46234</v>
      </c>
      <c r="B28" s="13" t="inlineStr">
        <is>
          <t>2857</t>
        </is>
      </c>
      <c r="C28" s="14">
        <f>IF(B28="","",IF(COUNTIF(lst_Jobs,B28&amp;"")&gt;0,"OK","CHECK"))</f>
        <v/>
      </c>
      <c r="D28" s="13" t="inlineStr">
        <is>
          <t>APA</t>
        </is>
      </c>
      <c r="E28" s="13" t="inlineStr">
        <is>
          <t>INTEGRATION</t>
        </is>
      </c>
      <c r="F28" s="13" t="inlineStr">
        <is>
          <t>APA Sydney Proxyclick Jul26-Jun27 INV-10502(Revenue)</t>
        </is>
      </c>
      <c r="G28" s="13" t="inlineStr">
        <is>
          <t>Accrual - unbilled work</t>
        </is>
      </c>
      <c r="H28" s="13" t="n"/>
      <c r="I28" s="15" t="n">
        <v>1357.33</v>
      </c>
      <c r="J28" s="13" t="inlineStr">
        <is>
          <t>11300</t>
        </is>
      </c>
      <c r="K28" s="13" t="n"/>
      <c r="L28" s="13" t="inlineStr">
        <is>
          <t>Y</t>
        </is>
      </c>
      <c r="M28" s="13" t="inlineStr">
        <is>
          <t>Migrated from FY27 Revenue Tracker v2 - confirm type/sign</t>
        </is>
      </c>
    </row>
    <row r="29" ht="15" customHeight="1">
      <c r="A29" s="47" t="n">
        <v>46234</v>
      </c>
      <c r="B29" s="13" t="inlineStr">
        <is>
          <t>2848</t>
        </is>
      </c>
      <c r="C29" s="14">
        <f>IF(B29="","",IF(COUNTIF(lst_Jobs,B29&amp;"")&gt;0,"OK","CHECK"))</f>
        <v/>
      </c>
      <c r="D29" s="13" t="inlineStr">
        <is>
          <t>APA</t>
        </is>
      </c>
      <c r="E29" s="13" t="inlineStr">
        <is>
          <t>INTEGRATION</t>
        </is>
      </c>
      <c r="F29" s="13" t="inlineStr">
        <is>
          <t>APA Adelaide Proxyclick INV-10514 Renewal Jul26-Jun27 (Revenue)</t>
        </is>
      </c>
      <c r="G29" s="13" t="inlineStr">
        <is>
          <t>Accrual - unbilled work</t>
        </is>
      </c>
      <c r="H29" s="13" t="n"/>
      <c r="I29" s="15" t="n">
        <v>618.08</v>
      </c>
      <c r="J29" s="13" t="inlineStr">
        <is>
          <t>11300</t>
        </is>
      </c>
      <c r="K29" s="13" t="n"/>
      <c r="L29" s="13" t="inlineStr">
        <is>
          <t>Y</t>
        </is>
      </c>
      <c r="M29" s="13" t="inlineStr">
        <is>
          <t>Migrated from FY27 Revenue Tracker v2 - confirm type/sign</t>
        </is>
      </c>
    </row>
    <row r="30" ht="15" customHeight="1">
      <c r="A30" s="47" t="n">
        <v>46234</v>
      </c>
      <c r="B30" s="13" t="inlineStr">
        <is>
          <t>2606101</t>
        </is>
      </c>
      <c r="C30" s="14">
        <f>IF(B30="","",IF(COUNTIF(lst_Jobs,B30&amp;"")&gt;0,"OK","CHECK"))</f>
        <v/>
      </c>
      <c r="D30" s="13" t="inlineStr">
        <is>
          <t>APA</t>
        </is>
      </c>
      <c r="E30" s="13" t="inlineStr">
        <is>
          <t>INTEGRATION</t>
        </is>
      </c>
      <c r="F30" s="13" t="inlineStr">
        <is>
          <t>APA | Young Eptura Proxyclick Licence Renewal Mar27-Feb28 INV-10548 (Revenue)</t>
        </is>
      </c>
      <c r="G30" s="13" t="inlineStr">
        <is>
          <t>Deferral - invoiced in advance</t>
        </is>
      </c>
      <c r="H30" s="13" t="n"/>
      <c r="I30" s="15" t="n">
        <v>-4205</v>
      </c>
      <c r="J30" s="13" t="inlineStr">
        <is>
          <t>11300</t>
        </is>
      </c>
      <c r="K30" s="13" t="n"/>
      <c r="L30" s="13" t="inlineStr">
        <is>
          <t>Y</t>
        </is>
      </c>
      <c r="M30" s="13" t="inlineStr">
        <is>
          <t>Migrated from FY27 Revenue Tracker v2 - confirm type/sign</t>
        </is>
      </c>
    </row>
    <row r="31" ht="15" customHeight="1">
      <c r="A31" s="47" t="n">
        <v>46234</v>
      </c>
      <c r="B31" s="13" t="inlineStr">
        <is>
          <t>2605402</t>
        </is>
      </c>
      <c r="C31" s="14">
        <f>IF(B31="","",IF(COUNTIF(lst_Jobs,B31&amp;"")&gt;0,"OK","CHECK"))</f>
        <v/>
      </c>
      <c r="D31" s="13" t="inlineStr">
        <is>
          <t>AGL</t>
        </is>
      </c>
      <c r="E31" s="13" t="inlineStr">
        <is>
          <t>PRODUCTION</t>
        </is>
      </c>
      <c r="F31" s="13" t="inlineStr">
        <is>
          <t>AGL FYR - Employee Town Hall [PRD] pre-prod work</t>
        </is>
      </c>
      <c r="G31" s="13" t="inlineStr">
        <is>
          <t>Accrual - unbilled work</t>
        </is>
      </c>
      <c r="H31" s="13" t="n"/>
      <c r="I31" s="15" t="n">
        <v>1322.5</v>
      </c>
      <c r="J31" s="13" t="inlineStr">
        <is>
          <t>11300</t>
        </is>
      </c>
      <c r="K31" s="13" t="n"/>
      <c r="L31" s="13" t="inlineStr">
        <is>
          <t>Y</t>
        </is>
      </c>
      <c r="M31" s="13" t="inlineStr">
        <is>
          <t>Migrated from FY27 Revenue Tracker v2 - confirm type/sign</t>
        </is>
      </c>
    </row>
    <row r="32" ht="15" customHeight="1">
      <c r="A32" s="47" t="n">
        <v>46234</v>
      </c>
      <c r="B32" s="13" t="inlineStr">
        <is>
          <t>26061105</t>
        </is>
      </c>
      <c r="C32" s="14">
        <f>IF(B32="","",IF(COUNTIF(lst_Jobs,B32&amp;"")&gt;0,"OK","CHECK"))</f>
        <v/>
      </c>
      <c r="D32" s="13" t="inlineStr">
        <is>
          <t>CBA</t>
        </is>
      </c>
      <c r="E32" s="13" t="inlineStr">
        <is>
          <t>PRODUCTION</t>
        </is>
      </c>
      <c r="F32" s="13" t="inlineStr">
        <is>
          <t>CBA - FYR 2026 - 12.8.26 [PRD] pre-prod work</t>
        </is>
      </c>
      <c r="G32" s="13" t="inlineStr">
        <is>
          <t>Accrual - unbilled work</t>
        </is>
      </c>
      <c r="H32" s="13" t="n"/>
      <c r="I32" s="15" t="n">
        <v>417.5</v>
      </c>
      <c r="J32" s="13" t="inlineStr">
        <is>
          <t>11300</t>
        </is>
      </c>
      <c r="K32" s="13" t="n"/>
      <c r="L32" s="13" t="inlineStr">
        <is>
          <t>Y</t>
        </is>
      </c>
      <c r="M32" s="13" t="inlineStr">
        <is>
          <t>Migrated from FY27 Revenue Tracker v2 - confirm type/sign</t>
        </is>
      </c>
    </row>
    <row r="33" ht="15" customHeight="1">
      <c r="A33" s="47" t="n">
        <v>46234</v>
      </c>
      <c r="B33" s="13" t="inlineStr">
        <is>
          <t>2606903</t>
        </is>
      </c>
      <c r="C33" s="14">
        <f>IF(B33="","",IF(COUNTIF(lst_Jobs,B33&amp;"")&gt;0,"OK","CHECK"))</f>
        <v/>
      </c>
      <c r="D33" s="13" t="inlineStr">
        <is>
          <t>Virgin</t>
        </is>
      </c>
      <c r="E33" s="13" t="inlineStr">
        <is>
          <t>PRODUCTION</t>
        </is>
      </c>
      <c r="F33" s="13" t="inlineStr">
        <is>
          <t>Virgin FY26 Results [PRD] pre-prod work</t>
        </is>
      </c>
      <c r="G33" s="13" t="inlineStr">
        <is>
          <t>Accrual - unbilled work</t>
        </is>
      </c>
      <c r="H33" s="13" t="n"/>
      <c r="I33" s="15" t="n">
        <v>57.5</v>
      </c>
      <c r="J33" s="13" t="inlineStr">
        <is>
          <t>11300</t>
        </is>
      </c>
      <c r="K33" s="13" t="n"/>
      <c r="L33" s="13" t="inlineStr">
        <is>
          <t>Y</t>
        </is>
      </c>
      <c r="M33" s="13" t="inlineStr">
        <is>
          <t>Migrated from FY27 Revenue Tracker v2 - confirm type/sign</t>
        </is>
      </c>
    </row>
    <row r="34" ht="15" customHeight="1">
      <c r="A34" s="47" t="n">
        <v>46234</v>
      </c>
      <c r="B34" s="13" t="inlineStr">
        <is>
          <t>26061109</t>
        </is>
      </c>
      <c r="C34" s="14">
        <f>IF(B34="","",IF(COUNTIF(lst_Jobs,B34&amp;"")&gt;0,"OK","CHECK"))</f>
        <v/>
      </c>
      <c r="D34" s="13" t="inlineStr">
        <is>
          <t>Ventia</t>
        </is>
      </c>
      <c r="E34" s="13" t="inlineStr">
        <is>
          <t>PRODUCTION</t>
        </is>
      </c>
      <c r="F34" s="13" t="inlineStr">
        <is>
          <t>Ventia - FYR26 - 24.8.26 [PRD] pre-prod work</t>
        </is>
      </c>
      <c r="G34" s="13" t="inlineStr">
        <is>
          <t>Accrual - unbilled work</t>
        </is>
      </c>
      <c r="H34" s="13" t="n"/>
      <c r="I34" s="15" t="n">
        <v>862.5</v>
      </c>
      <c r="J34" s="13" t="inlineStr">
        <is>
          <t>11300</t>
        </is>
      </c>
      <c r="K34" s="13" t="n"/>
      <c r="L34" s="13" t="inlineStr">
        <is>
          <t>Y</t>
        </is>
      </c>
      <c r="M34" s="13" t="inlineStr">
        <is>
          <t>Migrated from FY27 Revenue Tracker v2 - confirm type/sign</t>
        </is>
      </c>
    </row>
    <row r="35" ht="15" customHeight="1">
      <c r="A35" s="47" t="n">
        <v>46234</v>
      </c>
      <c r="B35" s="13" t="inlineStr">
        <is>
          <t>26061107</t>
        </is>
      </c>
      <c r="C35" s="14">
        <f>IF(B35="","",IF(COUNTIF(lst_Jobs,B35&amp;"")&gt;0,"OK","CHECK"))</f>
        <v/>
      </c>
      <c r="D35" s="13" t="inlineStr">
        <is>
          <t>Downer</t>
        </is>
      </c>
      <c r="E35" s="13" t="inlineStr">
        <is>
          <t>PRODUCTION</t>
        </is>
      </c>
      <c r="F35" s="13" t="inlineStr">
        <is>
          <t>Downer - FYR 2026 - 19.8.26 [PRD] pre-prod work</t>
        </is>
      </c>
      <c r="G35" s="13" t="inlineStr">
        <is>
          <t>Accrual - unbilled work</t>
        </is>
      </c>
      <c r="H35" s="13" t="n"/>
      <c r="I35" s="15" t="n">
        <v>115</v>
      </c>
      <c r="J35" s="13" t="inlineStr">
        <is>
          <t>11300</t>
        </is>
      </c>
      <c r="K35" s="13" t="n"/>
      <c r="L35" s="13" t="inlineStr">
        <is>
          <t>Y</t>
        </is>
      </c>
      <c r="M35" s="13" t="inlineStr">
        <is>
          <t>Migrated from FY27 Revenue Tracker v2 - confirm type/sign</t>
        </is>
      </c>
    </row>
    <row r="36" ht="15" customHeight="1">
      <c r="A36" s="47" t="n">
        <v>46234</v>
      </c>
      <c r="B36" s="13" t="inlineStr">
        <is>
          <t>26061108</t>
        </is>
      </c>
      <c r="C36" s="14">
        <f>IF(B36="","",IF(COUNTIF(lst_Jobs,B36&amp;"")&gt;0,"OK","CHECK"))</f>
        <v/>
      </c>
      <c r="D36" s="13" t="inlineStr">
        <is>
          <t>APA</t>
        </is>
      </c>
      <c r="E36" s="13" t="inlineStr">
        <is>
          <t>PRODUCTION</t>
        </is>
      </c>
      <c r="F36" s="13" t="inlineStr">
        <is>
          <t>APA FYR All Hands August 2026 Package - Conf Call (Revenue) INV-10521</t>
        </is>
      </c>
      <c r="G36" s="13" t="inlineStr">
        <is>
          <t>Deferral - invoiced in advance</t>
        </is>
      </c>
      <c r="H36" s="13" t="n"/>
      <c r="I36" s="15" t="n">
        <v>-600</v>
      </c>
      <c r="J36" s="13" t="inlineStr">
        <is>
          <t>11300</t>
        </is>
      </c>
      <c r="K36" s="13" t="n"/>
      <c r="L36" s="13" t="inlineStr">
        <is>
          <t>Y</t>
        </is>
      </c>
      <c r="M36" s="13" t="inlineStr">
        <is>
          <t>Migrated from FY27 Revenue Tracker v2 - confirm type/sign</t>
        </is>
      </c>
    </row>
    <row r="37" ht="15" customHeight="1">
      <c r="A37" s="47" t="n">
        <v>46234</v>
      </c>
      <c r="B37" s="13" t="inlineStr">
        <is>
          <t>26061108</t>
        </is>
      </c>
      <c r="C37" s="14">
        <f>IF(B37="","",IF(COUNTIF(lst_Jobs,B37&amp;"")&gt;0,"OK","CHECK"))</f>
        <v/>
      </c>
      <c r="D37" s="13" t="inlineStr">
        <is>
          <t>APA</t>
        </is>
      </c>
      <c r="E37" s="13" t="inlineStr">
        <is>
          <t>PRODUCTION</t>
        </is>
      </c>
      <c r="F37" s="13" t="inlineStr">
        <is>
          <t>APA FYR 20.7.26 [PRD]</t>
        </is>
      </c>
      <c r="G37" s="13" t="inlineStr">
        <is>
          <t>Deferral - invoiced in advance</t>
        </is>
      </c>
      <c r="H37" s="13" t="n"/>
      <c r="I37" s="15" t="n">
        <v>-237.5</v>
      </c>
      <c r="J37" s="13" t="inlineStr">
        <is>
          <t>11300</t>
        </is>
      </c>
      <c r="K37" s="13" t="n"/>
      <c r="L37" s="13" t="inlineStr">
        <is>
          <t>Y</t>
        </is>
      </c>
      <c r="M37" s="13" t="inlineStr">
        <is>
          <t>Migrated from FY27 Revenue Tracker v2 - confirm type/sign</t>
        </is>
      </c>
    </row>
    <row r="38" ht="15" customHeight="1">
      <c r="A38" s="47" t="n">
        <v>46234</v>
      </c>
      <c r="B38" s="13" t="inlineStr">
        <is>
          <t>26061108</t>
        </is>
      </c>
      <c r="C38" s="14">
        <f>IF(B38="","",IF(COUNTIF(lst_Jobs,B38&amp;"")&gt;0,"OK","CHECK"))</f>
        <v/>
      </c>
      <c r="D38" s="13" t="inlineStr">
        <is>
          <t>APA</t>
        </is>
      </c>
      <c r="E38" s="13" t="inlineStr">
        <is>
          <t>PRODUCTION</t>
        </is>
      </c>
      <c r="F38" s="13" t="inlineStr">
        <is>
          <t>APA FYR All Hands August 2026 Package - Prd Equipment Hire (Revenue) INV-10521</t>
        </is>
      </c>
      <c r="G38" s="13" t="inlineStr">
        <is>
          <t>Deferral - invoiced in advance</t>
        </is>
      </c>
      <c r="H38" s="13" t="n"/>
      <c r="I38" s="15" t="n">
        <v>-5413.6</v>
      </c>
      <c r="J38" s="13" t="inlineStr">
        <is>
          <t>11300</t>
        </is>
      </c>
      <c r="K38" s="13" t="n"/>
      <c r="L38" s="13" t="inlineStr">
        <is>
          <t>Y</t>
        </is>
      </c>
      <c r="M38" s="13" t="inlineStr">
        <is>
          <t>Migrated from FY27 Revenue Tracker v2 - confirm type/sign</t>
        </is>
      </c>
    </row>
    <row r="39" ht="15" customHeight="1">
      <c r="A39" s="47" t="n">
        <v>46234</v>
      </c>
      <c r="B39" s="13" t="inlineStr">
        <is>
          <t>26061108V</t>
        </is>
      </c>
      <c r="C39" s="14">
        <f>IF(B39="","",IF(COUNTIF(lst_Jobs,B39&amp;"")&gt;0,"OK","CHECK"))</f>
        <v/>
      </c>
      <c r="D39" s="13" t="inlineStr">
        <is>
          <t>APA</t>
        </is>
      </c>
      <c r="E39" s="13" t="inlineStr">
        <is>
          <t>VIDEO</t>
        </is>
      </c>
      <c r="F39" s="13" t="inlineStr">
        <is>
          <t>APA FYR All Hands August 2026 Package - Vid Equipment Hire (Revenue) INV-10521</t>
        </is>
      </c>
      <c r="G39" s="13" t="inlineStr">
        <is>
          <t>Deferral - invoiced in advance</t>
        </is>
      </c>
      <c r="H39" s="13" t="n"/>
      <c r="I39" s="15" t="n">
        <v>-592</v>
      </c>
      <c r="J39" s="13" t="inlineStr">
        <is>
          <t>11300</t>
        </is>
      </c>
      <c r="K39" s="13" t="n"/>
      <c r="L39" s="13" t="inlineStr">
        <is>
          <t>Y</t>
        </is>
      </c>
      <c r="M39" s="13" t="inlineStr">
        <is>
          <t>Migrated from FY27 Revenue Tracker v2 - confirm type/sign</t>
        </is>
      </c>
    </row>
    <row r="40" ht="15" customHeight="1">
      <c r="A40" s="47" t="n">
        <v>46234</v>
      </c>
      <c r="B40" s="13" t="inlineStr">
        <is>
          <t>26061108</t>
        </is>
      </c>
      <c r="C40" s="14">
        <f>IF(B40="","",IF(COUNTIF(lst_Jobs,B40&amp;"")&gt;0,"OK","CHECK"))</f>
        <v/>
      </c>
      <c r="D40" s="13" t="inlineStr">
        <is>
          <t>APA</t>
        </is>
      </c>
      <c r="E40" s="13" t="inlineStr">
        <is>
          <t>PRODUCTION</t>
        </is>
      </c>
      <c r="F40" s="13" t="inlineStr">
        <is>
          <t>APA FYR All Hands August 2026 Package - Prd Labour (Revenue) INV-10521</t>
        </is>
      </c>
      <c r="G40" s="13" t="inlineStr">
        <is>
          <t>Deferral - invoiced in advance</t>
        </is>
      </c>
      <c r="H40" s="13" t="n"/>
      <c r="I40" s="15" t="n">
        <v>-4520</v>
      </c>
      <c r="J40" s="13" t="inlineStr">
        <is>
          <t>11300</t>
        </is>
      </c>
      <c r="K40" s="13" t="n"/>
      <c r="L40" s="13" t="inlineStr">
        <is>
          <t>Y</t>
        </is>
      </c>
      <c r="M40" s="13" t="inlineStr">
        <is>
          <t>Migrated from FY27 Revenue Tracker v2 - confirm type/sign</t>
        </is>
      </c>
    </row>
    <row r="41" ht="15" customHeight="1">
      <c r="A41" s="47" t="n">
        <v>46234</v>
      </c>
      <c r="B41" s="13" t="inlineStr">
        <is>
          <t>26061108V</t>
        </is>
      </c>
      <c r="C41" s="14">
        <f>IF(B41="","",IF(COUNTIF(lst_Jobs,B41&amp;"")&gt;0,"OK","CHECK"))</f>
        <v/>
      </c>
      <c r="D41" s="13" t="inlineStr">
        <is>
          <t>APA</t>
        </is>
      </c>
      <c r="E41" s="13" t="inlineStr">
        <is>
          <t>VIDEO</t>
        </is>
      </c>
      <c r="F41" s="13" t="inlineStr">
        <is>
          <t>APA FYR All Hands August 2026 Package - Vid Labour (Revenue) INV-10521</t>
        </is>
      </c>
      <c r="G41" s="13" t="inlineStr">
        <is>
          <t>Deferral - invoiced in advance</t>
        </is>
      </c>
      <c r="H41" s="13" t="n"/>
      <c r="I41" s="15" t="n">
        <v>-485</v>
      </c>
      <c r="J41" s="13" t="inlineStr">
        <is>
          <t>11300</t>
        </is>
      </c>
      <c r="K41" s="13" t="n"/>
      <c r="L41" s="13" t="inlineStr">
        <is>
          <t>Y</t>
        </is>
      </c>
      <c r="M41" s="13" t="inlineStr">
        <is>
          <t>Migrated from FY27 Revenue Tracker v2 - confirm type/sign</t>
        </is>
      </c>
    </row>
    <row r="42" ht="15" customHeight="1">
      <c r="A42" s="47" t="n">
        <v>46234</v>
      </c>
      <c r="B42" s="13" t="inlineStr">
        <is>
          <t>26061108</t>
        </is>
      </c>
      <c r="C42" s="14">
        <f>IF(B42="","",IF(COUNTIF(lst_Jobs,B42&amp;"")&gt;0,"OK","CHECK"))</f>
        <v/>
      </c>
      <c r="D42" s="13" t="inlineStr">
        <is>
          <t>APA</t>
        </is>
      </c>
      <c r="E42" s="13" t="inlineStr">
        <is>
          <t>PRODUCTION</t>
        </is>
      </c>
      <c r="F42" s="13" t="inlineStr">
        <is>
          <t>APA FYR All Hands August 2026 Package - Transport (Revenue) INV-10521</t>
        </is>
      </c>
      <c r="G42" s="13" t="inlineStr">
        <is>
          <t>Deferral - invoiced in advance</t>
        </is>
      </c>
      <c r="H42" s="13" t="n"/>
      <c r="I42" s="15" t="n">
        <v>-300</v>
      </c>
      <c r="J42" s="13" t="inlineStr">
        <is>
          <t>11300</t>
        </is>
      </c>
      <c r="K42" s="13" t="n"/>
      <c r="L42" s="13" t="inlineStr">
        <is>
          <t>Y</t>
        </is>
      </c>
      <c r="M42" s="13" t="inlineStr">
        <is>
          <t>Migrated from FY27 Revenue Tracker v2 - confirm type/sign</t>
        </is>
      </c>
    </row>
    <row r="43" ht="15" customHeight="1">
      <c r="A43" s="47" t="n">
        <v>46234</v>
      </c>
      <c r="B43" s="13" t="inlineStr">
        <is>
          <t>26061108</t>
        </is>
      </c>
      <c r="C43" s="14">
        <f>IF(B43="","",IF(COUNTIF(lst_Jobs,B43&amp;"")&gt;0,"OK","CHECK"))</f>
        <v/>
      </c>
      <c r="D43" s="13" t="inlineStr">
        <is>
          <t>APA</t>
        </is>
      </c>
      <c r="E43" s="13" t="inlineStr">
        <is>
          <t>PRODUCTION</t>
        </is>
      </c>
      <c r="F43" s="13" t="inlineStr">
        <is>
          <t>APA FYR All Hands August 2026 Package - Tech  Event Mgmt (Revenue) INV-10521</t>
        </is>
      </c>
      <c r="G43" s="13" t="inlineStr">
        <is>
          <t>Deferral - invoiced in advance</t>
        </is>
      </c>
      <c r="H43" s="13" t="n"/>
      <c r="I43" s="15" t="n">
        <v>-690</v>
      </c>
      <c r="J43" s="13" t="inlineStr">
        <is>
          <t>11300</t>
        </is>
      </c>
      <c r="K43" s="13" t="n"/>
      <c r="L43" s="13" t="inlineStr">
        <is>
          <t>Y</t>
        </is>
      </c>
      <c r="M43" s="13" t="inlineStr">
        <is>
          <t>Migrated from FY27 Revenue Tracker v2 - confirm type/sign</t>
        </is>
      </c>
    </row>
    <row r="44" ht="15" customHeight="1">
      <c r="A44" s="47" t="n">
        <v>46234</v>
      </c>
      <c r="B44" s="13" t="inlineStr">
        <is>
          <t>26061607</t>
        </is>
      </c>
      <c r="C44" s="14">
        <f>IF(B44="","",IF(COUNTIF(lst_Jobs,B44&amp;"")&gt;0,"OK","CHECK"))</f>
        <v/>
      </c>
      <c r="D44" s="13" t="inlineStr">
        <is>
          <t>APA</t>
        </is>
      </c>
      <c r="E44" s="13" t="inlineStr">
        <is>
          <t>PRODUCTION</t>
        </is>
      </c>
      <c r="F44" s="13" t="inlineStr">
        <is>
          <t>APA Qtrly All Hands Nov 2026 Package - Prd Equipment Hire (Revenue) INV-10521</t>
        </is>
      </c>
      <c r="G44" s="13" t="inlineStr">
        <is>
          <t>Deferral - invoiced in advance</t>
        </is>
      </c>
      <c r="H44" s="13" t="n"/>
      <c r="I44" s="15" t="n">
        <v>-5269.6</v>
      </c>
      <c r="J44" s="13" t="inlineStr">
        <is>
          <t>11300</t>
        </is>
      </c>
      <c r="K44" s="13" t="n"/>
      <c r="L44" s="13" t="inlineStr">
        <is>
          <t>Y</t>
        </is>
      </c>
      <c r="M44" s="13" t="inlineStr">
        <is>
          <t>Migrated from FY27 Revenue Tracker v2 - confirm type/sign</t>
        </is>
      </c>
    </row>
    <row r="45" ht="15" customHeight="1">
      <c r="A45" s="47" t="n">
        <v>46234</v>
      </c>
      <c r="B45" s="13" t="inlineStr">
        <is>
          <t>26061607V</t>
        </is>
      </c>
      <c r="C45" s="14">
        <f>IF(B45="","",IF(COUNTIF(lst_Jobs,B45&amp;"")&gt;0,"OK","CHECK"))</f>
        <v/>
      </c>
      <c r="D45" s="13" t="inlineStr">
        <is>
          <t>APA</t>
        </is>
      </c>
      <c r="E45" s="13" t="inlineStr">
        <is>
          <t>VIDEO</t>
        </is>
      </c>
      <c r="F45" s="13" t="inlineStr">
        <is>
          <t>APA Qtrly All Hands Nov 2026 Package - Vid Equipment Hire (Revenue) INV-10521</t>
        </is>
      </c>
      <c r="G45" s="13" t="inlineStr">
        <is>
          <t>Deferral - invoiced in advance</t>
        </is>
      </c>
      <c r="H45" s="13" t="n"/>
      <c r="I45" s="15" t="n">
        <v>-592</v>
      </c>
      <c r="J45" s="13" t="inlineStr">
        <is>
          <t>11300</t>
        </is>
      </c>
      <c r="K45" s="13" t="n"/>
      <c r="L45" s="13" t="inlineStr">
        <is>
          <t>Y</t>
        </is>
      </c>
      <c r="M45" s="13" t="inlineStr">
        <is>
          <t>Migrated from FY27 Revenue Tracker v2 - confirm type/sign</t>
        </is>
      </c>
    </row>
    <row r="46" ht="15" customHeight="1">
      <c r="A46" s="47" t="n">
        <v>46234</v>
      </c>
      <c r="B46" s="13" t="inlineStr">
        <is>
          <t>26061607</t>
        </is>
      </c>
      <c r="C46" s="14">
        <f>IF(B46="","",IF(COUNTIF(lst_Jobs,B46&amp;"")&gt;0,"OK","CHECK"))</f>
        <v/>
      </c>
      <c r="D46" s="13" t="inlineStr">
        <is>
          <t>APA</t>
        </is>
      </c>
      <c r="E46" s="13" t="inlineStr">
        <is>
          <t>PRODUCTION</t>
        </is>
      </c>
      <c r="F46" s="13" t="inlineStr">
        <is>
          <t>APA Qtrly All Hands Nov 2026 Package - Prd Labour (Revenue) INV-10521</t>
        </is>
      </c>
      <c r="G46" s="13" t="inlineStr">
        <is>
          <t>Deferral - invoiced in advance</t>
        </is>
      </c>
      <c r="H46" s="13" t="n"/>
      <c r="I46" s="15" t="n">
        <v>-4869</v>
      </c>
      <c r="J46" s="13" t="inlineStr">
        <is>
          <t>11300</t>
        </is>
      </c>
      <c r="K46" s="13" t="n"/>
      <c r="L46" s="13" t="inlineStr">
        <is>
          <t>Y</t>
        </is>
      </c>
      <c r="M46" s="13" t="inlineStr">
        <is>
          <t>Migrated from FY27 Revenue Tracker v2 - confirm type/sign</t>
        </is>
      </c>
    </row>
    <row r="47" ht="15" customHeight="1">
      <c r="A47" s="47" t="n">
        <v>46234</v>
      </c>
      <c r="B47" s="13" t="inlineStr">
        <is>
          <t>26061607V</t>
        </is>
      </c>
      <c r="C47" s="14">
        <f>IF(B47="","",IF(COUNTIF(lst_Jobs,B47&amp;"")&gt;0,"OK","CHECK"))</f>
        <v/>
      </c>
      <c r="D47" s="13" t="inlineStr">
        <is>
          <t>APA</t>
        </is>
      </c>
      <c r="E47" s="13" t="inlineStr">
        <is>
          <t>VIDEO</t>
        </is>
      </c>
      <c r="F47" s="13" t="inlineStr">
        <is>
          <t>APA Qtrly All Hands Nov 2026 Package - Vid Labour (Revenue) INV-10521</t>
        </is>
      </c>
      <c r="G47" s="13" t="inlineStr">
        <is>
          <t>Deferral - invoiced in advance</t>
        </is>
      </c>
      <c r="H47" s="13" t="n"/>
      <c r="I47" s="15" t="n">
        <v>-485</v>
      </c>
      <c r="J47" s="13" t="inlineStr">
        <is>
          <t>11300</t>
        </is>
      </c>
      <c r="K47" s="13" t="n"/>
      <c r="L47" s="13" t="inlineStr">
        <is>
          <t>Y</t>
        </is>
      </c>
      <c r="M47" s="13" t="inlineStr">
        <is>
          <t>Migrated from FY27 Revenue Tracker v2 - confirm type/sign</t>
        </is>
      </c>
    </row>
    <row r="48" ht="15" customHeight="1">
      <c r="A48" s="47" t="n">
        <v>46234</v>
      </c>
      <c r="B48" s="13" t="inlineStr">
        <is>
          <t>26061607</t>
        </is>
      </c>
      <c r="C48" s="14">
        <f>IF(B48="","",IF(COUNTIF(lst_Jobs,B48&amp;"")&gt;0,"OK","CHECK"))</f>
        <v/>
      </c>
      <c r="D48" s="13" t="inlineStr">
        <is>
          <t>APA</t>
        </is>
      </c>
      <c r="E48" s="13" t="inlineStr">
        <is>
          <t>PRODUCTION</t>
        </is>
      </c>
      <c r="F48" s="13" t="inlineStr">
        <is>
          <t>APA Qtrly All Hands Nov 2026 Package - Conf Call (Revenue) INV-10521</t>
        </is>
      </c>
      <c r="G48" s="13" t="inlineStr">
        <is>
          <t>Deferral - invoiced in advance</t>
        </is>
      </c>
      <c r="H48" s="13" t="n"/>
      <c r="I48" s="15" t="n">
        <v>-750</v>
      </c>
      <c r="J48" s="13" t="inlineStr">
        <is>
          <t>11300</t>
        </is>
      </c>
      <c r="K48" s="13" t="n"/>
      <c r="L48" s="13" t="inlineStr">
        <is>
          <t>Y</t>
        </is>
      </c>
      <c r="M48" s="13" t="inlineStr">
        <is>
          <t>Migrated from FY27 Revenue Tracker v2 - confirm type/sign</t>
        </is>
      </c>
    </row>
    <row r="49" ht="15" customHeight="1">
      <c r="A49" s="47" t="n">
        <v>46234</v>
      </c>
      <c r="B49" s="13" t="inlineStr">
        <is>
          <t>26061607</t>
        </is>
      </c>
      <c r="C49" s="14">
        <f>IF(B49="","",IF(COUNTIF(lst_Jobs,B49&amp;"")&gt;0,"OK","CHECK"))</f>
        <v/>
      </c>
      <c r="D49" s="13" t="inlineStr">
        <is>
          <t>APA</t>
        </is>
      </c>
      <c r="E49" s="13" t="inlineStr">
        <is>
          <t>PRODUCTION</t>
        </is>
      </c>
      <c r="F49" s="13" t="inlineStr">
        <is>
          <t>APA Qtrly All Hands Nov 2026 Package - Transport (Revenue) INV-10521</t>
        </is>
      </c>
      <c r="G49" s="13" t="inlineStr">
        <is>
          <t>Deferral - invoiced in advance</t>
        </is>
      </c>
      <c r="H49" s="13" t="n"/>
      <c r="I49" s="15" t="n">
        <v>-300</v>
      </c>
      <c r="J49" s="13" t="inlineStr">
        <is>
          <t>11300</t>
        </is>
      </c>
      <c r="K49" s="13" t="n"/>
      <c r="L49" s="13" t="inlineStr">
        <is>
          <t>Y</t>
        </is>
      </c>
      <c r="M49" s="13" t="inlineStr">
        <is>
          <t>Migrated from FY27 Revenue Tracker v2 - confirm type/sign</t>
        </is>
      </c>
    </row>
    <row r="50" ht="15" customHeight="1">
      <c r="A50" s="47" t="n">
        <v>46234</v>
      </c>
      <c r="B50" s="13" t="inlineStr">
        <is>
          <t>26061607</t>
        </is>
      </c>
      <c r="C50" s="14">
        <f>IF(B50="","",IF(COUNTIF(lst_Jobs,B50&amp;"")&gt;0,"OK","CHECK"))</f>
        <v/>
      </c>
      <c r="D50" s="13" t="inlineStr">
        <is>
          <t>APA</t>
        </is>
      </c>
      <c r="E50" s="13" t="inlineStr">
        <is>
          <t>PRODUCTION</t>
        </is>
      </c>
      <c r="F50" s="13" t="inlineStr">
        <is>
          <t>APA Qtrly All Hands Nov 2026 Package - Tech  Event Mgmt (Revenue) INV-10521</t>
        </is>
      </c>
      <c r="G50" s="13" t="inlineStr">
        <is>
          <t>Deferral - invoiced in advance</t>
        </is>
      </c>
      <c r="H50" s="13" t="n"/>
      <c r="I50" s="15" t="n">
        <v>-690</v>
      </c>
      <c r="J50" s="13" t="inlineStr">
        <is>
          <t>11300</t>
        </is>
      </c>
      <c r="K50" s="13" t="n"/>
      <c r="L50" s="13" t="inlineStr">
        <is>
          <t>Y</t>
        </is>
      </c>
      <c r="M50" s="13" t="inlineStr">
        <is>
          <t>Migrated from FY27 Revenue Tracker v2 - confirm type/sign</t>
        </is>
      </c>
    </row>
    <row r="51" ht="15" customHeight="1">
      <c r="A51" s="47" t="n">
        <v>46234</v>
      </c>
      <c r="B51" s="13" t="inlineStr">
        <is>
          <t>26061607</t>
        </is>
      </c>
      <c r="C51" s="14">
        <f>IF(B51="","",IF(COUNTIF(lst_Jobs,B51&amp;"")&gt;0,"OK","CHECK"))</f>
        <v/>
      </c>
      <c r="D51" s="13" t="inlineStr">
        <is>
          <t>APA</t>
        </is>
      </c>
      <c r="E51" s="13" t="inlineStr">
        <is>
          <t>PRODUCTION</t>
        </is>
      </c>
      <c r="F51" s="13" t="inlineStr">
        <is>
          <t>APA Qtrly All Hands Nov 2026 Package - Travel (Revenue) INV-10521</t>
        </is>
      </c>
      <c r="G51" s="13" t="inlineStr">
        <is>
          <t>Deferral - invoiced in advance</t>
        </is>
      </c>
      <c r="H51" s="13" t="n"/>
      <c r="I51" s="15" t="n">
        <v>-1025</v>
      </c>
      <c r="J51" s="13" t="inlineStr">
        <is>
          <t>11300</t>
        </is>
      </c>
      <c r="K51" s="13" t="n"/>
      <c r="L51" s="13" t="inlineStr">
        <is>
          <t>Y</t>
        </is>
      </c>
      <c r="M51" s="13" t="inlineStr">
        <is>
          <t>Migrated from FY27 Revenue Tracker v2 - confirm type/sign</t>
        </is>
      </c>
    </row>
    <row r="52" ht="15" customHeight="1">
      <c r="A52" s="47" t="n">
        <v>46234</v>
      </c>
      <c r="B52" s="13" t="inlineStr">
        <is>
          <t>26061608</t>
        </is>
      </c>
      <c r="C52" s="14">
        <f>IF(B52="","",IF(COUNTIF(lst_Jobs,B52&amp;"")&gt;0,"OK","CHECK"))</f>
        <v/>
      </c>
      <c r="D52" s="13" t="inlineStr">
        <is>
          <t>APA</t>
        </is>
      </c>
      <c r="E52" s="13" t="inlineStr">
        <is>
          <t>PRODUCTION</t>
        </is>
      </c>
      <c r="F52" s="13" t="inlineStr">
        <is>
          <t>APA Qtrly All Hands Feb 2027 Package - Prd Equipment Hire (Revenue) INV-10521</t>
        </is>
      </c>
      <c r="G52" s="13" t="inlineStr">
        <is>
          <t>Deferral - invoiced in advance</t>
        </is>
      </c>
      <c r="H52" s="13" t="n"/>
      <c r="I52" s="15" t="n">
        <v>-5857.6</v>
      </c>
      <c r="J52" s="13" t="inlineStr">
        <is>
          <t>11300</t>
        </is>
      </c>
      <c r="K52" s="13" t="n"/>
      <c r="L52" s="13" t="inlineStr">
        <is>
          <t>Y</t>
        </is>
      </c>
      <c r="M52" s="13" t="inlineStr">
        <is>
          <t>Migrated from FY27 Revenue Tracker v2 - confirm type/sign</t>
        </is>
      </c>
    </row>
    <row r="53" ht="15" customHeight="1">
      <c r="A53" s="47" t="n">
        <v>46234</v>
      </c>
      <c r="B53" s="13" t="inlineStr">
        <is>
          <t>26061608V</t>
        </is>
      </c>
      <c r="C53" s="14">
        <f>IF(B53="","",IF(COUNTIF(lst_Jobs,B53&amp;"")&gt;0,"OK","CHECK"))</f>
        <v/>
      </c>
      <c r="D53" s="13" t="inlineStr">
        <is>
          <t>APA</t>
        </is>
      </c>
      <c r="E53" s="13" t="inlineStr">
        <is>
          <t>VIDEO</t>
        </is>
      </c>
      <c r="F53" s="13" t="inlineStr">
        <is>
          <t>APA Qtrly All Hands Feb 2027 Package - Vid Equipment Hire (Revenue) INV-10521</t>
        </is>
      </c>
      <c r="G53" s="13" t="inlineStr">
        <is>
          <t>Deferral - invoiced in advance</t>
        </is>
      </c>
      <c r="H53" s="13" t="n"/>
      <c r="I53" s="15" t="n">
        <v>-592</v>
      </c>
      <c r="J53" s="13" t="inlineStr">
        <is>
          <t>11300</t>
        </is>
      </c>
      <c r="K53" s="13" t="n"/>
      <c r="L53" s="13" t="inlineStr">
        <is>
          <t>Y</t>
        </is>
      </c>
      <c r="M53" s="13" t="inlineStr">
        <is>
          <t>Migrated from FY27 Revenue Tracker v2 - confirm type/sign</t>
        </is>
      </c>
    </row>
    <row r="54" ht="15" customHeight="1">
      <c r="A54" s="47" t="n">
        <v>46234</v>
      </c>
      <c r="B54" s="13" t="inlineStr">
        <is>
          <t>26061608</t>
        </is>
      </c>
      <c r="C54" s="14">
        <f>IF(B54="","",IF(COUNTIF(lst_Jobs,B54&amp;"")&gt;0,"OK","CHECK"))</f>
        <v/>
      </c>
      <c r="D54" s="13" t="inlineStr">
        <is>
          <t>APA</t>
        </is>
      </c>
      <c r="E54" s="13" t="inlineStr">
        <is>
          <t>PRODUCTION</t>
        </is>
      </c>
      <c r="F54" s="13" t="inlineStr">
        <is>
          <t>APA Qtrly All Hands Feb 2027 Package - Prd Labour (Revenue) INV-10521</t>
        </is>
      </c>
      <c r="G54" s="13" t="inlineStr">
        <is>
          <t>Deferral - invoiced in advance</t>
        </is>
      </c>
      <c r="H54" s="13" t="n"/>
      <c r="I54" s="15" t="n">
        <v>-4076</v>
      </c>
      <c r="J54" s="13" t="inlineStr">
        <is>
          <t>11300</t>
        </is>
      </c>
      <c r="K54" s="13" t="n"/>
      <c r="L54" s="13" t="inlineStr">
        <is>
          <t>Y</t>
        </is>
      </c>
      <c r="M54" s="13" t="inlineStr">
        <is>
          <t>Migrated from FY27 Revenue Tracker v2 - confirm type/sign</t>
        </is>
      </c>
    </row>
    <row r="55" ht="15" customHeight="1">
      <c r="A55" s="47" t="n">
        <v>46234</v>
      </c>
      <c r="B55" s="13" t="inlineStr">
        <is>
          <t>26061608V</t>
        </is>
      </c>
      <c r="C55" s="14">
        <f>IF(B55="","",IF(COUNTIF(lst_Jobs,B55&amp;"")&gt;0,"OK","CHECK"))</f>
        <v/>
      </c>
      <c r="D55" s="13" t="inlineStr">
        <is>
          <t>APA</t>
        </is>
      </c>
      <c r="E55" s="13" t="inlineStr">
        <is>
          <t>VIDEO</t>
        </is>
      </c>
      <c r="F55" s="13" t="inlineStr">
        <is>
          <t>APA Qtrly All Hands Feb 2027 Package - Vid Labour (Revenue) INV-10521</t>
        </is>
      </c>
      <c r="G55" s="13" t="inlineStr">
        <is>
          <t>Deferral - invoiced in advance</t>
        </is>
      </c>
      <c r="H55" s="13" t="n"/>
      <c r="I55" s="15" t="n">
        <v>-485</v>
      </c>
      <c r="J55" s="13" t="inlineStr">
        <is>
          <t>11300</t>
        </is>
      </c>
      <c r="K55" s="13" t="n"/>
      <c r="L55" s="13" t="inlineStr">
        <is>
          <t>Y</t>
        </is>
      </c>
      <c r="M55" s="13" t="inlineStr">
        <is>
          <t>Migrated from FY27 Revenue Tracker v2 - confirm type/sign</t>
        </is>
      </c>
    </row>
    <row r="56" ht="15" customHeight="1">
      <c r="A56" s="47" t="n">
        <v>46234</v>
      </c>
      <c r="B56" s="13" t="inlineStr">
        <is>
          <t>26061608</t>
        </is>
      </c>
      <c r="C56" s="14">
        <f>IF(B56="","",IF(COUNTIF(lst_Jobs,B56&amp;"")&gt;0,"OK","CHECK"))</f>
        <v/>
      </c>
      <c r="D56" s="13" t="inlineStr">
        <is>
          <t>APA</t>
        </is>
      </c>
      <c r="E56" s="13" t="inlineStr">
        <is>
          <t>PRODUCTION</t>
        </is>
      </c>
      <c r="F56" s="13" t="inlineStr">
        <is>
          <t>APA Qtrly All Hands Feb 2027 Package - Conf Call (Revenue) INV-10521</t>
        </is>
      </c>
      <c r="G56" s="13" t="inlineStr">
        <is>
          <t>Deferral - invoiced in advance</t>
        </is>
      </c>
      <c r="H56" s="13" t="n"/>
      <c r="I56" s="15" t="n">
        <v>-600</v>
      </c>
      <c r="J56" s="13" t="inlineStr">
        <is>
          <t>11300</t>
        </is>
      </c>
      <c r="K56" s="13" t="n"/>
      <c r="L56" s="13" t="inlineStr">
        <is>
          <t>Y</t>
        </is>
      </c>
      <c r="M56" s="13" t="inlineStr">
        <is>
          <t>Migrated from FY27 Revenue Tracker v2 - confirm type/sign</t>
        </is>
      </c>
    </row>
    <row r="57" ht="15" customHeight="1">
      <c r="A57" s="47" t="n">
        <v>46234</v>
      </c>
      <c r="B57" s="13" t="inlineStr">
        <is>
          <t>26061608</t>
        </is>
      </c>
      <c r="C57" s="14">
        <f>IF(B57="","",IF(COUNTIF(lst_Jobs,B57&amp;"")&gt;0,"OK","CHECK"))</f>
        <v/>
      </c>
      <c r="D57" s="13" t="inlineStr">
        <is>
          <t>APA</t>
        </is>
      </c>
      <c r="E57" s="13" t="inlineStr">
        <is>
          <t>PRODUCTION</t>
        </is>
      </c>
      <c r="F57" s="13" t="inlineStr">
        <is>
          <t>APA Qtrly All Hands Feb 2027 Package - Transport (Revenue) INV-10521</t>
        </is>
      </c>
      <c r="G57" s="13" t="inlineStr">
        <is>
          <t>Deferral - invoiced in advance</t>
        </is>
      </c>
      <c r="H57" s="13" t="n"/>
      <c r="I57" s="15" t="n">
        <v>-300</v>
      </c>
      <c r="J57" s="13" t="inlineStr">
        <is>
          <t>11300</t>
        </is>
      </c>
      <c r="K57" s="13" t="n"/>
      <c r="L57" s="13" t="inlineStr">
        <is>
          <t>Y</t>
        </is>
      </c>
      <c r="M57" s="13" t="inlineStr">
        <is>
          <t>Migrated from FY27 Revenue Tracker v2 - confirm type/sign</t>
        </is>
      </c>
    </row>
    <row r="58" ht="15" customHeight="1">
      <c r="A58" s="47" t="n">
        <v>46234</v>
      </c>
      <c r="B58" s="13" t="inlineStr">
        <is>
          <t>26061608</t>
        </is>
      </c>
      <c r="C58" s="14">
        <f>IF(B58="","",IF(COUNTIF(lst_Jobs,B58&amp;"")&gt;0,"OK","CHECK"))</f>
        <v/>
      </c>
      <c r="D58" s="13" t="inlineStr">
        <is>
          <t>APA</t>
        </is>
      </c>
      <c r="E58" s="13" t="inlineStr">
        <is>
          <t>PRODUCTION</t>
        </is>
      </c>
      <c r="F58" s="13" t="inlineStr">
        <is>
          <t>APA Qtrly All Hands Feb 2027 Package - Tech  Event Mgmt (Revenue) INV-10521</t>
        </is>
      </c>
      <c r="G58" s="13" t="inlineStr">
        <is>
          <t>Deferral - invoiced in advance</t>
        </is>
      </c>
      <c r="H58" s="13" t="n"/>
      <c r="I58" s="15" t="n">
        <v>-690</v>
      </c>
      <c r="J58" s="13" t="inlineStr">
        <is>
          <t>11300</t>
        </is>
      </c>
      <c r="K58" s="13" t="n"/>
      <c r="L58" s="13" t="inlineStr">
        <is>
          <t>Y</t>
        </is>
      </c>
      <c r="M58" s="13" t="inlineStr">
        <is>
          <t>Migrated from FY27 Revenue Tracker v2 - confirm type/sign</t>
        </is>
      </c>
    </row>
    <row r="59" ht="15" customHeight="1">
      <c r="A59" s="47" t="n">
        <v>46234</v>
      </c>
      <c r="B59" s="13" t="inlineStr">
        <is>
          <t>26061609</t>
        </is>
      </c>
      <c r="C59" s="14">
        <f>IF(B59="","",IF(COUNTIF(lst_Jobs,B59&amp;"")&gt;0,"OK","CHECK"))</f>
        <v/>
      </c>
      <c r="D59" s="13" t="inlineStr">
        <is>
          <t>APA</t>
        </is>
      </c>
      <c r="E59" s="13" t="inlineStr">
        <is>
          <t>PRODUCTION</t>
        </is>
      </c>
      <c r="F59" s="13" t="inlineStr">
        <is>
          <t>APA Qtrly All Hands May 2027 Package - Prd Equipment Hire (Revenue) INV-10521</t>
        </is>
      </c>
      <c r="G59" s="13" t="inlineStr">
        <is>
          <t>Deferral - invoiced in advance</t>
        </is>
      </c>
      <c r="H59" s="13" t="n"/>
      <c r="I59" s="15" t="n">
        <v>-5857.6</v>
      </c>
      <c r="J59" s="13" t="inlineStr">
        <is>
          <t>11300</t>
        </is>
      </c>
      <c r="K59" s="13" t="n"/>
      <c r="L59" s="13" t="inlineStr">
        <is>
          <t>Y</t>
        </is>
      </c>
      <c r="M59" s="13" t="inlineStr">
        <is>
          <t>Migrated from FY27 Revenue Tracker v2 - confirm type/sign</t>
        </is>
      </c>
    </row>
    <row r="60" ht="15" customHeight="1">
      <c r="A60" s="47" t="n">
        <v>46234</v>
      </c>
      <c r="B60" s="13" t="inlineStr">
        <is>
          <t>26061609V</t>
        </is>
      </c>
      <c r="C60" s="14">
        <f>IF(B60="","",IF(COUNTIF(lst_Jobs,B60&amp;"")&gt;0,"OK","CHECK"))</f>
        <v/>
      </c>
      <c r="D60" s="13" t="inlineStr">
        <is>
          <t>APA</t>
        </is>
      </c>
      <c r="E60" s="13" t="inlineStr">
        <is>
          <t>VIDEO</t>
        </is>
      </c>
      <c r="F60" s="13" t="inlineStr">
        <is>
          <t>APA Qtrly All Hands May 2027 Package - Vid Equipment Hire (Revenue) INV-10521</t>
        </is>
      </c>
      <c r="G60" s="13" t="inlineStr">
        <is>
          <t>Deferral - invoiced in advance</t>
        </is>
      </c>
      <c r="H60" s="13" t="n"/>
      <c r="I60" s="15" t="n">
        <v>-592</v>
      </c>
      <c r="J60" s="13" t="inlineStr">
        <is>
          <t>11300</t>
        </is>
      </c>
      <c r="K60" s="13" t="n"/>
      <c r="L60" s="13" t="inlineStr">
        <is>
          <t>Y</t>
        </is>
      </c>
      <c r="M60" s="13" t="inlineStr">
        <is>
          <t>Migrated from FY27 Revenue Tracker v2 - confirm type/sign</t>
        </is>
      </c>
    </row>
    <row r="61" ht="15" customHeight="1">
      <c r="A61" s="47" t="n">
        <v>46234</v>
      </c>
      <c r="B61" s="13" t="inlineStr">
        <is>
          <t>26061609</t>
        </is>
      </c>
      <c r="C61" s="14">
        <f>IF(B61="","",IF(COUNTIF(lst_Jobs,B61&amp;"")&gt;0,"OK","CHECK"))</f>
        <v/>
      </c>
      <c r="D61" s="13" t="inlineStr">
        <is>
          <t>APA</t>
        </is>
      </c>
      <c r="E61" s="13" t="inlineStr">
        <is>
          <t>PRODUCTION</t>
        </is>
      </c>
      <c r="F61" s="13" t="inlineStr">
        <is>
          <t>APA Qtrly All Hands May 2027 Package - Prd Labour (Revenue) INV-10521</t>
        </is>
      </c>
      <c r="G61" s="13" t="inlineStr">
        <is>
          <t>Deferral - invoiced in advance</t>
        </is>
      </c>
      <c r="H61" s="13" t="n"/>
      <c r="I61" s="15" t="n">
        <v>-4995</v>
      </c>
      <c r="J61" s="13" t="inlineStr">
        <is>
          <t>11300</t>
        </is>
      </c>
      <c r="K61" s="13" t="n"/>
      <c r="L61" s="13" t="inlineStr">
        <is>
          <t>Y</t>
        </is>
      </c>
      <c r="M61" s="13" t="inlineStr">
        <is>
          <t>Migrated from FY27 Revenue Tracker v2 - confirm type/sign</t>
        </is>
      </c>
    </row>
    <row r="62" ht="15" customHeight="1">
      <c r="A62" s="47" t="n">
        <v>46234</v>
      </c>
      <c r="B62" s="13" t="inlineStr">
        <is>
          <t>26061609V</t>
        </is>
      </c>
      <c r="C62" s="14">
        <f>IF(B62="","",IF(COUNTIF(lst_Jobs,B62&amp;"")&gt;0,"OK","CHECK"))</f>
        <v/>
      </c>
      <c r="D62" s="13" t="inlineStr">
        <is>
          <t>APA</t>
        </is>
      </c>
      <c r="E62" s="13" t="inlineStr">
        <is>
          <t>VIDEO</t>
        </is>
      </c>
      <c r="F62" s="13" t="inlineStr">
        <is>
          <t>APA Qtrly All Hands May 2027 Package - Vid Labour (Revenue) INV-10521</t>
        </is>
      </c>
      <c r="G62" s="13" t="inlineStr">
        <is>
          <t>Deferral - invoiced in advance</t>
        </is>
      </c>
      <c r="H62" s="13" t="n"/>
      <c r="I62" s="15" t="n">
        <v>-485</v>
      </c>
      <c r="J62" s="13" t="inlineStr">
        <is>
          <t>11300</t>
        </is>
      </c>
      <c r="K62" s="13" t="n"/>
      <c r="L62" s="13" t="inlineStr">
        <is>
          <t>Y</t>
        </is>
      </c>
      <c r="M62" s="13" t="inlineStr">
        <is>
          <t>Migrated from FY27 Revenue Tracker v2 - confirm type/sign</t>
        </is>
      </c>
    </row>
    <row r="63" ht="15" customHeight="1">
      <c r="A63" s="47" t="n">
        <v>46234</v>
      </c>
      <c r="B63" s="13" t="inlineStr">
        <is>
          <t>26061609</t>
        </is>
      </c>
      <c r="C63" s="14">
        <f>IF(B63="","",IF(COUNTIF(lst_Jobs,B63&amp;"")&gt;0,"OK","CHECK"))</f>
        <v/>
      </c>
      <c r="D63" s="13" t="inlineStr">
        <is>
          <t>APA</t>
        </is>
      </c>
      <c r="E63" s="13" t="inlineStr">
        <is>
          <t>PRODUCTION</t>
        </is>
      </c>
      <c r="F63" s="13" t="inlineStr">
        <is>
          <t>APA Qtrly All Hands May 2027 Package - Conf Call (Revenue) INV-10521</t>
        </is>
      </c>
      <c r="G63" s="13" t="inlineStr">
        <is>
          <t>Deferral - invoiced in advance</t>
        </is>
      </c>
      <c r="H63" s="13" t="n"/>
      <c r="I63" s="15" t="n">
        <v>-750</v>
      </c>
      <c r="J63" s="13" t="inlineStr">
        <is>
          <t>11300</t>
        </is>
      </c>
      <c r="K63" s="13" t="n"/>
      <c r="L63" s="13" t="inlineStr">
        <is>
          <t>Y</t>
        </is>
      </c>
      <c r="M63" s="13" t="inlineStr">
        <is>
          <t>Migrated from FY27 Revenue Tracker v2 - confirm type/sign</t>
        </is>
      </c>
    </row>
    <row r="64" ht="15" customHeight="1">
      <c r="A64" s="47" t="n">
        <v>46234</v>
      </c>
      <c r="B64" s="13" t="inlineStr">
        <is>
          <t>26061609</t>
        </is>
      </c>
      <c r="C64" s="14">
        <f>IF(B64="","",IF(COUNTIF(lst_Jobs,B64&amp;"")&gt;0,"OK","CHECK"))</f>
        <v/>
      </c>
      <c r="D64" s="13" t="inlineStr">
        <is>
          <t>APA</t>
        </is>
      </c>
      <c r="E64" s="13" t="inlineStr">
        <is>
          <t>PRODUCTION</t>
        </is>
      </c>
      <c r="F64" s="13" t="inlineStr">
        <is>
          <t>APA Qtrly All Hands May 2027 Package - Transport (Revenue) INV-10521</t>
        </is>
      </c>
      <c r="G64" s="13" t="inlineStr">
        <is>
          <t>Deferral - invoiced in advance</t>
        </is>
      </c>
      <c r="H64" s="13" t="n"/>
      <c r="I64" s="15" t="n">
        <v>-300</v>
      </c>
      <c r="J64" s="13" t="inlineStr">
        <is>
          <t>11300</t>
        </is>
      </c>
      <c r="K64" s="13" t="n"/>
      <c r="L64" s="13" t="inlineStr">
        <is>
          <t>Y</t>
        </is>
      </c>
      <c r="M64" s="13" t="inlineStr">
        <is>
          <t>Migrated from FY27 Revenue Tracker v2 - confirm type/sign</t>
        </is>
      </c>
    </row>
    <row r="65" ht="15" customHeight="1">
      <c r="A65" s="47" t="n">
        <v>46234</v>
      </c>
      <c r="B65" s="13" t="inlineStr">
        <is>
          <t>26061609</t>
        </is>
      </c>
      <c r="C65" s="14">
        <f>IF(B65="","",IF(COUNTIF(lst_Jobs,B65&amp;"")&gt;0,"OK","CHECK"))</f>
        <v/>
      </c>
      <c r="D65" s="13" t="inlineStr">
        <is>
          <t>APA</t>
        </is>
      </c>
      <c r="E65" s="13" t="inlineStr">
        <is>
          <t>PRODUCTION</t>
        </is>
      </c>
      <c r="F65" s="13" t="inlineStr">
        <is>
          <t>APA Qtrly All Hands May 2027 Package - Tech  Event Mgmt (Revenue) INV-10521</t>
        </is>
      </c>
      <c r="G65" s="13" t="inlineStr">
        <is>
          <t>Deferral - invoiced in advance</t>
        </is>
      </c>
      <c r="H65" s="13" t="n"/>
      <c r="I65" s="15" t="n">
        <v>-690</v>
      </c>
      <c r="J65" s="13" t="inlineStr">
        <is>
          <t>11300</t>
        </is>
      </c>
      <c r="K65" s="13" t="n"/>
      <c r="L65" s="13" t="inlineStr">
        <is>
          <t>Y</t>
        </is>
      </c>
      <c r="M65" s="13" t="inlineStr">
        <is>
          <t>Migrated from FY27 Revenue Tracker v2 - confirm type/sign</t>
        </is>
      </c>
    </row>
    <row r="66" ht="15" customHeight="1">
      <c r="A66" s="47" t="n">
        <v>46234</v>
      </c>
      <c r="B66" s="13" t="inlineStr">
        <is>
          <t>26061609</t>
        </is>
      </c>
      <c r="C66" s="14">
        <f>IF(B66="","",IF(COUNTIF(lst_Jobs,B66&amp;"")&gt;0,"OK","CHECK"))</f>
        <v/>
      </c>
      <c r="D66" s="13" t="inlineStr">
        <is>
          <t>APA</t>
        </is>
      </c>
      <c r="E66" s="13" t="inlineStr">
        <is>
          <t>PRODUCTION</t>
        </is>
      </c>
      <c r="F66" s="13" t="inlineStr">
        <is>
          <t>APA Qtrly All Hands May 2027 Package - Travel (Revenue) INV-10521</t>
        </is>
      </c>
      <c r="G66" s="13" t="inlineStr">
        <is>
          <t>Deferral - invoiced in advance</t>
        </is>
      </c>
      <c r="H66" s="13" t="n"/>
      <c r="I66" s="15" t="n">
        <v>-1200</v>
      </c>
      <c r="J66" s="13" t="inlineStr">
        <is>
          <t>11300</t>
        </is>
      </c>
      <c r="K66" s="13" t="n"/>
      <c r="L66" s="13" t="inlineStr">
        <is>
          <t>Y</t>
        </is>
      </c>
      <c r="M66" s="13" t="inlineStr">
        <is>
          <t>Migrated from FY27 Revenue Tracker v2 - confirm type/sign</t>
        </is>
      </c>
    </row>
    <row r="67" ht="15" customHeight="1">
      <c r="A67" s="47" t="n">
        <v>46234</v>
      </c>
      <c r="B67" s="13" t="inlineStr">
        <is>
          <t>2603104</t>
        </is>
      </c>
      <c r="C67" s="14">
        <f>IF(B67="","",IF(COUNTIF(lst_Jobs,B67&amp;"")&gt;0,"OK","CHECK"))</f>
        <v/>
      </c>
      <c r="D67" s="13" t="inlineStr">
        <is>
          <t>Cochlear</t>
        </is>
      </c>
      <c r="E67" s="13" t="inlineStr">
        <is>
          <t>PRODUCTION</t>
        </is>
      </c>
      <c r="F67" s="13" t="inlineStr">
        <is>
          <t>Cochlear FY26 Results 18.8.26 [PRD] pre-prod work</t>
        </is>
      </c>
      <c r="G67" s="13" t="inlineStr">
        <is>
          <t>Accrual - unbilled work</t>
        </is>
      </c>
      <c r="H67" s="13" t="n"/>
      <c r="I67" s="15" t="n">
        <v>172.5</v>
      </c>
      <c r="J67" s="13" t="inlineStr">
        <is>
          <t>11300</t>
        </is>
      </c>
      <c r="K67" s="13" t="n"/>
      <c r="L67" s="13" t="inlineStr">
        <is>
          <t>Y</t>
        </is>
      </c>
      <c r="M67" s="13" t="inlineStr">
        <is>
          <t>Migrated from FY27 Revenue Tracker v2 - confirm type/sign</t>
        </is>
      </c>
    </row>
    <row r="68" ht="15" customHeight="1">
      <c r="A68" s="47" t="n">
        <v>46234</v>
      </c>
      <c r="B68" s="13" t="inlineStr">
        <is>
          <t>2512804</t>
        </is>
      </c>
      <c r="C68" s="14">
        <f>IF(B68="","",IF(COUNTIF(lst_Jobs,B68&amp;"")&gt;0,"OK","CHECK"))</f>
        <v/>
      </c>
      <c r="D68" s="13" t="inlineStr">
        <is>
          <t>RSNSW</t>
        </is>
      </c>
      <c r="E68" s="13" t="inlineStr">
        <is>
          <t>PRODUCTION</t>
        </is>
      </c>
      <c r="F68" s="13" t="inlineStr">
        <is>
          <t>RSNSW Ordinary General Meeting 5.8.26 [PRD] pre-prod work</t>
        </is>
      </c>
      <c r="G68" s="13" t="inlineStr">
        <is>
          <t>Accrual - unbilled work</t>
        </is>
      </c>
      <c r="H68" s="13" t="n"/>
      <c r="I68" s="15" t="n">
        <v>115</v>
      </c>
      <c r="J68" s="13" t="inlineStr">
        <is>
          <t>11300</t>
        </is>
      </c>
      <c r="K68" s="13" t="n"/>
      <c r="L68" s="13" t="inlineStr">
        <is>
          <t>Y</t>
        </is>
      </c>
      <c r="M68" s="13" t="inlineStr">
        <is>
          <t>Migrated from FY27 Revenue Tracker v2 - confirm type/sign</t>
        </is>
      </c>
    </row>
    <row r="69" ht="15" customHeight="1">
      <c r="A69" s="47" t="n">
        <v>46234</v>
      </c>
      <c r="B69" s="13" t="inlineStr">
        <is>
          <t>26061108</t>
        </is>
      </c>
      <c r="C69" s="14">
        <f>IF(B69="","",IF(COUNTIF(lst_Jobs,B69&amp;"")&gt;0,"OK","CHECK"))</f>
        <v/>
      </c>
      <c r="D69" s="13" t="inlineStr">
        <is>
          <t>APA</t>
        </is>
      </c>
      <c r="E69" s="13" t="inlineStr">
        <is>
          <t>PRODUCTION</t>
        </is>
      </c>
      <c r="F69" s="13" t="inlineStr">
        <is>
          <t>APA - Qtly All Hands FYR26 - 20.8.26 [PRD] pre-prod work</t>
        </is>
      </c>
      <c r="G69" s="13" t="inlineStr">
        <is>
          <t>Accrual - unbilled work</t>
        </is>
      </c>
      <c r="H69" s="13" t="n"/>
      <c r="I69" s="15" t="n">
        <v>172.5</v>
      </c>
      <c r="J69" s="13" t="inlineStr">
        <is>
          <t>11300</t>
        </is>
      </c>
      <c r="K69" s="13" t="n"/>
      <c r="L69" s="13" t="inlineStr">
        <is>
          <t>Y</t>
        </is>
      </c>
      <c r="M69" s="13" t="inlineStr">
        <is>
          <t>Migrated from FY27 Revenue Tracker v2 - confirm type/sign</t>
        </is>
      </c>
    </row>
    <row r="70" ht="15" customHeight="1">
      <c r="A70" s="47" t="n">
        <v>46265</v>
      </c>
      <c r="B70" s="13" t="inlineStr">
        <is>
          <t>26062503</t>
        </is>
      </c>
      <c r="C70" s="14">
        <f>IF(B70="","",IF(COUNTIF(lst_Jobs,B70&amp;"")&gt;0,"OK","CHECK"))</f>
        <v/>
      </c>
      <c r="D70" s="13" t="inlineStr">
        <is>
          <t>Aware Super</t>
        </is>
      </c>
      <c r="E70" s="13" t="n"/>
      <c r="F70" s="13" t="inlineStr">
        <is>
          <t>Aware Super 24.16 UC Engine Replacement [INT] Labour Revenue INV-10619 | Pre work</t>
        </is>
      </c>
      <c r="G70" s="13" t="inlineStr">
        <is>
          <t>Accrual - unbilled work</t>
        </is>
      </c>
      <c r="H70" s="13" t="n"/>
      <c r="I70" s="15" t="n">
        <v>671</v>
      </c>
      <c r="J70" s="13" t="inlineStr">
        <is>
          <t>11300</t>
        </is>
      </c>
      <c r="K70" s="13" t="n"/>
      <c r="L70" s="13" t="inlineStr">
        <is>
          <t>Y</t>
        </is>
      </c>
      <c r="M70" s="13" t="inlineStr">
        <is>
          <t>Migrated from FY27 Revenue Tracker v2 - confirm type/sign</t>
        </is>
      </c>
    </row>
    <row r="71" ht="15" customHeight="1">
      <c r="A71" s="47" t="n">
        <v>46265</v>
      </c>
      <c r="B71" s="13" t="inlineStr">
        <is>
          <t>26062901</t>
        </is>
      </c>
      <c r="C71" s="14">
        <f>IF(B71="","",IF(COUNTIF(lst_Jobs,B71&amp;"")&gt;0,"OK","CHECK"))</f>
        <v/>
      </c>
      <c r="D71" s="13" t="inlineStr">
        <is>
          <t>Aware Super</t>
        </is>
      </c>
      <c r="E71" s="13" t="n"/>
      <c r="F71" s="13" t="inlineStr">
        <is>
          <t>Aware | SYD 28.06 Services [INT] Labour Revenue Pre work</t>
        </is>
      </c>
      <c r="G71" s="13" t="inlineStr">
        <is>
          <t>Deferral - invoiced in advance</t>
        </is>
      </c>
      <c r="H71" s="13" t="n"/>
      <c r="I71" s="15" t="n">
        <v>-1450</v>
      </c>
      <c r="J71" s="13" t="inlineStr">
        <is>
          <t>11300</t>
        </is>
      </c>
      <c r="K71" s="13" t="n"/>
      <c r="L71" s="13" t="inlineStr">
        <is>
          <t>Y</t>
        </is>
      </c>
      <c r="M71" s="13" t="inlineStr">
        <is>
          <t>Migrated from FY27 Revenue Tracker v2 - confirm type/sign</t>
        </is>
      </c>
    </row>
    <row r="72" ht="15" customHeight="1">
      <c r="A72" s="47" t="n"/>
      <c r="B72" s="13" t="inlineStr">
        <is>
          <t>2604704</t>
        </is>
      </c>
      <c r="C72" s="14">
        <f>IF(B72="","",IF(COUNTIF(lst_Jobs,B72&amp;"")&gt;0,"OK","CHECK"))</f>
        <v/>
      </c>
      <c r="D72" s="13" t="inlineStr">
        <is>
          <t>Aware Super</t>
        </is>
      </c>
      <c r="E72" s="13" t="n"/>
      <c r="F72" s="13" t="inlineStr">
        <is>
          <t>Aware Super Seminar Room Audio Upgrade [INT] Labour Revenue INV-10596 | Pre work</t>
        </is>
      </c>
      <c r="G72" s="13" t="inlineStr">
        <is>
          <t>Accrual - unbilled work</t>
        </is>
      </c>
      <c r="H72" s="13" t="n"/>
      <c r="I72" s="15" t="n"/>
      <c r="J72" s="13" t="inlineStr">
        <is>
          <t>11300</t>
        </is>
      </c>
      <c r="K72" s="13" t="n"/>
      <c r="L72" s="13" t="inlineStr">
        <is>
          <t>Y</t>
        </is>
      </c>
      <c r="M72" s="13" t="inlineStr">
        <is>
          <t>Migrated from FY27 Revenue Tracker v2 - confirm type/sign</t>
        </is>
      </c>
    </row>
    <row r="73" ht="15" customHeight="1">
      <c r="A73" s="47" t="n">
        <v>46265</v>
      </c>
      <c r="B73" s="13" t="inlineStr">
        <is>
          <t>26061602</t>
        </is>
      </c>
      <c r="C73" s="14">
        <f>IF(B73="","",IF(COUNTIF(lst_Jobs,B73&amp;"")&gt;0,"OK","CHECK"))</f>
        <v/>
      </c>
      <c r="D73" s="13" t="inlineStr">
        <is>
          <t>ASX</t>
        </is>
      </c>
      <c r="E73" s="13" t="n"/>
      <c r="F73" s="13" t="inlineStr">
        <is>
          <t>ASX CEO Connect (Extended Results) 1.9.26 [PRD] Pre-prod labour</t>
        </is>
      </c>
      <c r="G73" s="13" t="inlineStr">
        <is>
          <t>Accrual - unbilled work</t>
        </is>
      </c>
      <c r="H73" s="13" t="n"/>
      <c r="I73" s="15" t="n">
        <v>1852.5</v>
      </c>
      <c r="J73" s="13" t="inlineStr">
        <is>
          <t>11300</t>
        </is>
      </c>
      <c r="K73" s="13" t="n"/>
      <c r="L73" s="13" t="inlineStr">
        <is>
          <t>Y</t>
        </is>
      </c>
      <c r="M73" s="13" t="inlineStr">
        <is>
          <t>Migrated from FY27 Revenue Tracker v2 - confirm type/sign</t>
        </is>
      </c>
    </row>
    <row r="74" ht="15" customHeight="1">
      <c r="A74" s="47" t="n">
        <v>46265</v>
      </c>
      <c r="B74" s="13" t="inlineStr">
        <is>
          <t>26071701</t>
        </is>
      </c>
      <c r="C74" s="14">
        <f>IF(B74="","",IF(COUNTIF(lst_Jobs,B74&amp;"")&gt;0,"OK","CHECK"))</f>
        <v/>
      </c>
      <c r="D74" s="13" t="inlineStr">
        <is>
          <t>ASX</t>
        </is>
      </c>
      <c r="E74" s="13" t="n"/>
      <c r="F74" s="13" t="inlineStr">
        <is>
          <t>ASX Live - 9.9.26 [PRD] Pre-prod labour</t>
        </is>
      </c>
      <c r="G74" s="13" t="inlineStr">
        <is>
          <t>Accrual - unbilled work</t>
        </is>
      </c>
      <c r="H74" s="13" t="n"/>
      <c r="I74" s="15" t="n">
        <v>1885</v>
      </c>
      <c r="J74" s="13" t="inlineStr">
        <is>
          <t>11300</t>
        </is>
      </c>
      <c r="K74" s="13" t="n"/>
      <c r="L74" s="13" t="inlineStr">
        <is>
          <t>Y</t>
        </is>
      </c>
      <c r="M74" s="13" t="inlineStr">
        <is>
          <t>Migrated from FY27 Revenue Tracker v2 - confirm type/sign</t>
        </is>
      </c>
    </row>
    <row r="75" ht="15" customHeight="1">
      <c r="A75" s="47" t="n">
        <v>46265</v>
      </c>
      <c r="B75" s="13" t="inlineStr">
        <is>
          <t>26072102</t>
        </is>
      </c>
      <c r="C75" s="14">
        <f>IF(B75="","",IF(COUNTIF(lst_Jobs,B75&amp;"")&gt;0,"OK","CHECK"))</f>
        <v/>
      </c>
      <c r="D75" s="13" t="inlineStr">
        <is>
          <t>Ventia</t>
        </is>
      </c>
      <c r="E75" s="13" t="n"/>
      <c r="F75" s="13" t="inlineStr">
        <is>
          <t>Ventia - RUOK? Day - 10.09.2026 [PRD] pre-prd labour</t>
        </is>
      </c>
      <c r="G75" s="13" t="inlineStr">
        <is>
          <t>Accrual - unbilled work</t>
        </is>
      </c>
      <c r="H75" s="13" t="n"/>
      <c r="I75" s="15" t="n">
        <v>585</v>
      </c>
      <c r="J75" s="13" t="inlineStr">
        <is>
          <t>11300</t>
        </is>
      </c>
      <c r="K75" s="13" t="n"/>
      <c r="L75" s="13" t="inlineStr">
        <is>
          <t>Y</t>
        </is>
      </c>
      <c r="M75" s="13" t="inlineStr">
        <is>
          <t>Migrated from FY27 Revenue Tracker v2 - confirm type/sign</t>
        </is>
      </c>
    </row>
    <row r="76" ht="15" customHeight="1">
      <c r="A76" s="47" t="n">
        <v>46265</v>
      </c>
      <c r="B76" s="13" t="inlineStr">
        <is>
          <t>26082502</t>
        </is>
      </c>
      <c r="C76" s="14">
        <f>IF(B76="","",IF(COUNTIF(lst_Jobs,B76&amp;"")&gt;0,"OK","CHECK"))</f>
        <v/>
      </c>
      <c r="D76" s="13" t="inlineStr">
        <is>
          <t>ICC</t>
        </is>
      </c>
      <c r="E76" s="13" t="n"/>
      <c r="F76" s="13" t="inlineStr">
        <is>
          <t>ICC - Presenter &amp; Speaker Preparation - September 2026 [PRD] pre-prod labour</t>
        </is>
      </c>
      <c r="G76" s="13" t="inlineStr">
        <is>
          <t>Accrual - unbilled work</t>
        </is>
      </c>
      <c r="H76" s="13" t="n"/>
      <c r="I76" s="15" t="n">
        <v>292.5</v>
      </c>
      <c r="J76" s="13" t="inlineStr">
        <is>
          <t>11300</t>
        </is>
      </c>
      <c r="K76" s="13" t="n"/>
      <c r="L76" s="13" t="inlineStr">
        <is>
          <t>Y</t>
        </is>
      </c>
      <c r="M76" s="13" t="inlineStr">
        <is>
          <t>Migrated from FY27 Revenue Tracker v2 - confirm type/sign</t>
        </is>
      </c>
    </row>
    <row r="77" ht="15" customHeight="1">
      <c r="A77" s="47" t="n">
        <v>46265</v>
      </c>
      <c r="B77" s="13" t="inlineStr">
        <is>
          <t>26032302</t>
        </is>
      </c>
      <c r="C77" s="14">
        <f>IF(B77="","",IF(COUNTIF(lst_Jobs,B77&amp;"")&gt;0,"OK","CHECK"))</f>
        <v/>
      </c>
      <c r="D77" s="13" t="inlineStr">
        <is>
          <t>RSNSW</t>
        </is>
      </c>
      <c r="E77" s="13" t="n"/>
      <c r="F77" s="13" t="inlineStr">
        <is>
          <t>RSNSW - OGM - 2.9.2026 [PRD] pre-prod labour</t>
        </is>
      </c>
      <c r="G77" s="13" t="inlineStr">
        <is>
          <t>Accrual - unbilled work</t>
        </is>
      </c>
      <c r="H77" s="13" t="n"/>
      <c r="I77" s="15" t="n">
        <v>260</v>
      </c>
      <c r="J77" s="13" t="inlineStr">
        <is>
          <t>11300</t>
        </is>
      </c>
      <c r="K77" s="13" t="n"/>
      <c r="L77" s="13" t="inlineStr">
        <is>
          <t>Y</t>
        </is>
      </c>
      <c r="M77" s="13" t="inlineStr">
        <is>
          <t>Migrated from FY27 Revenue Tracker v2 - confirm type/sign</t>
        </is>
      </c>
    </row>
    <row r="78" ht="15" customHeight="1">
      <c r="A78" s="47" t="n">
        <v>46265</v>
      </c>
      <c r="B78" s="13" t="inlineStr">
        <is>
          <t>26061602V</t>
        </is>
      </c>
      <c r="C78" s="14">
        <f>IF(B78="","",IF(COUNTIF(lst_Jobs,B78&amp;"")&gt;0,"OK","CHECK"))</f>
        <v/>
      </c>
      <c r="D78" s="13" t="inlineStr">
        <is>
          <t>ASX</t>
        </is>
      </c>
      <c r="E78" s="13" t="n"/>
      <c r="F78" s="13" t="inlineStr">
        <is>
          <t>ASX CEO Connect (Extended Results) 1.9.26 [VID] pre-vid labour</t>
        </is>
      </c>
      <c r="G78" s="13" t="inlineStr">
        <is>
          <t>Accrual - unbilled work</t>
        </is>
      </c>
      <c r="H78" s="13" t="n"/>
      <c r="I78" s="15" t="n">
        <v>190</v>
      </c>
      <c r="J78" s="13" t="inlineStr">
        <is>
          <t>11300</t>
        </is>
      </c>
      <c r="K78" s="13" t="n"/>
      <c r="L78" s="13" t="inlineStr">
        <is>
          <t>Y</t>
        </is>
      </c>
      <c r="M78" s="13" t="inlineStr">
        <is>
          <t>Migrated from FY27 Revenue Tracker v2 - confirm type/sign</t>
        </is>
      </c>
    </row>
    <row r="79" ht="15" customHeight="1">
      <c r="A79" s="47" t="n">
        <v>46265</v>
      </c>
      <c r="B79" s="13" t="inlineStr">
        <is>
          <t>2591012C</t>
        </is>
      </c>
      <c r="C79" s="14">
        <f>IF(B79="","",IF(COUNTIF(lst_Jobs,B79&amp;"")&gt;0,"OK","CHECK"))</f>
        <v/>
      </c>
      <c r="D79" s="13" t="inlineStr">
        <is>
          <t>St Luke</t>
        </is>
      </c>
      <c r="E79" s="13" t="n"/>
      <c r="F79" s="13" t="inlineStr">
        <is>
          <t>St Luke Equipment Sale | DL to advise to invoice in SEPT26 | Indicative Revenue</t>
        </is>
      </c>
      <c r="G79" s="13" t="inlineStr">
        <is>
          <t>Deferral - invoiced in advance</t>
        </is>
      </c>
      <c r="H79" s="13" t="n"/>
      <c r="I79" s="15" t="n">
        <v>-4227.27</v>
      </c>
      <c r="J79" s="13" t="inlineStr">
        <is>
          <t>11300</t>
        </is>
      </c>
      <c r="K79" s="13" t="n"/>
      <c r="L79" s="13" t="inlineStr">
        <is>
          <t>Y</t>
        </is>
      </c>
      <c r="M79" s="13" t="inlineStr">
        <is>
          <t>Migrated from FY27 Revenue Tracker v2 - confirm type/sign</t>
        </is>
      </c>
    </row>
    <row r="80" ht="15" customHeight="1">
      <c r="A80" s="47" t="n">
        <v>46265</v>
      </c>
      <c r="B80" s="13" t="inlineStr">
        <is>
          <t>26061108</t>
        </is>
      </c>
      <c r="C80" s="14">
        <f>IF(B80="","",IF(COUNTIF(lst_Jobs,B80&amp;"")&gt;0,"OK","CHECK"))</f>
        <v/>
      </c>
      <c r="D80" s="13" t="inlineStr">
        <is>
          <t>APA</t>
        </is>
      </c>
      <c r="E80" s="13" t="inlineStr">
        <is>
          <t>PRODUCTION</t>
        </is>
      </c>
      <c r="F80" s="13" t="inlineStr">
        <is>
          <t>APA FYR All Hands August 2026 Package - Prd Equipment Hire (Revenue) INV-10521</t>
        </is>
      </c>
      <c r="G80" s="13" t="inlineStr">
        <is>
          <t>Accrual - unbilled work</t>
        </is>
      </c>
      <c r="H80" s="13" t="n"/>
      <c r="I80" s="15" t="n">
        <v>5413.6</v>
      </c>
      <c r="J80" s="13" t="inlineStr">
        <is>
          <t>11300</t>
        </is>
      </c>
      <c r="K80" s="13" t="n"/>
      <c r="L80" s="13" t="inlineStr">
        <is>
          <t>Y</t>
        </is>
      </c>
      <c r="M80" s="13" t="inlineStr">
        <is>
          <t>Migrated from FY27 Revenue Tracker v2 - confirm type/sign</t>
        </is>
      </c>
    </row>
    <row r="81" ht="15" customHeight="1">
      <c r="A81" s="47" t="n">
        <v>46265</v>
      </c>
      <c r="B81" s="13" t="inlineStr">
        <is>
          <t>26061108V</t>
        </is>
      </c>
      <c r="C81" s="14">
        <f>IF(B81="","",IF(COUNTIF(lst_Jobs,B81&amp;"")&gt;0,"OK","CHECK"))</f>
        <v/>
      </c>
      <c r="D81" s="13" t="inlineStr">
        <is>
          <t>APA</t>
        </is>
      </c>
      <c r="E81" s="13" t="inlineStr">
        <is>
          <t>VIDEO</t>
        </is>
      </c>
      <c r="F81" s="13" t="inlineStr">
        <is>
          <t>APA FYR All Hands August 2026 Package - Vid Equipment Hire (Revenue) INV-10521</t>
        </is>
      </c>
      <c r="G81" s="13" t="inlineStr">
        <is>
          <t>Accrual - unbilled work</t>
        </is>
      </c>
      <c r="H81" s="13" t="n"/>
      <c r="I81" s="15" t="n">
        <v>592</v>
      </c>
      <c r="J81" s="13" t="inlineStr">
        <is>
          <t>11300</t>
        </is>
      </c>
      <c r="K81" s="13" t="n"/>
      <c r="L81" s="13" t="inlineStr">
        <is>
          <t>Y</t>
        </is>
      </c>
      <c r="M81" s="13" t="inlineStr">
        <is>
          <t>Migrated from FY27 Revenue Tracker v2 - confirm type/sign</t>
        </is>
      </c>
    </row>
    <row r="82" ht="15" customHeight="1">
      <c r="A82" s="47" t="n">
        <v>46265</v>
      </c>
      <c r="B82" s="13" t="inlineStr">
        <is>
          <t>26061108</t>
        </is>
      </c>
      <c r="C82" s="14">
        <f>IF(B82="","",IF(COUNTIF(lst_Jobs,B82&amp;"")&gt;0,"OK","CHECK"))</f>
        <v/>
      </c>
      <c r="D82" s="13" t="inlineStr">
        <is>
          <t>APA</t>
        </is>
      </c>
      <c r="E82" s="13" t="inlineStr">
        <is>
          <t>PRODUCTION</t>
        </is>
      </c>
      <c r="F82" s="13" t="inlineStr">
        <is>
          <t>APA FYR All Hands August 2026 Package - Prd Labour (Revenue) INV-10521</t>
        </is>
      </c>
      <c r="G82" s="13" t="inlineStr">
        <is>
          <t>Accrual - unbilled work</t>
        </is>
      </c>
      <c r="H82" s="13" t="n"/>
      <c r="I82" s="15" t="n">
        <v>4520</v>
      </c>
      <c r="J82" s="13" t="inlineStr">
        <is>
          <t>11300</t>
        </is>
      </c>
      <c r="K82" s="13" t="n"/>
      <c r="L82" s="13" t="inlineStr">
        <is>
          <t>Y</t>
        </is>
      </c>
      <c r="M82" s="13" t="inlineStr">
        <is>
          <t>Migrated from FY27 Revenue Tracker v2 - confirm type/sign</t>
        </is>
      </c>
    </row>
    <row r="83" ht="15" customHeight="1">
      <c r="A83" s="47" t="n">
        <v>46265</v>
      </c>
      <c r="B83" s="13" t="inlineStr">
        <is>
          <t>26061108V</t>
        </is>
      </c>
      <c r="C83" s="14">
        <f>IF(B83="","",IF(COUNTIF(lst_Jobs,B83&amp;"")&gt;0,"OK","CHECK"))</f>
        <v/>
      </c>
      <c r="D83" s="13" t="inlineStr">
        <is>
          <t>APA</t>
        </is>
      </c>
      <c r="E83" s="13" t="inlineStr">
        <is>
          <t>VIDEO</t>
        </is>
      </c>
      <c r="F83" s="13" t="inlineStr">
        <is>
          <t>APA FYR All Hands August 2026 Package - Vid Labour (Revenue) INV-10521</t>
        </is>
      </c>
      <c r="G83" s="13" t="inlineStr">
        <is>
          <t>Accrual - unbilled work</t>
        </is>
      </c>
      <c r="H83" s="13" t="n"/>
      <c r="I83" s="15" t="n">
        <v>485</v>
      </c>
      <c r="J83" s="13" t="inlineStr">
        <is>
          <t>11300</t>
        </is>
      </c>
      <c r="K83" s="13" t="n"/>
      <c r="L83" s="13" t="inlineStr">
        <is>
          <t>Y</t>
        </is>
      </c>
      <c r="M83" s="13" t="inlineStr">
        <is>
          <t>Migrated from FY27 Revenue Tracker v2 - confirm type/sign</t>
        </is>
      </c>
    </row>
    <row r="84" ht="15" customHeight="1">
      <c r="A84" s="47" t="n">
        <v>46265</v>
      </c>
      <c r="B84" s="13" t="inlineStr">
        <is>
          <t>26061108</t>
        </is>
      </c>
      <c r="C84" s="14">
        <f>IF(B84="","",IF(COUNTIF(lst_Jobs,B84&amp;"")&gt;0,"OK","CHECK"))</f>
        <v/>
      </c>
      <c r="D84" s="13" t="inlineStr">
        <is>
          <t>APA</t>
        </is>
      </c>
      <c r="E84" s="13" t="inlineStr">
        <is>
          <t>PRODUCTION</t>
        </is>
      </c>
      <c r="F84" s="13" t="inlineStr">
        <is>
          <t>APA FYR All Hands August 2026 Package - Conf Call (Revenue) INV-10521</t>
        </is>
      </c>
      <c r="G84" s="13" t="inlineStr">
        <is>
          <t>Accrual - unbilled work</t>
        </is>
      </c>
      <c r="H84" s="13" t="n"/>
      <c r="I84" s="15" t="n">
        <v>600</v>
      </c>
      <c r="J84" s="13" t="inlineStr">
        <is>
          <t>11300</t>
        </is>
      </c>
      <c r="K84" s="13" t="n"/>
      <c r="L84" s="13" t="inlineStr">
        <is>
          <t>Y</t>
        </is>
      </c>
      <c r="M84" s="13" t="inlineStr">
        <is>
          <t>Migrated from FY27 Revenue Tracker v2 - confirm type/sign</t>
        </is>
      </c>
    </row>
    <row r="85" ht="15" customHeight="1">
      <c r="A85" s="47" t="n">
        <v>46265</v>
      </c>
      <c r="B85" s="13" t="inlineStr">
        <is>
          <t>26061108</t>
        </is>
      </c>
      <c r="C85" s="14">
        <f>IF(B85="","",IF(COUNTIF(lst_Jobs,B85&amp;"")&gt;0,"OK","CHECK"))</f>
        <v/>
      </c>
      <c r="D85" s="13" t="inlineStr">
        <is>
          <t>APA</t>
        </is>
      </c>
      <c r="E85" s="13" t="inlineStr">
        <is>
          <t>PRODUCTION</t>
        </is>
      </c>
      <c r="F85" s="13" t="inlineStr">
        <is>
          <t>APA FYR All Hands August 2026 Package - Transport (Revenue) INV-10521</t>
        </is>
      </c>
      <c r="G85" s="13" t="inlineStr">
        <is>
          <t>Accrual - unbilled work</t>
        </is>
      </c>
      <c r="H85" s="13" t="n"/>
      <c r="I85" s="15" t="n">
        <v>300</v>
      </c>
      <c r="J85" s="13" t="inlineStr">
        <is>
          <t>11300</t>
        </is>
      </c>
      <c r="K85" s="13" t="n"/>
      <c r="L85" s="13" t="inlineStr">
        <is>
          <t>Y</t>
        </is>
      </c>
      <c r="M85" s="13" t="inlineStr">
        <is>
          <t>Migrated from FY27 Revenue Tracker v2 - confirm type/sign</t>
        </is>
      </c>
    </row>
    <row r="86" ht="15" customHeight="1">
      <c r="A86" s="47" t="n">
        <v>46265</v>
      </c>
      <c r="B86" s="13" t="inlineStr">
        <is>
          <t>26061108</t>
        </is>
      </c>
      <c r="C86" s="14">
        <f>IF(B86="","",IF(COUNTIF(lst_Jobs,B86&amp;"")&gt;0,"OK","CHECK"))</f>
        <v/>
      </c>
      <c r="D86" s="13" t="inlineStr">
        <is>
          <t>APA</t>
        </is>
      </c>
      <c r="E86" s="13" t="inlineStr">
        <is>
          <t>PRODUCTION</t>
        </is>
      </c>
      <c r="F86" s="13" t="inlineStr">
        <is>
          <t>APA FYR All Hands August 2026 Package - Tech  Event Mgmt (Revenue) INV-10521</t>
        </is>
      </c>
      <c r="G86" s="13" t="inlineStr">
        <is>
          <t>Accrual - unbilled work</t>
        </is>
      </c>
      <c r="H86" s="13" t="n"/>
      <c r="I86" s="15" t="n">
        <v>690</v>
      </c>
      <c r="J86" s="13" t="inlineStr">
        <is>
          <t>11300</t>
        </is>
      </c>
      <c r="K86" s="13" t="n"/>
      <c r="L86" s="13" t="inlineStr">
        <is>
          <t>Y</t>
        </is>
      </c>
      <c r="M86" s="13" t="inlineStr">
        <is>
          <t>Migrated from FY27 Revenue Tracker v2 - confirm type/sign</t>
        </is>
      </c>
    </row>
    <row r="87" ht="15" customHeight="1">
      <c r="A87" s="47" t="n">
        <v>46265</v>
      </c>
      <c r="B87" s="13" t="inlineStr">
        <is>
          <t>2605402</t>
        </is>
      </c>
      <c r="C87" s="14">
        <f>IF(B87="","",IF(COUNTIF(lst_Jobs,B87&amp;"")&gt;0,"OK","CHECK"))</f>
        <v/>
      </c>
      <c r="D87" s="13" t="inlineStr">
        <is>
          <t>AGL</t>
        </is>
      </c>
      <c r="E87" s="13" t="inlineStr">
        <is>
          <t>PRODUCTION</t>
        </is>
      </c>
      <c r="F87" s="13" t="inlineStr">
        <is>
          <t>AGL FYR - Employee Town Hall [PRD] pre-prod work</t>
        </is>
      </c>
      <c r="G87" s="13" t="inlineStr">
        <is>
          <t>Deferral - invoiced in advance</t>
        </is>
      </c>
      <c r="H87" s="13" t="n"/>
      <c r="I87" s="15" t="n">
        <v>-1322.5</v>
      </c>
      <c r="J87" s="13" t="inlineStr">
        <is>
          <t>11300</t>
        </is>
      </c>
      <c r="K87" s="13" t="n"/>
      <c r="L87" s="13" t="inlineStr">
        <is>
          <t>Y</t>
        </is>
      </c>
      <c r="M87" s="13" t="inlineStr">
        <is>
          <t>Migrated from FY27 Revenue Tracker v2 - confirm type/sign</t>
        </is>
      </c>
    </row>
    <row r="88" ht="15" customHeight="1">
      <c r="A88" s="47" t="n">
        <v>46265</v>
      </c>
      <c r="B88" s="13" t="inlineStr">
        <is>
          <t>26061105</t>
        </is>
      </c>
      <c r="C88" s="14">
        <f>IF(B88="","",IF(COUNTIF(lst_Jobs,B88&amp;"")&gt;0,"OK","CHECK"))</f>
        <v/>
      </c>
      <c r="D88" s="13" t="inlineStr">
        <is>
          <t>CBA</t>
        </is>
      </c>
      <c r="E88" s="13" t="inlineStr">
        <is>
          <t>PRODUCTION</t>
        </is>
      </c>
      <c r="F88" s="13" t="inlineStr">
        <is>
          <t>CBA - FYR 2026 - 12.8.26 [PRD] pre-prod work</t>
        </is>
      </c>
      <c r="G88" s="13" t="inlineStr">
        <is>
          <t>Deferral - invoiced in advance</t>
        </is>
      </c>
      <c r="H88" s="13" t="n"/>
      <c r="I88" s="15" t="n">
        <v>-417.5</v>
      </c>
      <c r="J88" s="13" t="inlineStr">
        <is>
          <t>11300</t>
        </is>
      </c>
      <c r="K88" s="13" t="n"/>
      <c r="L88" s="13" t="inlineStr">
        <is>
          <t>Y</t>
        </is>
      </c>
      <c r="M88" s="13" t="inlineStr">
        <is>
          <t>Migrated from FY27 Revenue Tracker v2 - confirm type/sign</t>
        </is>
      </c>
    </row>
    <row r="89" ht="15" customHeight="1">
      <c r="A89" s="47" t="n">
        <v>46265</v>
      </c>
      <c r="B89" s="13" t="inlineStr">
        <is>
          <t>2606903</t>
        </is>
      </c>
      <c r="C89" s="14">
        <f>IF(B89="","",IF(COUNTIF(lst_Jobs,B89&amp;"")&gt;0,"OK","CHECK"))</f>
        <v/>
      </c>
      <c r="D89" s="13" t="inlineStr">
        <is>
          <t>Virgin</t>
        </is>
      </c>
      <c r="E89" s="13" t="inlineStr">
        <is>
          <t>PRODUCTION</t>
        </is>
      </c>
      <c r="F89" s="13" t="inlineStr">
        <is>
          <t>Virgin FY26 Results [PRD] pre-prod work</t>
        </is>
      </c>
      <c r="G89" s="13" t="inlineStr">
        <is>
          <t>Deferral - invoiced in advance</t>
        </is>
      </c>
      <c r="H89" s="13" t="n"/>
      <c r="I89" s="15" t="n">
        <v>-57.5</v>
      </c>
      <c r="J89" s="13" t="inlineStr">
        <is>
          <t>11300</t>
        </is>
      </c>
      <c r="K89" s="13" t="n"/>
      <c r="L89" s="13" t="inlineStr">
        <is>
          <t>Y</t>
        </is>
      </c>
      <c r="M89" s="13" t="inlineStr">
        <is>
          <t>Migrated from FY27 Revenue Tracker v2 - confirm type/sign</t>
        </is>
      </c>
    </row>
    <row r="90" ht="15" customHeight="1">
      <c r="A90" s="47" t="n">
        <v>46265</v>
      </c>
      <c r="B90" s="13" t="inlineStr">
        <is>
          <t>26061109</t>
        </is>
      </c>
      <c r="C90" s="14">
        <f>IF(B90="","",IF(COUNTIF(lst_Jobs,B90&amp;"")&gt;0,"OK","CHECK"))</f>
        <v/>
      </c>
      <c r="D90" s="13" t="inlineStr">
        <is>
          <t>Ventia</t>
        </is>
      </c>
      <c r="E90" s="13" t="inlineStr">
        <is>
          <t>PRODUCTION</t>
        </is>
      </c>
      <c r="F90" s="13" t="inlineStr">
        <is>
          <t>Ventia - FYR26 - 24.8.26 [PRD] pre-prod work</t>
        </is>
      </c>
      <c r="G90" s="13" t="inlineStr">
        <is>
          <t>Deferral - invoiced in advance</t>
        </is>
      </c>
      <c r="H90" s="13" t="n"/>
      <c r="I90" s="15" t="n">
        <v>-862.5</v>
      </c>
      <c r="J90" s="13" t="inlineStr">
        <is>
          <t>11300</t>
        </is>
      </c>
      <c r="K90" s="13" t="n"/>
      <c r="L90" s="13" t="inlineStr">
        <is>
          <t>Y</t>
        </is>
      </c>
      <c r="M90" s="13" t="inlineStr">
        <is>
          <t>Migrated from FY27 Revenue Tracker v2 - confirm type/sign</t>
        </is>
      </c>
    </row>
    <row r="91" ht="15" customHeight="1">
      <c r="A91" s="47" t="n">
        <v>46265</v>
      </c>
      <c r="B91" s="13" t="inlineStr">
        <is>
          <t>26061107</t>
        </is>
      </c>
      <c r="C91" s="14">
        <f>IF(B91="","",IF(COUNTIF(lst_Jobs,B91&amp;"")&gt;0,"OK","CHECK"))</f>
        <v/>
      </c>
      <c r="D91" s="13" t="inlineStr">
        <is>
          <t>Downer</t>
        </is>
      </c>
      <c r="E91" s="13" t="inlineStr">
        <is>
          <t>PRODUCTION</t>
        </is>
      </c>
      <c r="F91" s="13" t="inlineStr">
        <is>
          <t>Downer - FYR 2026 - 19.8.26 [PRD] pre-prod work</t>
        </is>
      </c>
      <c r="G91" s="13" t="inlineStr">
        <is>
          <t>Deferral - invoiced in advance</t>
        </is>
      </c>
      <c r="H91" s="13" t="n"/>
      <c r="I91" s="15" t="n">
        <v>-115</v>
      </c>
      <c r="J91" s="13" t="inlineStr">
        <is>
          <t>11300</t>
        </is>
      </c>
      <c r="K91" s="13" t="n"/>
      <c r="L91" s="13" t="inlineStr">
        <is>
          <t>Y</t>
        </is>
      </c>
      <c r="M91" s="13" t="inlineStr">
        <is>
          <t>Migrated from FY27 Revenue Tracker v2 - confirm type/sign</t>
        </is>
      </c>
    </row>
    <row r="92" ht="15" customHeight="1">
      <c r="A92" s="47" t="n">
        <v>46265</v>
      </c>
      <c r="B92" s="13" t="inlineStr">
        <is>
          <t>2603104</t>
        </is>
      </c>
      <c r="C92" s="14">
        <f>IF(B92="","",IF(COUNTIF(lst_Jobs,B92&amp;"")&gt;0,"OK","CHECK"))</f>
        <v/>
      </c>
      <c r="D92" s="13" t="inlineStr">
        <is>
          <t>Cochlear</t>
        </is>
      </c>
      <c r="E92" s="13" t="inlineStr">
        <is>
          <t>PRODUCTION</t>
        </is>
      </c>
      <c r="F92" s="13" t="inlineStr">
        <is>
          <t>Cochlear FY26 Results 18.8.26 [PRD] pre-prod work</t>
        </is>
      </c>
      <c r="G92" s="13" t="inlineStr">
        <is>
          <t>Deferral - invoiced in advance</t>
        </is>
      </c>
      <c r="H92" s="13" t="n"/>
      <c r="I92" s="15" t="n">
        <v>-172.5</v>
      </c>
      <c r="J92" s="13" t="inlineStr">
        <is>
          <t>11300</t>
        </is>
      </c>
      <c r="K92" s="13" t="n"/>
      <c r="L92" s="13" t="inlineStr">
        <is>
          <t>Y</t>
        </is>
      </c>
      <c r="M92" s="13" t="inlineStr">
        <is>
          <t>Migrated from FY27 Revenue Tracker v2 - confirm type/sign</t>
        </is>
      </c>
    </row>
    <row r="93" ht="15" customHeight="1">
      <c r="A93" s="47" t="n">
        <v>46265</v>
      </c>
      <c r="B93" s="13" t="inlineStr">
        <is>
          <t>2512804</t>
        </is>
      </c>
      <c r="C93" s="14">
        <f>IF(B93="","",IF(COUNTIF(lst_Jobs,B93&amp;"")&gt;0,"OK","CHECK"))</f>
        <v/>
      </c>
      <c r="D93" s="13" t="inlineStr">
        <is>
          <t>RSNSW</t>
        </is>
      </c>
      <c r="E93" s="13" t="inlineStr">
        <is>
          <t>PRODUCTION</t>
        </is>
      </c>
      <c r="F93" s="13" t="inlineStr">
        <is>
          <t>RSNSW Ordinary General Meeting 5.8.26 [PRD] pre-prod work</t>
        </is>
      </c>
      <c r="G93" s="13" t="inlineStr">
        <is>
          <t>Deferral - invoiced in advance</t>
        </is>
      </c>
      <c r="H93" s="13" t="n"/>
      <c r="I93" s="15" t="n">
        <v>-115</v>
      </c>
      <c r="J93" s="13" t="inlineStr">
        <is>
          <t>11300</t>
        </is>
      </c>
      <c r="K93" s="13" t="n"/>
      <c r="L93" s="13" t="inlineStr">
        <is>
          <t>Y</t>
        </is>
      </c>
      <c r="M93" s="13" t="inlineStr">
        <is>
          <t>Migrated from FY27 Revenue Tracker v2 - confirm type/sign</t>
        </is>
      </c>
    </row>
    <row r="94" ht="15" customHeight="1">
      <c r="A94" s="47" t="n">
        <v>46265</v>
      </c>
      <c r="B94" s="13" t="inlineStr">
        <is>
          <t>26061108</t>
        </is>
      </c>
      <c r="C94" s="14">
        <f>IF(B94="","",IF(COUNTIF(lst_Jobs,B94&amp;"")&gt;0,"OK","CHECK"))</f>
        <v/>
      </c>
      <c r="D94" s="13" t="inlineStr">
        <is>
          <t>APA</t>
        </is>
      </c>
      <c r="E94" s="13" t="inlineStr">
        <is>
          <t>PRODUCTION</t>
        </is>
      </c>
      <c r="F94" s="13" t="inlineStr">
        <is>
          <t>APA - Qtly All Hands FYR26 - 20.8.26 [PRD] pre-prod work</t>
        </is>
      </c>
      <c r="G94" s="13" t="inlineStr">
        <is>
          <t>Deferral - invoiced in advance</t>
        </is>
      </c>
      <c r="H94" s="13" t="n"/>
      <c r="I94" s="15" t="n">
        <v>-172.5</v>
      </c>
      <c r="J94" s="13" t="inlineStr">
        <is>
          <t>11300</t>
        </is>
      </c>
      <c r="K94" s="13" t="n"/>
      <c r="L94" s="13" t="inlineStr">
        <is>
          <t>Y</t>
        </is>
      </c>
      <c r="M94" s="13" t="inlineStr">
        <is>
          <t>Migrated from FY27 Revenue Tracker v2 - confirm type/sign</t>
        </is>
      </c>
    </row>
    <row r="95" ht="15" customHeight="1">
      <c r="A95" s="47" t="n">
        <v>46265</v>
      </c>
      <c r="B95" s="13" t="inlineStr">
        <is>
          <t>2606101</t>
        </is>
      </c>
      <c r="C95" s="14">
        <f>IF(B95="","",IF(COUNTIF(lst_Jobs,B95&amp;"")&gt;0,"OK","CHECK"))</f>
        <v/>
      </c>
      <c r="D95" s="13" t="inlineStr">
        <is>
          <t>APA</t>
        </is>
      </c>
      <c r="E95" s="13" t="inlineStr">
        <is>
          <t>INTEGRATION</t>
        </is>
      </c>
      <c r="F95" s="13" t="inlineStr">
        <is>
          <t>APA | Young Eptura Proxyclick Licence Renewal Mar27-Feb28 INV-10548 (Revenue)</t>
        </is>
      </c>
      <c r="G95" s="13" t="inlineStr">
        <is>
          <t>Accrual - unbilled work</t>
        </is>
      </c>
      <c r="H95" s="13" t="n"/>
      <c r="I95" s="15" t="n">
        <v>0</v>
      </c>
      <c r="J95" s="13" t="inlineStr">
        <is>
          <t>11300</t>
        </is>
      </c>
      <c r="K95" s="13" t="n"/>
      <c r="L95" s="13" t="inlineStr">
        <is>
          <t>Y</t>
        </is>
      </c>
      <c r="M95" s="13" t="inlineStr">
        <is>
          <t>Migrated from FY27 Revenue Tracker v2 - confirm type/sign</t>
        </is>
      </c>
    </row>
    <row r="96" ht="15" customHeight="1">
      <c r="A96" s="47" t="n">
        <v>46265</v>
      </c>
      <c r="B96" s="13" t="inlineStr">
        <is>
          <t>3028</t>
        </is>
      </c>
      <c r="C96" s="14">
        <f>IF(B96="","",IF(COUNTIF(lst_Jobs,B96&amp;"")&gt;0,"OK","CHECK"))</f>
        <v/>
      </c>
      <c r="D96" s="13" t="inlineStr">
        <is>
          <t>APA</t>
        </is>
      </c>
      <c r="E96" s="13" t="inlineStr">
        <is>
          <t>INTEGRATION</t>
        </is>
      </c>
      <c r="F96" s="13" t="inlineStr">
        <is>
          <t>APA Kidman Proxyclick Term 3 Jun26-Dec26 INV-10477 (Revenue)</t>
        </is>
      </c>
      <c r="G96" s="13" t="inlineStr">
        <is>
          <t>Accrual - unbilled work</t>
        </is>
      </c>
      <c r="H96" s="13" t="n"/>
      <c r="I96" s="15" t="n">
        <v>996.74</v>
      </c>
      <c r="J96" s="13" t="inlineStr">
        <is>
          <t>11300</t>
        </is>
      </c>
      <c r="K96" s="13" t="n"/>
      <c r="L96" s="13" t="inlineStr">
        <is>
          <t>Y</t>
        </is>
      </c>
      <c r="M96" s="13" t="inlineStr">
        <is>
          <t>Migrated from FY27 Revenue Tracker v2 - confirm type/sign</t>
        </is>
      </c>
    </row>
    <row r="97" ht="15" customHeight="1">
      <c r="A97" s="47" t="n">
        <v>46265</v>
      </c>
      <c r="B97" s="13" t="inlineStr">
        <is>
          <t>2855</t>
        </is>
      </c>
      <c r="C97" s="14">
        <f>IF(B97="","",IF(COUNTIF(lst_Jobs,B97&amp;"")&gt;0,"OK","CHECK"))</f>
        <v/>
      </c>
      <c r="D97" s="13" t="inlineStr">
        <is>
          <t>APA</t>
        </is>
      </c>
      <c r="E97" s="13" t="inlineStr">
        <is>
          <t>INTEGRATION</t>
        </is>
      </c>
      <c r="F97" s="13" t="inlineStr">
        <is>
          <t>APA Melbourne Proxyclick Jul26-Jun27 INV-10501(Revenue)</t>
        </is>
      </c>
      <c r="G97" s="13" t="inlineStr">
        <is>
          <t>Accrual - unbilled work</t>
        </is>
      </c>
      <c r="H97" s="13" t="n"/>
      <c r="I97" s="15" t="n">
        <v>1357.33</v>
      </c>
      <c r="J97" s="13" t="inlineStr">
        <is>
          <t>11300</t>
        </is>
      </c>
      <c r="K97" s="13" t="n"/>
      <c r="L97" s="13" t="inlineStr">
        <is>
          <t>Y</t>
        </is>
      </c>
      <c r="M97" s="13" t="inlineStr">
        <is>
          <t>Migrated from FY27 Revenue Tracker v2 - confirm type/sign</t>
        </is>
      </c>
    </row>
    <row r="98" ht="15" customHeight="1">
      <c r="A98" s="47" t="n">
        <v>46265</v>
      </c>
      <c r="B98" s="13" t="inlineStr">
        <is>
          <t>2857</t>
        </is>
      </c>
      <c r="C98" s="14">
        <f>IF(B98="","",IF(COUNTIF(lst_Jobs,B98&amp;"")&gt;0,"OK","CHECK"))</f>
        <v/>
      </c>
      <c r="D98" s="13" t="inlineStr">
        <is>
          <t>APA</t>
        </is>
      </c>
      <c r="E98" s="13" t="inlineStr">
        <is>
          <t>INTEGRATION</t>
        </is>
      </c>
      <c r="F98" s="13" t="inlineStr">
        <is>
          <t>APA Sydney Proxyclick Jul26-Jun27 INV-10502(Revenue)</t>
        </is>
      </c>
      <c r="G98" s="13" t="inlineStr">
        <is>
          <t>Accrual - unbilled work</t>
        </is>
      </c>
      <c r="H98" s="13" t="n"/>
      <c r="I98" s="15" t="n">
        <v>1357.33</v>
      </c>
      <c r="J98" s="13" t="inlineStr">
        <is>
          <t>11300</t>
        </is>
      </c>
      <c r="K98" s="13" t="n"/>
      <c r="L98" s="13" t="inlineStr">
        <is>
          <t>Y</t>
        </is>
      </c>
      <c r="M98" s="13" t="inlineStr">
        <is>
          <t>Migrated from FY27 Revenue Tracker v2 - confirm type/sign</t>
        </is>
      </c>
    </row>
    <row r="99" ht="15" customHeight="1">
      <c r="A99" s="47" t="n">
        <v>46265</v>
      </c>
      <c r="B99" s="13" t="inlineStr">
        <is>
          <t>2848</t>
        </is>
      </c>
      <c r="C99" s="14">
        <f>IF(B99="","",IF(COUNTIF(lst_Jobs,B99&amp;"")&gt;0,"OK","CHECK"))</f>
        <v/>
      </c>
      <c r="D99" s="13" t="inlineStr">
        <is>
          <t>APA</t>
        </is>
      </c>
      <c r="E99" s="13" t="inlineStr">
        <is>
          <t>INTEGRATION</t>
        </is>
      </c>
      <c r="F99" s="13" t="inlineStr">
        <is>
          <t>APA Adelaide Proxyclick INV-10514 Renewal Jul26-Jun27 (Revenue)</t>
        </is>
      </c>
      <c r="G99" s="13" t="inlineStr">
        <is>
          <t>Accrual - unbilled work</t>
        </is>
      </c>
      <c r="H99" s="13" t="n"/>
      <c r="I99" s="15" t="n">
        <v>618.08</v>
      </c>
      <c r="J99" s="13" t="inlineStr">
        <is>
          <t>11300</t>
        </is>
      </c>
      <c r="K99" s="13" t="n"/>
      <c r="L99" s="13" t="inlineStr">
        <is>
          <t>Y</t>
        </is>
      </c>
      <c r="M99" s="13" t="inlineStr">
        <is>
          <t>Migrated from FY27 Revenue Tracker v2 - confirm type/sign</t>
        </is>
      </c>
    </row>
    <row r="100" ht="15" customHeight="1">
      <c r="A100" s="47" t="n">
        <v>46265</v>
      </c>
      <c r="B100" s="13" t="inlineStr">
        <is>
          <t>2604704</t>
        </is>
      </c>
      <c r="C100" s="14">
        <f>IF(B100="","",IF(COUNTIF(lst_Jobs,B100&amp;"")&gt;0,"OK","CHECK"))</f>
        <v/>
      </c>
      <c r="D100" s="13" t="inlineStr">
        <is>
          <t>Aware Super</t>
        </is>
      </c>
      <c r="E100" s="13" t="inlineStr">
        <is>
          <t>INTEGRATION</t>
        </is>
      </c>
      <c r="F100" s="13" t="inlineStr">
        <is>
          <t>Aware Super Seminar Room Audio Upgrade [INT] Revenue</t>
        </is>
      </c>
      <c r="G100" s="13" t="inlineStr">
        <is>
          <t>Accrual - unbilled work</t>
        </is>
      </c>
      <c r="H100" s="13" t="n"/>
      <c r="I100" s="15" t="n">
        <v>1361.25</v>
      </c>
      <c r="J100" s="13" t="inlineStr">
        <is>
          <t>11300</t>
        </is>
      </c>
      <c r="K100" s="13" t="n"/>
      <c r="L100" s="13" t="inlineStr">
        <is>
          <t>Y</t>
        </is>
      </c>
      <c r="M100" s="13" t="inlineStr">
        <is>
          <t>Migrated from FY27 Revenue Tracker v2 - confirm type/sign</t>
        </is>
      </c>
    </row>
    <row r="101" ht="15" customHeight="1">
      <c r="A101" s="47" t="n">
        <v>46265</v>
      </c>
      <c r="B101" s="13" t="inlineStr">
        <is>
          <t>26061105</t>
        </is>
      </c>
      <c r="C101" s="14">
        <f>IF(B101="","",IF(COUNTIF(lst_Jobs,B101&amp;"")&gt;0,"OK","CHECK"))</f>
        <v/>
      </c>
      <c r="D101" s="13" t="inlineStr">
        <is>
          <t>CBA</t>
        </is>
      </c>
      <c r="E101" s="13" t="inlineStr">
        <is>
          <t>PRODUCTION</t>
        </is>
      </c>
      <c r="F101" s="13" t="inlineStr">
        <is>
          <t>CBA - FYR 2026 - 12.8.26 [PRD] pre-prod work</t>
        </is>
      </c>
      <c r="G101" s="13" t="inlineStr">
        <is>
          <t>Deferral - invoiced in advance</t>
        </is>
      </c>
      <c r="H101" s="13" t="n"/>
      <c r="I101" s="15" t="n">
        <v>-285</v>
      </c>
      <c r="J101" s="13" t="inlineStr">
        <is>
          <t>11300</t>
        </is>
      </c>
      <c r="K101" s="13" t="n"/>
      <c r="L101" s="13" t="inlineStr">
        <is>
          <t>Y</t>
        </is>
      </c>
      <c r="M101" s="13" t="inlineStr">
        <is>
          <t>Migrated from FY27 Revenue Tracker v2 - confirm type/sign</t>
        </is>
      </c>
    </row>
    <row r="102" ht="15" customHeight="1">
      <c r="A102" s="47" t="n">
        <v>46265</v>
      </c>
      <c r="B102" s="13" t="inlineStr">
        <is>
          <t>2603104</t>
        </is>
      </c>
      <c r="C102" s="14">
        <f>IF(B102="","",IF(COUNTIF(lst_Jobs,B102&amp;"")&gt;0,"OK","CHECK"))</f>
        <v/>
      </c>
      <c r="D102" s="13" t="inlineStr">
        <is>
          <t>Cochlear</t>
        </is>
      </c>
      <c r="E102" s="13" t="inlineStr">
        <is>
          <t>PRODUCTION</t>
        </is>
      </c>
      <c r="F102" s="13" t="inlineStr">
        <is>
          <t>Cochlear FY26 Results 18.8.26 [PRD] pre-prod work</t>
        </is>
      </c>
      <c r="G102" s="13" t="inlineStr">
        <is>
          <t>Deferral - invoiced in advance</t>
        </is>
      </c>
      <c r="H102" s="13" t="n"/>
      <c r="I102" s="15" t="n">
        <v>-95</v>
      </c>
      <c r="J102" s="13" t="inlineStr">
        <is>
          <t>11300</t>
        </is>
      </c>
      <c r="K102" s="13" t="n"/>
      <c r="L102" s="13" t="inlineStr">
        <is>
          <t>Y</t>
        </is>
      </c>
      <c r="M102" s="13" t="inlineStr">
        <is>
          <t>Migrated from FY27 Revenue Tracker v2 - confirm type/sign</t>
        </is>
      </c>
    </row>
    <row r="103" ht="15" customHeight="1">
      <c r="A103" s="47" t="n">
        <v>46265</v>
      </c>
      <c r="B103" s="13" t="inlineStr">
        <is>
          <t>26052702</t>
        </is>
      </c>
      <c r="C103" s="14">
        <f>IF(B103="","",IF(COUNTIF(lst_Jobs,B103&amp;"")&gt;0,"OK","CHECK"))</f>
        <v/>
      </c>
      <c r="D103" s="13" t="inlineStr">
        <is>
          <t>ASX</t>
        </is>
      </c>
      <c r="E103" s="13" t="inlineStr">
        <is>
          <t>PRODUCTION</t>
        </is>
      </c>
      <c r="F103" s="13" t="inlineStr">
        <is>
          <t>ASX - FYR - 13.8.26 [PRD]</t>
        </is>
      </c>
      <c r="G103" s="13" t="inlineStr">
        <is>
          <t>Deferral - invoiced in advance</t>
        </is>
      </c>
      <c r="H103" s="13" t="n"/>
      <c r="I103" s="15" t="n">
        <v>-95</v>
      </c>
      <c r="J103" s="13" t="inlineStr">
        <is>
          <t>11300</t>
        </is>
      </c>
      <c r="K103" s="13" t="n"/>
      <c r="L103" s="13" t="inlineStr">
        <is>
          <t>Y</t>
        </is>
      </c>
      <c r="M103" s="13" t="inlineStr">
        <is>
          <t>Migrated from FY27 Revenue Tracker v2 - confirm type/sign</t>
        </is>
      </c>
    </row>
    <row r="104" ht="15" customHeight="1">
      <c r="A104" s="47" t="n">
        <v>46265</v>
      </c>
      <c r="B104" s="13" t="inlineStr">
        <is>
          <t>2606904</t>
        </is>
      </c>
      <c r="C104" s="14">
        <f>IF(B104="","",IF(COUNTIF(lst_Jobs,B104&amp;"")&gt;0,"OK","CHECK"))</f>
        <v/>
      </c>
      <c r="D104" s="13" t="inlineStr">
        <is>
          <t>Symal</t>
        </is>
      </c>
      <c r="E104" s="13" t="inlineStr">
        <is>
          <t>PRODUCTION</t>
        </is>
      </c>
      <c r="F104" s="13" t="inlineStr">
        <is>
          <t>Symal - FYR26 (Melb) - 24.8.26 [PRD]</t>
        </is>
      </c>
      <c r="G104" s="13" t="inlineStr">
        <is>
          <t>Deferral - invoiced in advance</t>
        </is>
      </c>
      <c r="H104" s="13" t="n"/>
      <c r="I104" s="15" t="n">
        <v>-71.25</v>
      </c>
      <c r="J104" s="13" t="inlineStr">
        <is>
          <t>11300</t>
        </is>
      </c>
      <c r="K104" s="13" t="n"/>
      <c r="L104" s="13" t="inlineStr">
        <is>
          <t>Y</t>
        </is>
      </c>
      <c r="M104" s="13" t="inlineStr">
        <is>
          <t>Migrated from FY27 Revenue Tracker v2 - confirm type/sign</t>
        </is>
      </c>
    </row>
    <row r="105" ht="15" customHeight="1">
      <c r="A105" s="47" t="n">
        <v>46265</v>
      </c>
      <c r="B105" s="13" t="inlineStr">
        <is>
          <t>3027</t>
        </is>
      </c>
      <c r="C105" s="14">
        <f>IF(B105="","",IF(COUNTIF(lst_Jobs,B105&amp;"")&gt;0,"OK","CHECK"))</f>
        <v/>
      </c>
      <c r="D105" s="13" t="inlineStr">
        <is>
          <t>NSW Property</t>
        </is>
      </c>
      <c r="E105" s="13" t="inlineStr">
        <is>
          <t>INTEGRATION</t>
        </is>
      </c>
      <c r="F105" s="13" t="inlineStr">
        <is>
          <t>NSW Property  - 231 Eliz L13 Touchdown - Condeco Desk Booking System (INV10391 Revenue)</t>
        </is>
      </c>
      <c r="G105" s="13" t="inlineStr">
        <is>
          <t>Accrual - unbilled work</t>
        </is>
      </c>
      <c r="H105" s="13" t="n"/>
      <c r="I105" s="15" t="n">
        <v>721.7</v>
      </c>
      <c r="J105" s="13" t="inlineStr">
        <is>
          <t>11300</t>
        </is>
      </c>
      <c r="K105" s="13" t="n"/>
      <c r="L105" s="13" t="inlineStr">
        <is>
          <t>Y</t>
        </is>
      </c>
      <c r="M105" s="13" t="inlineStr">
        <is>
          <t>Migrated from FY27 Revenue Tracker v2 - confirm type/sign</t>
        </is>
      </c>
    </row>
    <row r="106" ht="15" customHeight="1">
      <c r="A106" s="47" t="n">
        <v>46265</v>
      </c>
      <c r="B106" s="13" t="inlineStr">
        <is>
          <t>3027</t>
        </is>
      </c>
      <c r="C106" s="14">
        <f>IF(B106="","",IF(COUNTIF(lst_Jobs,B106&amp;"")&gt;0,"OK","CHECK"))</f>
        <v/>
      </c>
      <c r="D106" s="13" t="inlineStr">
        <is>
          <t>NSW Property</t>
        </is>
      </c>
      <c r="E106" s="13" t="inlineStr">
        <is>
          <t>INTEGRATION</t>
        </is>
      </c>
      <c r="F106" s="13" t="inlineStr">
        <is>
          <t>NSW Property - 231 Eliz Workplace L1 (INV10392 Revenue)</t>
        </is>
      </c>
      <c r="G106" s="13" t="inlineStr">
        <is>
          <t>Accrual - unbilled work</t>
        </is>
      </c>
      <c r="H106" s="13" t="n"/>
      <c r="I106" s="15" t="n">
        <v>876.35</v>
      </c>
      <c r="J106" s="13" t="inlineStr">
        <is>
          <t>11300</t>
        </is>
      </c>
      <c r="K106" s="13" t="n"/>
      <c r="L106" s="13" t="inlineStr">
        <is>
          <t>Y</t>
        </is>
      </c>
      <c r="M106" s="13" t="inlineStr">
        <is>
          <t>Migrated from FY27 Revenue Tracker v2 - confirm type/sign</t>
        </is>
      </c>
    </row>
    <row r="107" ht="15" customHeight="1">
      <c r="A107" s="47" t="n">
        <v>46265</v>
      </c>
      <c r="B107" s="13" t="inlineStr">
        <is>
          <t>25060301</t>
        </is>
      </c>
      <c r="C107" s="14">
        <f>IF(B107="","",IF(COUNTIF(lst_Jobs,B107&amp;"")&gt;0,"OK","CHECK"))</f>
        <v/>
      </c>
      <c r="D107" s="13" t="inlineStr">
        <is>
          <t>NSW Property</t>
        </is>
      </c>
      <c r="E107" s="13" t="inlineStr">
        <is>
          <t>INTEGRATION</t>
        </is>
      </c>
      <c r="F107" s="13" t="inlineStr">
        <is>
          <t>NSW Property - 6PSQ Workplace L12 Hub (INV10393 Revenue)</t>
        </is>
      </c>
      <c r="G107" s="13" t="inlineStr">
        <is>
          <t>Accrual - unbilled work</t>
        </is>
      </c>
      <c r="H107" s="13" t="n"/>
      <c r="I107" s="15" t="n">
        <v>2964.14</v>
      </c>
      <c r="J107" s="13" t="inlineStr">
        <is>
          <t>11300</t>
        </is>
      </c>
      <c r="K107" s="13" t="n"/>
      <c r="L107" s="13" t="inlineStr">
        <is>
          <t>Y</t>
        </is>
      </c>
      <c r="M107" s="13" t="inlineStr">
        <is>
          <t>Migrated from FY27 Revenue Tracker v2 - confirm type/sign</t>
        </is>
      </c>
    </row>
    <row r="108" ht="15" customHeight="1">
      <c r="A108" s="47" t="n">
        <v>46265</v>
      </c>
      <c r="B108" s="13" t="inlineStr">
        <is>
          <t>2519</t>
        </is>
      </c>
      <c r="C108" s="14">
        <f>IF(B108="","",IF(COUNTIF(lst_Jobs,B108&amp;"")&gt;0,"OK","CHECK"))</f>
        <v/>
      </c>
      <c r="D108" s="13" t="inlineStr">
        <is>
          <t>NSW Property</t>
        </is>
      </c>
      <c r="E108" s="13" t="inlineStr">
        <is>
          <t>INTEGRATION</t>
        </is>
      </c>
      <c r="F108" s="13" t="inlineStr">
        <is>
          <t>NSW Property - 6PSQ L11 Touchdown (INV10394 Revenue)</t>
        </is>
      </c>
      <c r="G108" s="13" t="inlineStr">
        <is>
          <t>Accrual - unbilled work</t>
        </is>
      </c>
      <c r="H108" s="13" t="n"/>
      <c r="I108" s="15" t="n">
        <v>799.03</v>
      </c>
      <c r="J108" s="13" t="inlineStr">
        <is>
          <t>11300</t>
        </is>
      </c>
      <c r="K108" s="13" t="n"/>
      <c r="L108" s="13" t="inlineStr">
        <is>
          <t>Y</t>
        </is>
      </c>
      <c r="M108" s="13" t="inlineStr">
        <is>
          <t>Migrated from FY27 Revenue Tracker v2 - confirm type/sign</t>
        </is>
      </c>
    </row>
    <row r="109" ht="15" customHeight="1">
      <c r="A109" s="47" t="n">
        <v>46265</v>
      </c>
      <c r="B109" s="13" t="inlineStr">
        <is>
          <t>3068</t>
        </is>
      </c>
      <c r="C109" s="14">
        <f>IF(B109="","",IF(COUNTIF(lst_Jobs,B109&amp;"")&gt;0,"OK","CHECK"))</f>
        <v/>
      </c>
      <c r="D109" s="13" t="inlineStr">
        <is>
          <t>NSW Property</t>
        </is>
      </c>
      <c r="E109" s="13" t="inlineStr">
        <is>
          <t>INTEGRATION</t>
        </is>
      </c>
      <c r="F109" s="13" t="inlineStr">
        <is>
          <t>NSW Property  – Penrith 50 Belmore St – Workplace Hub (INV10395 Revenue)</t>
        </is>
      </c>
      <c r="G109" s="13" t="inlineStr">
        <is>
          <t>Accrual - unbilled work</t>
        </is>
      </c>
      <c r="H109" s="13" t="n"/>
      <c r="I109" s="15" t="n">
        <v>154.65</v>
      </c>
      <c r="J109" s="13" t="inlineStr">
        <is>
          <t>11300</t>
        </is>
      </c>
      <c r="K109" s="13" t="n"/>
      <c r="L109" s="13" t="inlineStr">
        <is>
          <t>Y</t>
        </is>
      </c>
      <c r="M109" s="13" t="inlineStr">
        <is>
          <t>Migrated from FY27 Revenue Tracker v2 - confirm type/sign</t>
        </is>
      </c>
    </row>
    <row r="110" ht="15" customHeight="1">
      <c r="A110" s="47" t="n">
        <v>46265</v>
      </c>
      <c r="B110" s="13" t="inlineStr">
        <is>
          <t>25051302</t>
        </is>
      </c>
      <c r="C110" s="14">
        <f>IF(B110="","",IF(COUNTIF(lst_Jobs,B110&amp;"")&gt;0,"OK","CHECK"))</f>
        <v/>
      </c>
      <c r="D110" s="13" t="inlineStr">
        <is>
          <t>NSW Property</t>
        </is>
      </c>
      <c r="E110" s="13" t="inlineStr">
        <is>
          <t>INTEGRATION</t>
        </is>
      </c>
      <c r="F110" s="13" t="inlineStr">
        <is>
          <t>NSW Property - Penrith BDA (INV10396)</t>
        </is>
      </c>
      <c r="G110" s="13" t="inlineStr">
        <is>
          <t>Accrual - unbilled work</t>
        </is>
      </c>
      <c r="H110" s="13" t="n"/>
      <c r="I110" s="15" t="n">
        <v>1494.96</v>
      </c>
      <c r="J110" s="13" t="inlineStr">
        <is>
          <t>11300</t>
        </is>
      </c>
      <c r="K110" s="13" t="n"/>
      <c r="L110" s="13" t="inlineStr">
        <is>
          <t>Y</t>
        </is>
      </c>
      <c r="M110" s="13" t="inlineStr">
        <is>
          <t>Migrated from FY27 Revenue Tracker v2 - confirm type/sign</t>
        </is>
      </c>
    </row>
    <row r="111" ht="15" customHeight="1">
      <c r="A111" s="47" t="n">
        <v>46265</v>
      </c>
      <c r="B111" s="13" t="inlineStr">
        <is>
          <t>25051302</t>
        </is>
      </c>
      <c r="C111" s="14">
        <f>IF(B111="","",IF(COUNTIF(lst_Jobs,B111&amp;"")&gt;0,"OK","CHECK"))</f>
        <v/>
      </c>
      <c r="D111" s="13" t="inlineStr">
        <is>
          <t>NSW Property</t>
        </is>
      </c>
      <c r="E111" s="13" t="inlineStr">
        <is>
          <t>INTEGRATION</t>
        </is>
      </c>
      <c r="F111" s="13" t="inlineStr">
        <is>
          <t>NSW Property - RA Molesworth St (INV10397 Revenue)</t>
        </is>
      </c>
      <c r="G111" s="13" t="inlineStr">
        <is>
          <t>Accrual - unbilled work</t>
        </is>
      </c>
      <c r="H111" s="13" t="n"/>
      <c r="I111" s="15" t="n">
        <v>786.14</v>
      </c>
      <c r="J111" s="13" t="inlineStr">
        <is>
          <t>11300</t>
        </is>
      </c>
      <c r="K111" s="13" t="n"/>
      <c r="L111" s="13" t="inlineStr">
        <is>
          <t>Y</t>
        </is>
      </c>
      <c r="M111" s="13" t="inlineStr">
        <is>
          <t>Migrated from FY27 Revenue Tracker v2 - confirm type/sign</t>
        </is>
      </c>
    </row>
    <row r="112" ht="15" customHeight="1">
      <c r="A112" s="47" t="n">
        <v>46265</v>
      </c>
      <c r="B112" s="13" t="inlineStr">
        <is>
          <t>25060307</t>
        </is>
      </c>
      <c r="C112" s="14">
        <f>IF(B112="","",IF(COUNTIF(lst_Jobs,B112&amp;"")&gt;0,"OK","CHECK"))</f>
        <v/>
      </c>
      <c r="D112" s="13" t="inlineStr">
        <is>
          <t>NSW Property</t>
        </is>
      </c>
      <c r="E112" s="13" t="inlineStr">
        <is>
          <t>INTEGRATION</t>
        </is>
      </c>
      <c r="F112" s="13" t="inlineStr">
        <is>
          <t>NSW Property - RA Newcastle Bellvue (INV10398 Revenue)</t>
        </is>
      </c>
      <c r="G112" s="13" t="inlineStr">
        <is>
          <t>Accrual - unbilled work</t>
        </is>
      </c>
      <c r="H112" s="13" t="n"/>
      <c r="I112" s="15" t="n">
        <v>270.64</v>
      </c>
      <c r="J112" s="13" t="inlineStr">
        <is>
          <t>11300</t>
        </is>
      </c>
      <c r="K112" s="13" t="n"/>
      <c r="L112" s="13" t="inlineStr">
        <is>
          <t>Y</t>
        </is>
      </c>
      <c r="M112" s="13" t="inlineStr">
        <is>
          <t>Migrated from FY27 Revenue Tracker v2 - confirm type/sign</t>
        </is>
      </c>
    </row>
    <row r="113" ht="15" customHeight="1">
      <c r="A113" s="47" t="n">
        <v>46265</v>
      </c>
      <c r="B113" s="13" t="inlineStr">
        <is>
          <t>2510805</t>
        </is>
      </c>
      <c r="C113" s="14">
        <f>IF(B113="","",IF(COUNTIF(lst_Jobs,B113&amp;"")&gt;0,"OK","CHECK"))</f>
        <v/>
      </c>
      <c r="D113" s="13" t="inlineStr">
        <is>
          <t>NSW Property</t>
        </is>
      </c>
      <c r="E113" s="13" t="inlineStr">
        <is>
          <t>INTEGRATION</t>
        </is>
      </c>
      <c r="F113" s="13" t="inlineStr">
        <is>
          <t>NSW Property - 5 O’Keefe Ave Nowra Workplace Hub (INV10399 Revenue)</t>
        </is>
      </c>
      <c r="G113" s="13" t="inlineStr">
        <is>
          <t>Accrual - unbilled work</t>
        </is>
      </c>
      <c r="H113" s="13" t="n"/>
      <c r="I113" s="15" t="n">
        <v>2242.44</v>
      </c>
      <c r="J113" s="13" t="inlineStr">
        <is>
          <t>11300</t>
        </is>
      </c>
      <c r="K113" s="13" t="n"/>
      <c r="L113" s="13" t="inlineStr">
        <is>
          <t>Y</t>
        </is>
      </c>
      <c r="M113" s="13" t="inlineStr">
        <is>
          <t>Migrated from FY27 Revenue Tracker v2 - confirm type/sign</t>
        </is>
      </c>
    </row>
    <row r="114" ht="15" customHeight="1">
      <c r="A114" s="47" t="n">
        <v>46265</v>
      </c>
      <c r="B114" s="13" t="inlineStr">
        <is>
          <t>2603202</t>
        </is>
      </c>
      <c r="C114" s="14">
        <f>IF(B114="","",IF(COUNTIF(lst_Jobs,B114&amp;"")&gt;0,"OK","CHECK"))</f>
        <v/>
      </c>
      <c r="D114" s="13" t="inlineStr">
        <is>
          <t>NSW Property</t>
        </is>
      </c>
      <c r="E114" s="13" t="inlineStr">
        <is>
          <t>INTEGRATION</t>
        </is>
      </c>
      <c r="F114" s="13" t="inlineStr">
        <is>
          <t>NSW Property -  Maitland 510-516 High St WP Services (INV10400 Revenue)</t>
        </is>
      </c>
      <c r="G114" s="13" t="inlineStr">
        <is>
          <t>Accrual - unbilled work</t>
        </is>
      </c>
      <c r="H114" s="13" t="n"/>
      <c r="I114" s="15" t="n">
        <v>3041.47</v>
      </c>
      <c r="J114" s="13" t="inlineStr">
        <is>
          <t>11300</t>
        </is>
      </c>
      <c r="K114" s="13" t="n"/>
      <c r="L114" s="13" t="inlineStr">
        <is>
          <t>Y</t>
        </is>
      </c>
      <c r="M114" s="13" t="inlineStr">
        <is>
          <t>Migrated from FY27 Revenue Tracker v2 - confirm type/sign</t>
        </is>
      </c>
    </row>
    <row r="115" ht="15" customHeight="1">
      <c r="A115" s="47" t="n">
        <v>46265</v>
      </c>
      <c r="B115" s="13" t="inlineStr">
        <is>
          <t>25041502</t>
        </is>
      </c>
      <c r="C115" s="14">
        <f>IF(B115="","",IF(COUNTIF(lst_Jobs,B115&amp;"")&gt;0,"OK","CHECK"))</f>
        <v/>
      </c>
      <c r="D115" s="13" t="inlineStr">
        <is>
          <t>NSW Property</t>
        </is>
      </c>
      <c r="E115" s="13" t="inlineStr">
        <is>
          <t>INTEGRATION</t>
        </is>
      </c>
      <c r="F115" s="13" t="inlineStr">
        <is>
          <t>NSW Property -  252 Pitt St Parkline Workplace Hub (INV10401 Revenue)</t>
        </is>
      </c>
      <c r="G115" s="13" t="inlineStr">
        <is>
          <t>Accrual - unbilled work</t>
        </is>
      </c>
      <c r="H115" s="13" t="n"/>
      <c r="I115" s="15" t="n">
        <v>4085.36</v>
      </c>
      <c r="J115" s="13" t="inlineStr">
        <is>
          <t>11300</t>
        </is>
      </c>
      <c r="K115" s="13" t="n"/>
      <c r="L115" s="13" t="inlineStr">
        <is>
          <t>Y</t>
        </is>
      </c>
      <c r="M115" s="13" t="inlineStr">
        <is>
          <t>Migrated from FY27 Revenue Tracker v2 - confirm type/sign</t>
        </is>
      </c>
    </row>
    <row r="116" ht="15" customHeight="1">
      <c r="A116" s="47" t="n">
        <v>46265</v>
      </c>
      <c r="B116" s="13" t="inlineStr">
        <is>
          <t>3068</t>
        </is>
      </c>
      <c r="C116" s="14">
        <f>IF(B116="","",IF(COUNTIF(lst_Jobs,B116&amp;"")&gt;0,"OK","CHECK"))</f>
        <v/>
      </c>
      <c r="D116" s="13" t="inlineStr">
        <is>
          <t>NSW Property</t>
        </is>
      </c>
      <c r="E116" s="13" t="inlineStr">
        <is>
          <t>INTEGRATION</t>
        </is>
      </c>
      <c r="F116" s="13" t="inlineStr">
        <is>
          <t>NSW Property - Sydney 1 Prince Albert Workplace Hub (INV10412 Revenue)</t>
        </is>
      </c>
      <c r="G116" s="13" t="inlineStr">
        <is>
          <t>Accrual - unbilled work</t>
        </is>
      </c>
      <c r="H116" s="13" t="n"/>
      <c r="I116" s="15" t="n">
        <v>1868.7</v>
      </c>
      <c r="J116" s="13" t="inlineStr">
        <is>
          <t>11300</t>
        </is>
      </c>
      <c r="K116" s="13" t="n"/>
      <c r="L116" s="13" t="inlineStr">
        <is>
          <t>Y</t>
        </is>
      </c>
      <c r="M116" s="13" t="inlineStr">
        <is>
          <t>Migrated from FY27 Revenue Tracker v2 - confirm type/sign</t>
        </is>
      </c>
    </row>
    <row r="117" ht="15" customHeight="1">
      <c r="A117" s="47" t="n">
        <v>46265</v>
      </c>
      <c r="B117" s="13" t="inlineStr">
        <is>
          <t>25121208</t>
        </is>
      </c>
      <c r="C117" s="14">
        <f>IF(B117="","",IF(COUNTIF(lst_Jobs,B117&amp;"")&gt;0,"OK","CHECK"))</f>
        <v/>
      </c>
      <c r="D117" s="13" t="inlineStr">
        <is>
          <t>APA</t>
        </is>
      </c>
      <c r="E117" s="13" t="inlineStr">
        <is>
          <t>PRODUCTION</t>
        </is>
      </c>
      <c r="F117" s="13" t="inlineStr">
        <is>
          <t>APA FYR August 2026 Package - Equipment Hire (Revenue)</t>
        </is>
      </c>
      <c r="G117" s="13" t="inlineStr">
        <is>
          <t>Accrual - unbilled work</t>
        </is>
      </c>
      <c r="H117" s="13" t="n"/>
      <c r="I117" s="15" t="n">
        <v>2737.5</v>
      </c>
      <c r="J117" s="13" t="inlineStr">
        <is>
          <t>11300</t>
        </is>
      </c>
      <c r="K117" s="13" t="n"/>
      <c r="L117" s="13" t="inlineStr">
        <is>
          <t>Y</t>
        </is>
      </c>
      <c r="M117" s="13" t="inlineStr">
        <is>
          <t>Migrated from FY27 Revenue Tracker v2 - confirm type/sign</t>
        </is>
      </c>
    </row>
    <row r="118" ht="15" customHeight="1">
      <c r="A118" s="47" t="n">
        <v>46265</v>
      </c>
      <c r="B118" s="13" t="inlineStr">
        <is>
          <t>25121208</t>
        </is>
      </c>
      <c r="C118" s="14">
        <f>IF(B118="","",IF(COUNTIF(lst_Jobs,B118&amp;"")&gt;0,"OK","CHECK"))</f>
        <v/>
      </c>
      <c r="D118" s="13" t="inlineStr">
        <is>
          <t>APA</t>
        </is>
      </c>
      <c r="E118" s="13" t="inlineStr">
        <is>
          <t>PRODUCTION</t>
        </is>
      </c>
      <c r="F118" s="13" t="inlineStr">
        <is>
          <t>APA FYR August 2026 Package - Prod Labour (Revenue)</t>
        </is>
      </c>
      <c r="G118" s="13" t="inlineStr">
        <is>
          <t>Accrual - unbilled work</t>
        </is>
      </c>
      <c r="H118" s="13" t="n"/>
      <c r="I118" s="15" t="n">
        <v>1900</v>
      </c>
      <c r="J118" s="13" t="inlineStr">
        <is>
          <t>11300</t>
        </is>
      </c>
      <c r="K118" s="13" t="n"/>
      <c r="L118" s="13" t="inlineStr">
        <is>
          <t>Y</t>
        </is>
      </c>
      <c r="M118" s="13" t="inlineStr">
        <is>
          <t>Migrated from FY27 Revenue Tracker v2 - confirm type/sign</t>
        </is>
      </c>
    </row>
    <row r="119" ht="15" customHeight="1">
      <c r="A119" s="47" t="n">
        <v>46265</v>
      </c>
      <c r="B119" s="13" t="inlineStr">
        <is>
          <t>25121208</t>
        </is>
      </c>
      <c r="C119" s="14">
        <f>IF(B119="","",IF(COUNTIF(lst_Jobs,B119&amp;"")&gt;0,"OK","CHECK"))</f>
        <v/>
      </c>
      <c r="D119" s="13" t="inlineStr">
        <is>
          <t>APA</t>
        </is>
      </c>
      <c r="E119" s="13" t="inlineStr">
        <is>
          <t>PRODUCTION</t>
        </is>
      </c>
      <c r="F119" s="13" t="inlineStr">
        <is>
          <t>APA FYR August 2026 Package - Conference Call (Revenue)</t>
        </is>
      </c>
      <c r="G119" s="13" t="inlineStr">
        <is>
          <t>Accrual - unbilled work</t>
        </is>
      </c>
      <c r="H119" s="13" t="n"/>
      <c r="I119" s="15" t="n">
        <v>3575</v>
      </c>
      <c r="J119" s="13" t="inlineStr">
        <is>
          <t>11300</t>
        </is>
      </c>
      <c r="K119" s="13" t="n"/>
      <c r="L119" s="13" t="inlineStr">
        <is>
          <t>Y</t>
        </is>
      </c>
      <c r="M119" s="13" t="inlineStr">
        <is>
          <t>Migrated from FY27 Revenue Tracker v2 - confirm type/sign</t>
        </is>
      </c>
    </row>
    <row r="120" ht="15" customHeight="1">
      <c r="A120" s="47" t="n">
        <v>46265</v>
      </c>
      <c r="B120" s="13" t="inlineStr">
        <is>
          <t>25121208</t>
        </is>
      </c>
      <c r="C120" s="14">
        <f>IF(B120="","",IF(COUNTIF(lst_Jobs,B120&amp;"")&gt;0,"OK","CHECK"))</f>
        <v/>
      </c>
      <c r="D120" s="13" t="inlineStr">
        <is>
          <t>APA</t>
        </is>
      </c>
      <c r="E120" s="13" t="inlineStr">
        <is>
          <t>PRODUCTION</t>
        </is>
      </c>
      <c r="F120" s="13" t="inlineStr">
        <is>
          <t>APA FYR August 2026 Package - Tech Event Mgmt (Revenue)</t>
        </is>
      </c>
      <c r="G120" s="13" t="inlineStr">
        <is>
          <t>Accrual - unbilled work</t>
        </is>
      </c>
      <c r="H120" s="13" t="n"/>
      <c r="I120" s="15" t="n">
        <v>230</v>
      </c>
      <c r="J120" s="13" t="inlineStr">
        <is>
          <t>11300</t>
        </is>
      </c>
      <c r="K120" s="13" t="n"/>
      <c r="L120" s="13" t="inlineStr">
        <is>
          <t>Y</t>
        </is>
      </c>
      <c r="M120" s="13" t="inlineStr">
        <is>
          <t>Migrated from FY27 Revenue Tracker v2 - confirm type/sign</t>
        </is>
      </c>
    </row>
    <row r="121" ht="15" customHeight="1">
      <c r="A121" s="47" t="n">
        <v>46265</v>
      </c>
      <c r="B121" s="13" t="inlineStr">
        <is>
          <t>25121208</t>
        </is>
      </c>
      <c r="C121" s="14">
        <f>IF(B121="","",IF(COUNTIF(lst_Jobs,B121&amp;"")&gt;0,"OK","CHECK"))</f>
        <v/>
      </c>
      <c r="D121" s="13" t="inlineStr">
        <is>
          <t>APA</t>
        </is>
      </c>
      <c r="E121" s="13" t="inlineStr">
        <is>
          <t>PRODUCTION</t>
        </is>
      </c>
      <c r="F121" s="13" t="inlineStr">
        <is>
          <t>APA FYR August 2026 Package - Freight (Revenue)</t>
        </is>
      </c>
      <c r="G121" s="13" t="inlineStr">
        <is>
          <t>Accrual - unbilled work</t>
        </is>
      </c>
      <c r="H121" s="13" t="n"/>
      <c r="I121" s="15" t="n">
        <v>300</v>
      </c>
      <c r="J121" s="13" t="inlineStr">
        <is>
          <t>11300</t>
        </is>
      </c>
      <c r="K121" s="13" t="n"/>
      <c r="L121" s="13" t="inlineStr">
        <is>
          <t>Y</t>
        </is>
      </c>
      <c r="M121" s="13" t="inlineStr">
        <is>
          <t>Migrated from FY27 Revenue Tracker v2 - confirm type/sign</t>
        </is>
      </c>
    </row>
    <row r="122" ht="15" customHeight="1">
      <c r="A122" s="47" t="n">
        <v>46265</v>
      </c>
      <c r="B122" s="13" t="inlineStr">
        <is>
          <t>2506208</t>
        </is>
      </c>
      <c r="C122" s="14">
        <f>IF(B122="","",IF(COUNTIF(lst_Jobs,B122&amp;"")&gt;0,"OK","CHECK"))</f>
        <v/>
      </c>
      <c r="D122" s="13" t="inlineStr">
        <is>
          <t>CBA</t>
        </is>
      </c>
      <c r="E122" s="13" t="inlineStr">
        <is>
          <t>PRODUCTION</t>
        </is>
      </c>
      <c r="F122" s="13" t="inlineStr">
        <is>
          <t>CBA AGM 2026 Pre-production work at $130ph</t>
        </is>
      </c>
      <c r="G122" s="13" t="inlineStr">
        <is>
          <t>Accrual - unbilled work</t>
        </is>
      </c>
      <c r="H122" s="13" t="n"/>
      <c r="I122" s="15" t="n">
        <v>1787.5</v>
      </c>
      <c r="J122" s="13" t="inlineStr">
        <is>
          <t>11300</t>
        </is>
      </c>
      <c r="K122" s="13" t="n"/>
      <c r="L122" s="13" t="inlineStr">
        <is>
          <t>Y</t>
        </is>
      </c>
      <c r="M122" s="13" t="inlineStr">
        <is>
          <t>Migrated from FY27 Revenue Tracker v2 - confirm type/sign</t>
        </is>
      </c>
    </row>
    <row r="123" ht="15" customHeight="1">
      <c r="A123" s="47" t="n">
        <v>46265</v>
      </c>
      <c r="B123" s="13" t="inlineStr">
        <is>
          <t>25070702</t>
        </is>
      </c>
      <c r="C123" s="14">
        <f>IF(B123="","",IF(COUNTIF(lst_Jobs,B123&amp;"")&gt;0,"OK","CHECK"))</f>
        <v/>
      </c>
      <c r="D123" s="13" t="inlineStr">
        <is>
          <t>APA</t>
        </is>
      </c>
      <c r="E123" s="13" t="inlineStr">
        <is>
          <t>INTEGRATION</t>
        </is>
      </c>
      <c r="F123" s="13" t="inlineStr">
        <is>
          <t>APA BNE &amp; NT Year 1/3 Inv9988 (Revenue) Sep 2025 - Aug 2026</t>
        </is>
      </c>
      <c r="G123" s="13" t="inlineStr">
        <is>
          <t>Accrual - unbilled work</t>
        </is>
      </c>
      <c r="H123" s="13" t="n"/>
      <c r="I123" s="15" t="n">
        <v>308.16</v>
      </c>
      <c r="J123" s="13" t="inlineStr">
        <is>
          <t>11300</t>
        </is>
      </c>
      <c r="K123" s="13" t="n"/>
      <c r="L123" s="13" t="inlineStr">
        <is>
          <t>Y</t>
        </is>
      </c>
      <c r="M123" s="13" t="inlineStr">
        <is>
          <t>Migrated from FY27 Revenue Tracker v2 - confirm type/sign</t>
        </is>
      </c>
    </row>
    <row r="124" ht="15" customHeight="1">
      <c r="A124" s="47" t="n">
        <v>46265</v>
      </c>
      <c r="B124" s="13" t="inlineStr">
        <is>
          <t>3072</t>
        </is>
      </c>
      <c r="C124" s="14">
        <f>IF(B124="","",IF(COUNTIF(lst_Jobs,B124&amp;"")&gt;0,"OK","CHECK"))</f>
        <v/>
      </c>
      <c r="D124" s="13" t="inlineStr">
        <is>
          <t>APA Thomastown</t>
        </is>
      </c>
      <c r="E124" s="13" t="inlineStr">
        <is>
          <t>INTEGRATION</t>
        </is>
      </c>
      <c r="F124" s="13" t="inlineStr">
        <is>
          <t>APA Thomastown INV-10133 Year 3 Licence (January - December 2026)</t>
        </is>
      </c>
      <c r="G124" s="13" t="inlineStr">
        <is>
          <t>Accrual - unbilled work</t>
        </is>
      </c>
      <c r="H124" s="13" t="n"/>
      <c r="I124" s="15" t="n">
        <v>1033.06</v>
      </c>
      <c r="J124" s="13" t="inlineStr">
        <is>
          <t>11300</t>
        </is>
      </c>
      <c r="K124" s="13" t="n"/>
      <c r="L124" s="13" t="inlineStr">
        <is>
          <t>Y</t>
        </is>
      </c>
      <c r="M124" s="13" t="inlineStr">
        <is>
          <t>Migrated from FY27 Revenue Tracker v2 - confirm type/sign</t>
        </is>
      </c>
    </row>
    <row r="125" ht="15" customHeight="1">
      <c r="A125" s="47" t="n">
        <v>46265</v>
      </c>
      <c r="B125" s="13" t="inlineStr">
        <is>
          <t>2519</t>
        </is>
      </c>
      <c r="C125" s="14">
        <f>IF(B125="","",IF(COUNTIF(lst_Jobs,B125&amp;"")&gt;0,"OK","CHECK"))</f>
        <v/>
      </c>
      <c r="D125" s="13" t="inlineStr">
        <is>
          <t>NSW Property</t>
        </is>
      </c>
      <c r="E125" s="13" t="inlineStr">
        <is>
          <t>INTEGRATION</t>
        </is>
      </c>
      <c r="F125" s="13" t="inlineStr">
        <is>
          <t>NSW Property 6PSQ Multi-Tennant Year 4 INV 10162 Revenue (November - October 2026)</t>
        </is>
      </c>
      <c r="G125" s="13" t="inlineStr">
        <is>
          <t>Accrual - unbilled work</t>
        </is>
      </c>
      <c r="H125" s="13" t="n"/>
      <c r="I125" s="15" t="n">
        <v>929.33</v>
      </c>
      <c r="J125" s="13" t="inlineStr">
        <is>
          <t>11300</t>
        </is>
      </c>
      <c r="K125" s="13" t="n"/>
      <c r="L125" s="13" t="inlineStr">
        <is>
          <t>Y</t>
        </is>
      </c>
      <c r="M125" s="13" t="inlineStr">
        <is>
          <t>Migrated from FY27 Revenue Tracker v2 - confirm type/sign</t>
        </is>
      </c>
    </row>
    <row r="126" ht="15" customHeight="1">
      <c r="A126" s="47" t="n">
        <v>46265</v>
      </c>
      <c r="B126" s="13" t="inlineStr">
        <is>
          <t>2510804</t>
        </is>
      </c>
      <c r="C126" s="14">
        <f>IF(B126="","",IF(COUNTIF(lst_Jobs,B126&amp;"")&gt;0,"OK","CHECK"))</f>
        <v/>
      </c>
      <c r="D126" s="13" t="inlineStr">
        <is>
          <t>Presynct</t>
        </is>
      </c>
      <c r="E126" s="13" t="inlineStr">
        <is>
          <t>INTEGRATION</t>
        </is>
      </c>
      <c r="F126" s="13" t="inlineStr">
        <is>
          <t>Presynct - QLD - Condeco Desk Booking System INV 10199 Revenue (Nov 2025 - Oct 2025)</t>
        </is>
      </c>
      <c r="G126" s="13" t="inlineStr">
        <is>
          <t>Accrual - unbilled work</t>
        </is>
      </c>
      <c r="H126" s="13" t="n"/>
      <c r="I126" s="15" t="n">
        <v>439.33</v>
      </c>
      <c r="J126" s="13" t="inlineStr">
        <is>
          <t>11300</t>
        </is>
      </c>
      <c r="K126" s="13" t="n"/>
      <c r="L126" s="13" t="inlineStr">
        <is>
          <t>Y</t>
        </is>
      </c>
      <c r="M126" s="13" t="inlineStr">
        <is>
          <t>Migrated from FY27 Revenue Tracker v2 - confirm type/sign</t>
        </is>
      </c>
    </row>
    <row r="127" ht="15" customHeight="1">
      <c r="A127" s="47" t="n">
        <v>46265</v>
      </c>
      <c r="B127" s="13" t="inlineStr">
        <is>
          <t>2719</t>
        </is>
      </c>
      <c r="C127" s="14">
        <f>IF(B127="","",IF(COUNTIF(lst_Jobs,B127&amp;"")&gt;0,"OK","CHECK"))</f>
        <v/>
      </c>
      <c r="D127" s="13" t="inlineStr">
        <is>
          <t>NSW Property</t>
        </is>
      </c>
      <c r="E127" s="13" t="inlineStr">
        <is>
          <t>INTEGRATION</t>
        </is>
      </c>
      <c r="F127" s="13" t="inlineStr">
        <is>
          <t>NSW Property GSP Proxyclick INV 10176 Revenue (Dec 2025 - Nov 2026)</t>
        </is>
      </c>
      <c r="G127" s="13" t="inlineStr">
        <is>
          <t>Accrual - unbilled work</t>
        </is>
      </c>
      <c r="H127" s="13" t="n"/>
      <c r="I127" s="15" t="n">
        <v>381.15</v>
      </c>
      <c r="J127" s="13" t="inlineStr">
        <is>
          <t>11300</t>
        </is>
      </c>
      <c r="K127" s="13" t="n"/>
      <c r="L127" s="13" t="inlineStr">
        <is>
          <t>Y</t>
        </is>
      </c>
      <c r="M127" s="13" t="inlineStr">
        <is>
          <t>Migrated from FY27 Revenue Tracker v2 - confirm type/sign</t>
        </is>
      </c>
    </row>
    <row r="128" ht="15" customHeight="1">
      <c r="A128" s="47" t="n">
        <v>46265</v>
      </c>
      <c r="B128" s="13" t="inlineStr">
        <is>
          <t>2834</t>
        </is>
      </c>
      <c r="C128" s="14">
        <f>IF(B128="","",IF(COUNTIF(lst_Jobs,B128&amp;"")&gt;0,"OK","CHECK"))</f>
        <v/>
      </c>
      <c r="D128" s="13" t="inlineStr">
        <is>
          <t>APA</t>
        </is>
      </c>
      <c r="E128" s="13" t="inlineStr">
        <is>
          <t>INTEGRATION</t>
        </is>
      </c>
      <c r="F128" s="13" t="inlineStr">
        <is>
          <t>APA Young Year 4 INV-10280 Revenue (Mar 2026 - Feb 2027)</t>
        </is>
      </c>
      <c r="G128" s="13" t="inlineStr">
        <is>
          <t>Accrual - unbilled work</t>
        </is>
      </c>
      <c r="H128" s="13" t="n"/>
      <c r="I128" s="15" t="n">
        <v>312.9</v>
      </c>
      <c r="J128" s="13" t="inlineStr">
        <is>
          <t>11300</t>
        </is>
      </c>
      <c r="K128" s="13" t="n"/>
      <c r="L128" s="13" t="inlineStr">
        <is>
          <t>Y</t>
        </is>
      </c>
      <c r="M128" s="13" t="inlineStr">
        <is>
          <t>Migrated from FY27 Revenue Tracker v2 - confirm type/sign</t>
        </is>
      </c>
    </row>
    <row r="129" ht="15" customHeight="1">
      <c r="A129" s="47" t="n">
        <v>46265</v>
      </c>
      <c r="B129" s="13" t="inlineStr">
        <is>
          <t>25021901</t>
        </is>
      </c>
      <c r="C129" s="14">
        <f>IF(B129="","",IF(COUNTIF(lst_Jobs,B129&amp;"")&gt;0,"OK","CHECK"))</f>
        <v/>
      </c>
      <c r="D129" s="13" t="inlineStr">
        <is>
          <t>DaFF</t>
        </is>
      </c>
      <c r="E129" s="13" t="inlineStr">
        <is>
          <t>INTEGRATION</t>
        </is>
      </c>
      <c r="F129" s="13" t="inlineStr">
        <is>
          <t>DAFF Consulting services invoiced in advance (INV9860)</t>
        </is>
      </c>
      <c r="G129" s="13" t="inlineStr">
        <is>
          <t>Accrual - unbilled work</t>
        </is>
      </c>
      <c r="H129" s="13" t="n"/>
      <c r="I129" s="15" t="n">
        <v>536.25</v>
      </c>
      <c r="J129" s="13" t="inlineStr">
        <is>
          <t>11300</t>
        </is>
      </c>
      <c r="K129" s="13" t="n"/>
      <c r="L129" s="13" t="inlineStr">
        <is>
          <t>Y</t>
        </is>
      </c>
      <c r="M129" s="13" t="inlineStr">
        <is>
          <t>Migrated from FY27 Revenue Tracker v2 - confirm type/sign</t>
        </is>
      </c>
    </row>
    <row r="130" ht="15" customHeight="1">
      <c r="A130" s="47" t="n">
        <v>46265</v>
      </c>
      <c r="B130" s="13" t="inlineStr">
        <is>
          <t>26081901</t>
        </is>
      </c>
      <c r="C130" s="14">
        <f>IF(B130="","",IF(COUNTIF(lst_Jobs,B130&amp;"")&gt;0,"OK","CHECK"))</f>
        <v/>
      </c>
      <c r="D130" s="13" t="inlineStr">
        <is>
          <t>Auspost</t>
        </is>
      </c>
      <c r="E130" s="13" t="inlineStr">
        <is>
          <t>INTEGRATION</t>
        </is>
      </c>
      <c r="F130" s="13" t="inlineStr">
        <is>
          <t>AusPayNet | Logitech Room Essentials Subscription [INT] License Revenue INV-10574 (12 months lincense)</t>
        </is>
      </c>
      <c r="G130" s="13" t="inlineStr">
        <is>
          <t>Deferral - invoiced in advance</t>
        </is>
      </c>
      <c r="H130" s="13" t="n"/>
      <c r="I130" s="15" t="n">
        <v>-993</v>
      </c>
      <c r="J130" s="13" t="inlineStr">
        <is>
          <t>11300</t>
        </is>
      </c>
      <c r="K130" s="13" t="n"/>
      <c r="L130" s="13" t="inlineStr">
        <is>
          <t>Y</t>
        </is>
      </c>
      <c r="M130" s="13" t="inlineStr">
        <is>
          <t>Migrated from FY27 Revenue Tracker v2 - confirm type/sign</t>
        </is>
      </c>
    </row>
    <row r="131" ht="15" customHeight="1">
      <c r="A131" s="47" t="n"/>
      <c r="B131" s="13" t="n"/>
      <c r="C131" s="14">
        <f>IF(B131="","",IF(COUNTIF(lst_Jobs,B131&amp;"")&gt;0,"OK","CHECK"))</f>
        <v/>
      </c>
      <c r="D131" s="13" t="n"/>
      <c r="E131" s="13" t="n"/>
      <c r="F131" s="13" t="n"/>
      <c r="G131" s="13" t="n"/>
      <c r="H131" s="13" t="n"/>
      <c r="I131" s="15" t="n"/>
      <c r="J131" s="13" t="n"/>
      <c r="K131" s="13" t="n"/>
      <c r="L131" s="13" t="n"/>
      <c r="M131" s="13" t="n"/>
    </row>
    <row r="132" ht="15" customHeight="1">
      <c r="A132" s="47" t="n"/>
      <c r="B132" s="13" t="n"/>
      <c r="C132" s="14">
        <f>IF(B132="","",IF(COUNTIF(lst_Jobs,B132&amp;"")&gt;0,"OK","CHECK"))</f>
        <v/>
      </c>
      <c r="D132" s="13" t="n"/>
      <c r="E132" s="13" t="n"/>
      <c r="F132" s="13" t="n"/>
      <c r="G132" s="13" t="n"/>
      <c r="H132" s="13" t="n"/>
      <c r="I132" s="15" t="n"/>
      <c r="J132" s="13" t="n"/>
      <c r="K132" s="13" t="n"/>
      <c r="L132" s="13" t="n"/>
      <c r="M132" s="13" t="n"/>
    </row>
    <row r="133" ht="15" customHeight="1">
      <c r="A133" s="47" t="n"/>
      <c r="B133" s="13" t="n"/>
      <c r="C133" s="14">
        <f>IF(B133="","",IF(COUNTIF(lst_Jobs,B133&amp;"")&gt;0,"OK","CHECK"))</f>
        <v/>
      </c>
      <c r="D133" s="13" t="n"/>
      <c r="E133" s="13" t="n"/>
      <c r="F133" s="13" t="n"/>
      <c r="G133" s="13" t="n"/>
      <c r="H133" s="13" t="n"/>
      <c r="I133" s="15" t="n"/>
      <c r="J133" s="13" t="n"/>
      <c r="K133" s="13" t="n"/>
      <c r="L133" s="13" t="n"/>
      <c r="M133" s="13" t="n"/>
    </row>
    <row r="134" ht="15" customHeight="1">
      <c r="A134" s="47" t="n"/>
      <c r="B134" s="13" t="n"/>
      <c r="C134" s="14">
        <f>IF(B134="","",IF(COUNTIF(lst_Jobs,B134&amp;"")&gt;0,"OK","CHECK"))</f>
        <v/>
      </c>
      <c r="D134" s="13" t="n"/>
      <c r="E134" s="13" t="n"/>
      <c r="F134" s="13" t="n"/>
      <c r="G134" s="13" t="n"/>
      <c r="H134" s="13" t="n"/>
      <c r="I134" s="15" t="n"/>
      <c r="J134" s="13" t="n"/>
      <c r="K134" s="13" t="n"/>
      <c r="L134" s="13" t="n"/>
      <c r="M134" s="13" t="n"/>
    </row>
    <row r="135" ht="15" customHeight="1">
      <c r="A135" s="47" t="n"/>
      <c r="B135" s="13" t="n"/>
      <c r="C135" s="14">
        <f>IF(B135="","",IF(COUNTIF(lst_Jobs,B135&amp;"")&gt;0,"OK","CHECK"))</f>
        <v/>
      </c>
      <c r="D135" s="13" t="n"/>
      <c r="E135" s="13" t="n"/>
      <c r="F135" s="13" t="n"/>
      <c r="G135" s="13" t="n"/>
      <c r="H135" s="13" t="n"/>
      <c r="I135" s="15" t="n"/>
      <c r="J135" s="13" t="n"/>
      <c r="K135" s="13" t="n"/>
      <c r="L135" s="13" t="n"/>
      <c r="M135" s="13" t="n"/>
    </row>
    <row r="136" ht="15" customHeight="1">
      <c r="A136" s="47" t="n"/>
      <c r="B136" s="13" t="n"/>
      <c r="C136" s="14">
        <f>IF(B136="","",IF(COUNTIF(lst_Jobs,B136&amp;"")&gt;0,"OK","CHECK"))</f>
        <v/>
      </c>
      <c r="D136" s="13" t="n"/>
      <c r="E136" s="13" t="n"/>
      <c r="F136" s="13" t="n"/>
      <c r="G136" s="13" t="n"/>
      <c r="H136" s="13" t="n"/>
      <c r="I136" s="15" t="n"/>
      <c r="J136" s="13" t="n"/>
      <c r="K136" s="13" t="n"/>
      <c r="L136" s="13" t="n"/>
      <c r="M136" s="13" t="n"/>
    </row>
    <row r="137" ht="15" customHeight="1">
      <c r="A137" s="47" t="n"/>
      <c r="B137" s="13" t="n"/>
      <c r="C137" s="14">
        <f>IF(B137="","",IF(COUNTIF(lst_Jobs,B137&amp;"")&gt;0,"OK","CHECK"))</f>
        <v/>
      </c>
      <c r="D137" s="13" t="n"/>
      <c r="E137" s="13" t="n"/>
      <c r="F137" s="13" t="n"/>
      <c r="G137" s="13" t="n"/>
      <c r="H137" s="13" t="n"/>
      <c r="I137" s="15" t="n"/>
      <c r="J137" s="13" t="n"/>
      <c r="K137" s="13" t="n"/>
      <c r="L137" s="13" t="n"/>
      <c r="M137" s="13" t="n"/>
    </row>
    <row r="138" ht="15" customHeight="1">
      <c r="A138" s="47" t="n"/>
      <c r="B138" s="13" t="n"/>
      <c r="C138" s="14">
        <f>IF(B138="","",IF(COUNTIF(lst_Jobs,B138&amp;"")&gt;0,"OK","CHECK"))</f>
        <v/>
      </c>
      <c r="D138" s="13" t="n"/>
      <c r="E138" s="13" t="n"/>
      <c r="F138" s="13" t="n"/>
      <c r="G138" s="13" t="n"/>
      <c r="H138" s="13" t="n"/>
      <c r="I138" s="15" t="n"/>
      <c r="J138" s="13" t="n"/>
      <c r="K138" s="13" t="n"/>
      <c r="L138" s="13" t="n"/>
      <c r="M138" s="13" t="n"/>
    </row>
    <row r="139" ht="15" customHeight="1">
      <c r="A139" s="47" t="n"/>
      <c r="B139" s="13" t="n"/>
      <c r="C139" s="14">
        <f>IF(B139="","",IF(COUNTIF(lst_Jobs,B139&amp;"")&gt;0,"OK","CHECK"))</f>
        <v/>
      </c>
      <c r="D139" s="13" t="n"/>
      <c r="E139" s="13" t="n"/>
      <c r="F139" s="13" t="n"/>
      <c r="G139" s="13" t="n"/>
      <c r="H139" s="13" t="n"/>
      <c r="I139" s="15" t="n"/>
      <c r="J139" s="13" t="n"/>
      <c r="K139" s="13" t="n"/>
      <c r="L139" s="13" t="n"/>
      <c r="M139" s="13" t="n"/>
    </row>
    <row r="140" ht="15" customHeight="1">
      <c r="A140" s="47" t="n"/>
      <c r="B140" s="13" t="n"/>
      <c r="C140" s="14">
        <f>IF(B140="","",IF(COUNTIF(lst_Jobs,B140&amp;"")&gt;0,"OK","CHECK"))</f>
        <v/>
      </c>
      <c r="D140" s="13" t="n"/>
      <c r="E140" s="13" t="n"/>
      <c r="F140" s="13" t="n"/>
      <c r="G140" s="13" t="n"/>
      <c r="H140" s="13" t="n"/>
      <c r="I140" s="15" t="n"/>
      <c r="J140" s="13" t="n"/>
      <c r="K140" s="13" t="n"/>
      <c r="L140" s="13" t="n"/>
      <c r="M140" s="13" t="n"/>
    </row>
    <row r="141" ht="15" customHeight="1">
      <c r="A141" s="47" t="n"/>
      <c r="B141" s="13" t="n"/>
      <c r="C141" s="14">
        <f>IF(B141="","",IF(COUNTIF(lst_Jobs,B141&amp;"")&gt;0,"OK","CHECK"))</f>
        <v/>
      </c>
      <c r="D141" s="13" t="n"/>
      <c r="E141" s="13" t="n"/>
      <c r="F141" s="13" t="n"/>
      <c r="G141" s="13" t="n"/>
      <c r="H141" s="13" t="n"/>
      <c r="I141" s="15" t="n"/>
      <c r="J141" s="13" t="n"/>
      <c r="K141" s="13" t="n"/>
      <c r="L141" s="13" t="n"/>
      <c r="M141" s="13" t="n"/>
    </row>
    <row r="142" ht="15" customHeight="1">
      <c r="A142" s="47" t="n"/>
      <c r="B142" s="13" t="n"/>
      <c r="C142" s="14">
        <f>IF(B142="","",IF(COUNTIF(lst_Jobs,B142&amp;"")&gt;0,"OK","CHECK"))</f>
        <v/>
      </c>
      <c r="D142" s="13" t="n"/>
      <c r="E142" s="13" t="n"/>
      <c r="F142" s="13" t="n"/>
      <c r="G142" s="13" t="n"/>
      <c r="H142" s="13" t="n"/>
      <c r="I142" s="15" t="n"/>
      <c r="J142" s="13" t="n"/>
      <c r="K142" s="13" t="n"/>
      <c r="L142" s="13" t="n"/>
      <c r="M142" s="13" t="n"/>
    </row>
    <row r="143" ht="15" customHeight="1">
      <c r="A143" s="47" t="n"/>
      <c r="B143" s="13" t="n"/>
      <c r="C143" s="14">
        <f>IF(B143="","",IF(COUNTIF(lst_Jobs,B143&amp;"")&gt;0,"OK","CHECK"))</f>
        <v/>
      </c>
      <c r="D143" s="13" t="n"/>
      <c r="E143" s="13" t="n"/>
      <c r="F143" s="13" t="n"/>
      <c r="G143" s="13" t="n"/>
      <c r="H143" s="13" t="n"/>
      <c r="I143" s="15" t="n"/>
      <c r="J143" s="13" t="n"/>
      <c r="K143" s="13" t="n"/>
      <c r="L143" s="13" t="n"/>
      <c r="M143" s="13" t="n"/>
    </row>
    <row r="144" ht="15" customHeight="1">
      <c r="A144" s="47" t="n"/>
      <c r="B144" s="13" t="n"/>
      <c r="C144" s="14">
        <f>IF(B144="","",IF(COUNTIF(lst_Jobs,B144&amp;"")&gt;0,"OK","CHECK"))</f>
        <v/>
      </c>
      <c r="D144" s="13" t="n"/>
      <c r="E144" s="13" t="n"/>
      <c r="F144" s="13" t="n"/>
      <c r="G144" s="13" t="n"/>
      <c r="H144" s="13" t="n"/>
      <c r="I144" s="15" t="n"/>
      <c r="J144" s="13" t="n"/>
      <c r="K144" s="13" t="n"/>
      <c r="L144" s="13" t="n"/>
      <c r="M144" s="13" t="n"/>
    </row>
    <row r="145" ht="15" customHeight="1">
      <c r="A145" s="47" t="n"/>
      <c r="B145" s="13" t="n"/>
      <c r="C145" s="14">
        <f>IF(B145="","",IF(COUNTIF(lst_Jobs,B145&amp;"")&gt;0,"OK","CHECK"))</f>
        <v/>
      </c>
      <c r="D145" s="13" t="n"/>
      <c r="E145" s="13" t="n"/>
      <c r="F145" s="13" t="n"/>
      <c r="G145" s="13" t="n"/>
      <c r="H145" s="13" t="n"/>
      <c r="I145" s="15" t="n"/>
      <c r="J145" s="13" t="n"/>
      <c r="K145" s="13" t="n"/>
      <c r="L145" s="13" t="n"/>
      <c r="M145" s="13" t="n"/>
    </row>
    <row r="146" ht="15" customHeight="1">
      <c r="A146" s="47" t="n"/>
      <c r="B146" s="13" t="n"/>
      <c r="C146" s="14">
        <f>IF(B146="","",IF(COUNTIF(lst_Jobs,B146&amp;"")&gt;0,"OK","CHECK"))</f>
        <v/>
      </c>
      <c r="D146" s="13" t="n"/>
      <c r="E146" s="13" t="n"/>
      <c r="F146" s="13" t="n"/>
      <c r="G146" s="13" t="n"/>
      <c r="H146" s="13" t="n"/>
      <c r="I146" s="15" t="n"/>
      <c r="J146" s="13" t="n"/>
      <c r="K146" s="13" t="n"/>
      <c r="L146" s="13" t="n"/>
      <c r="M146" s="13" t="n"/>
    </row>
    <row r="147" ht="15" customHeight="1">
      <c r="A147" s="47" t="n"/>
      <c r="B147" s="13" t="n"/>
      <c r="C147" s="14">
        <f>IF(B147="","",IF(COUNTIF(lst_Jobs,B147&amp;"")&gt;0,"OK","CHECK"))</f>
        <v/>
      </c>
      <c r="D147" s="13" t="n"/>
      <c r="E147" s="13" t="n"/>
      <c r="F147" s="13" t="n"/>
      <c r="G147" s="13" t="n"/>
      <c r="H147" s="13" t="n"/>
      <c r="I147" s="15" t="n"/>
      <c r="J147" s="13" t="n"/>
      <c r="K147" s="13" t="n"/>
      <c r="L147" s="13" t="n"/>
      <c r="M147" s="13" t="n"/>
    </row>
    <row r="148" ht="15" customHeight="1">
      <c r="A148" s="47" t="n"/>
      <c r="B148" s="13" t="n"/>
      <c r="C148" s="14">
        <f>IF(B148="","",IF(COUNTIF(lst_Jobs,B148&amp;"")&gt;0,"OK","CHECK"))</f>
        <v/>
      </c>
      <c r="D148" s="13" t="n"/>
      <c r="E148" s="13" t="n"/>
      <c r="F148" s="13" t="n"/>
      <c r="G148" s="13" t="n"/>
      <c r="H148" s="13" t="n"/>
      <c r="I148" s="15" t="n"/>
      <c r="J148" s="13" t="n"/>
      <c r="K148" s="13" t="n"/>
      <c r="L148" s="13" t="n"/>
      <c r="M148" s="13" t="n"/>
    </row>
    <row r="149" ht="15" customHeight="1">
      <c r="A149" s="47" t="n"/>
      <c r="B149" s="13" t="n"/>
      <c r="C149" s="14">
        <f>IF(B149="","",IF(COUNTIF(lst_Jobs,B149&amp;"")&gt;0,"OK","CHECK"))</f>
        <v/>
      </c>
      <c r="D149" s="13" t="n"/>
      <c r="E149" s="13" t="n"/>
      <c r="F149" s="13" t="n"/>
      <c r="G149" s="13" t="n"/>
      <c r="H149" s="13" t="n"/>
      <c r="I149" s="15" t="n"/>
      <c r="J149" s="13" t="n"/>
      <c r="K149" s="13" t="n"/>
      <c r="L149" s="13" t="n"/>
      <c r="M149" s="13" t="n"/>
    </row>
    <row r="150" ht="15" customHeight="1">
      <c r="A150" s="47" t="n"/>
      <c r="B150" s="13" t="n"/>
      <c r="C150" s="14">
        <f>IF(B150="","",IF(COUNTIF(lst_Jobs,B150&amp;"")&gt;0,"OK","CHECK"))</f>
        <v/>
      </c>
      <c r="D150" s="13" t="n"/>
      <c r="E150" s="13" t="n"/>
      <c r="F150" s="13" t="n"/>
      <c r="G150" s="13" t="n"/>
      <c r="H150" s="13" t="n"/>
      <c r="I150" s="15" t="n"/>
      <c r="J150" s="13" t="n"/>
      <c r="K150" s="13" t="n"/>
      <c r="L150" s="13" t="n"/>
      <c r="M150" s="13" t="n"/>
    </row>
    <row r="151" ht="15" customHeight="1">
      <c r="A151" s="47" t="n"/>
      <c r="B151" s="13" t="n"/>
      <c r="C151" s="14">
        <f>IF(B151="","",IF(COUNTIF(lst_Jobs,B151&amp;"")&gt;0,"OK","CHECK"))</f>
        <v/>
      </c>
      <c r="D151" s="13" t="n"/>
      <c r="E151" s="13" t="n"/>
      <c r="F151" s="13" t="n"/>
      <c r="G151" s="13" t="n"/>
      <c r="H151" s="13" t="n"/>
      <c r="I151" s="15" t="n"/>
      <c r="J151" s="13" t="n"/>
      <c r="K151" s="13" t="n"/>
      <c r="L151" s="13" t="n"/>
      <c r="M151" s="13" t="n"/>
    </row>
    <row r="152" ht="15" customHeight="1">
      <c r="A152" s="47" t="n"/>
      <c r="B152" s="13" t="n"/>
      <c r="C152" s="14">
        <f>IF(B152="","",IF(COUNTIF(lst_Jobs,B152&amp;"")&gt;0,"OK","CHECK"))</f>
        <v/>
      </c>
      <c r="D152" s="13" t="n"/>
      <c r="E152" s="13" t="n"/>
      <c r="F152" s="13" t="n"/>
      <c r="G152" s="13" t="n"/>
      <c r="H152" s="13" t="n"/>
      <c r="I152" s="15" t="n"/>
      <c r="J152" s="13" t="n"/>
      <c r="K152" s="13" t="n"/>
      <c r="L152" s="13" t="n"/>
      <c r="M152" s="13" t="n"/>
    </row>
    <row r="153" ht="15" customHeight="1">
      <c r="A153" s="47" t="n"/>
      <c r="B153" s="13" t="n"/>
      <c r="C153" s="14">
        <f>IF(B153="","",IF(COUNTIF(lst_Jobs,B153&amp;"")&gt;0,"OK","CHECK"))</f>
        <v/>
      </c>
      <c r="D153" s="13" t="n"/>
      <c r="E153" s="13" t="n"/>
      <c r="F153" s="13" t="n"/>
      <c r="G153" s="13" t="n"/>
      <c r="H153" s="13" t="n"/>
      <c r="I153" s="15" t="n"/>
      <c r="J153" s="13" t="n"/>
      <c r="K153" s="13" t="n"/>
      <c r="L153" s="13" t="n"/>
      <c r="M153" s="13" t="n"/>
    </row>
    <row r="154" ht="15" customHeight="1">
      <c r="A154" s="47" t="n"/>
      <c r="B154" s="13" t="n"/>
      <c r="C154" s="14">
        <f>IF(B154="","",IF(COUNTIF(lst_Jobs,B154&amp;"")&gt;0,"OK","CHECK"))</f>
        <v/>
      </c>
      <c r="D154" s="13" t="n"/>
      <c r="E154" s="13" t="n"/>
      <c r="F154" s="13" t="n"/>
      <c r="G154" s="13" t="n"/>
      <c r="H154" s="13" t="n"/>
      <c r="I154" s="15" t="n"/>
      <c r="J154" s="13" t="n"/>
      <c r="K154" s="13" t="n"/>
      <c r="L154" s="13" t="n"/>
      <c r="M154" s="13" t="n"/>
    </row>
    <row r="155" ht="15" customHeight="1">
      <c r="A155" s="47" t="n"/>
      <c r="B155" s="13" t="n"/>
      <c r="C155" s="14">
        <f>IF(B155="","",IF(COUNTIF(lst_Jobs,B155&amp;"")&gt;0,"OK","CHECK"))</f>
        <v/>
      </c>
      <c r="D155" s="13" t="n"/>
      <c r="E155" s="13" t="n"/>
      <c r="F155" s="13" t="n"/>
      <c r="G155" s="13" t="n"/>
      <c r="H155" s="13" t="n"/>
      <c r="I155" s="15" t="n"/>
      <c r="J155" s="13" t="n"/>
      <c r="K155" s="13" t="n"/>
      <c r="L155" s="13" t="n"/>
      <c r="M155" s="13" t="n"/>
    </row>
    <row r="156" ht="15" customHeight="1">
      <c r="A156" s="47" t="n"/>
      <c r="B156" s="13" t="n"/>
      <c r="C156" s="14">
        <f>IF(B156="","",IF(COUNTIF(lst_Jobs,B156&amp;"")&gt;0,"OK","CHECK"))</f>
        <v/>
      </c>
      <c r="D156" s="13" t="n"/>
      <c r="E156" s="13" t="n"/>
      <c r="F156" s="13" t="n"/>
      <c r="G156" s="13" t="n"/>
      <c r="H156" s="13" t="n"/>
      <c r="I156" s="15" t="n"/>
      <c r="J156" s="13" t="n"/>
      <c r="K156" s="13" t="n"/>
      <c r="L156" s="13" t="n"/>
      <c r="M156" s="13" t="n"/>
    </row>
    <row r="157" ht="15" customHeight="1">
      <c r="A157" s="47" t="n"/>
      <c r="B157" s="13" t="n"/>
      <c r="C157" s="14">
        <f>IF(B157="","",IF(COUNTIF(lst_Jobs,B157&amp;"")&gt;0,"OK","CHECK"))</f>
        <v/>
      </c>
      <c r="D157" s="13" t="n"/>
      <c r="E157" s="13" t="n"/>
      <c r="F157" s="13" t="n"/>
      <c r="G157" s="13" t="n"/>
      <c r="H157" s="13" t="n"/>
      <c r="I157" s="15" t="n"/>
      <c r="J157" s="13" t="n"/>
      <c r="K157" s="13" t="n"/>
      <c r="L157" s="13" t="n"/>
      <c r="M157" s="13" t="n"/>
    </row>
    <row r="158" ht="15" customHeight="1">
      <c r="A158" s="47" t="n"/>
      <c r="B158" s="13" t="n"/>
      <c r="C158" s="14">
        <f>IF(B158="","",IF(COUNTIF(lst_Jobs,B158&amp;"")&gt;0,"OK","CHECK"))</f>
        <v/>
      </c>
      <c r="D158" s="13" t="n"/>
      <c r="E158" s="13" t="n"/>
      <c r="F158" s="13" t="n"/>
      <c r="G158" s="13" t="n"/>
      <c r="H158" s="13" t="n"/>
      <c r="I158" s="15" t="n"/>
      <c r="J158" s="13" t="n"/>
      <c r="K158" s="13" t="n"/>
      <c r="L158" s="13" t="n"/>
      <c r="M158" s="13" t="n"/>
    </row>
    <row r="159" ht="15" customHeight="1">
      <c r="A159" s="47" t="n"/>
      <c r="B159" s="13" t="n"/>
      <c r="C159" s="14">
        <f>IF(B159="","",IF(COUNTIF(lst_Jobs,B159&amp;"")&gt;0,"OK","CHECK"))</f>
        <v/>
      </c>
      <c r="D159" s="13" t="n"/>
      <c r="E159" s="13" t="n"/>
      <c r="F159" s="13" t="n"/>
      <c r="G159" s="13" t="n"/>
      <c r="H159" s="13" t="n"/>
      <c r="I159" s="15" t="n"/>
      <c r="J159" s="13" t="n"/>
      <c r="K159" s="13" t="n"/>
      <c r="L159" s="13" t="n"/>
      <c r="M159" s="13" t="n"/>
    </row>
    <row r="160" ht="15" customHeight="1">
      <c r="A160" s="47" t="n"/>
      <c r="B160" s="13" t="n"/>
      <c r="C160" s="14">
        <f>IF(B160="","",IF(COUNTIF(lst_Jobs,B160&amp;"")&gt;0,"OK","CHECK"))</f>
        <v/>
      </c>
      <c r="D160" s="13" t="n"/>
      <c r="E160" s="13" t="n"/>
      <c r="F160" s="13" t="n"/>
      <c r="G160" s="13" t="n"/>
      <c r="H160" s="13" t="n"/>
      <c r="I160" s="15" t="n"/>
      <c r="J160" s="13" t="n"/>
      <c r="K160" s="13" t="n"/>
      <c r="L160" s="13" t="n"/>
      <c r="M160" s="13" t="n"/>
    </row>
    <row r="161" ht="15" customHeight="1">
      <c r="A161" s="47" t="n"/>
      <c r="B161" s="13" t="n"/>
      <c r="C161" s="14">
        <f>IF(B161="","",IF(COUNTIF(lst_Jobs,B161&amp;"")&gt;0,"OK","CHECK"))</f>
        <v/>
      </c>
      <c r="D161" s="13" t="n"/>
      <c r="E161" s="13" t="n"/>
      <c r="F161" s="13" t="n"/>
      <c r="G161" s="13" t="n"/>
      <c r="H161" s="13" t="n"/>
      <c r="I161" s="15" t="n"/>
      <c r="J161" s="13" t="n"/>
      <c r="K161" s="13" t="n"/>
      <c r="L161" s="13" t="n"/>
      <c r="M161" s="13" t="n"/>
    </row>
    <row r="162" ht="15" customHeight="1">
      <c r="A162" s="47" t="n"/>
      <c r="B162" s="13" t="n"/>
      <c r="C162" s="14">
        <f>IF(B162="","",IF(COUNTIF(lst_Jobs,B162&amp;"")&gt;0,"OK","CHECK"))</f>
        <v/>
      </c>
      <c r="D162" s="13" t="n"/>
      <c r="E162" s="13" t="n"/>
      <c r="F162" s="13" t="n"/>
      <c r="G162" s="13" t="n"/>
      <c r="H162" s="13" t="n"/>
      <c r="I162" s="15" t="n"/>
      <c r="J162" s="13" t="n"/>
      <c r="K162" s="13" t="n"/>
      <c r="L162" s="13" t="n"/>
      <c r="M162" s="13" t="n"/>
    </row>
    <row r="163" ht="15" customHeight="1">
      <c r="A163" s="47" t="n"/>
      <c r="B163" s="13" t="n"/>
      <c r="C163" s="14">
        <f>IF(B163="","",IF(COUNTIF(lst_Jobs,B163&amp;"")&gt;0,"OK","CHECK"))</f>
        <v/>
      </c>
      <c r="D163" s="13" t="n"/>
      <c r="E163" s="13" t="n"/>
      <c r="F163" s="13" t="n"/>
      <c r="G163" s="13" t="n"/>
      <c r="H163" s="13" t="n"/>
      <c r="I163" s="15" t="n"/>
      <c r="J163" s="13" t="n"/>
      <c r="K163" s="13" t="n"/>
      <c r="L163" s="13" t="n"/>
      <c r="M163" s="13" t="n"/>
    </row>
    <row r="164" ht="15" customHeight="1">
      <c r="A164" s="47" t="n"/>
      <c r="B164" s="13" t="n"/>
      <c r="C164" s="14">
        <f>IF(B164="","",IF(COUNTIF(lst_Jobs,B164&amp;"")&gt;0,"OK","CHECK"))</f>
        <v/>
      </c>
      <c r="D164" s="13" t="n"/>
      <c r="E164" s="13" t="n"/>
      <c r="F164" s="13" t="n"/>
      <c r="G164" s="13" t="n"/>
      <c r="H164" s="13" t="n"/>
      <c r="I164" s="15" t="n"/>
      <c r="J164" s="13" t="n"/>
      <c r="K164" s="13" t="n"/>
      <c r="L164" s="13" t="n"/>
      <c r="M164" s="13" t="n"/>
    </row>
    <row r="165" ht="15" customHeight="1">
      <c r="A165" s="47" t="n"/>
      <c r="B165" s="13" t="n"/>
      <c r="C165" s="14">
        <f>IF(B165="","",IF(COUNTIF(lst_Jobs,B165&amp;"")&gt;0,"OK","CHECK"))</f>
        <v/>
      </c>
      <c r="D165" s="13" t="n"/>
      <c r="E165" s="13" t="n"/>
      <c r="F165" s="13" t="n"/>
      <c r="G165" s="13" t="n"/>
      <c r="H165" s="13" t="n"/>
      <c r="I165" s="15" t="n"/>
      <c r="J165" s="13" t="n"/>
      <c r="K165" s="13" t="n"/>
      <c r="L165" s="13" t="n"/>
      <c r="M165" s="13" t="n"/>
    </row>
    <row r="166" ht="15" customHeight="1">
      <c r="A166" s="47" t="n"/>
      <c r="B166" s="13" t="n"/>
      <c r="C166" s="14">
        <f>IF(B166="","",IF(COUNTIF(lst_Jobs,B166&amp;"")&gt;0,"OK","CHECK"))</f>
        <v/>
      </c>
      <c r="D166" s="13" t="n"/>
      <c r="E166" s="13" t="n"/>
      <c r="F166" s="13" t="n"/>
      <c r="G166" s="13" t="n"/>
      <c r="H166" s="13" t="n"/>
      <c r="I166" s="15" t="n"/>
      <c r="J166" s="13" t="n"/>
      <c r="K166" s="13" t="n"/>
      <c r="L166" s="13" t="n"/>
      <c r="M166" s="13" t="n"/>
    </row>
    <row r="167" ht="15" customHeight="1">
      <c r="A167" s="47" t="n"/>
      <c r="B167" s="13" t="n"/>
      <c r="C167" s="14">
        <f>IF(B167="","",IF(COUNTIF(lst_Jobs,B167&amp;"")&gt;0,"OK","CHECK"))</f>
        <v/>
      </c>
      <c r="D167" s="13" t="n"/>
      <c r="E167" s="13" t="n"/>
      <c r="F167" s="13" t="n"/>
      <c r="G167" s="13" t="n"/>
      <c r="H167" s="13" t="n"/>
      <c r="I167" s="15" t="n"/>
      <c r="J167" s="13" t="n"/>
      <c r="K167" s="13" t="n"/>
      <c r="L167" s="13" t="n"/>
      <c r="M167" s="13" t="n"/>
    </row>
    <row r="168" ht="15" customHeight="1">
      <c r="A168" s="47" t="n"/>
      <c r="B168" s="13" t="n"/>
      <c r="C168" s="14">
        <f>IF(B168="","",IF(COUNTIF(lst_Jobs,B168&amp;"")&gt;0,"OK","CHECK"))</f>
        <v/>
      </c>
      <c r="D168" s="13" t="n"/>
      <c r="E168" s="13" t="n"/>
      <c r="F168" s="13" t="n"/>
      <c r="G168" s="13" t="n"/>
      <c r="H168" s="13" t="n"/>
      <c r="I168" s="15" t="n"/>
      <c r="J168" s="13" t="n"/>
      <c r="K168" s="13" t="n"/>
      <c r="L168" s="13" t="n"/>
      <c r="M168" s="13" t="n"/>
    </row>
    <row r="169" ht="15" customHeight="1">
      <c r="A169" s="47" t="n"/>
      <c r="B169" s="13" t="n"/>
      <c r="C169" s="14">
        <f>IF(B169="","",IF(COUNTIF(lst_Jobs,B169&amp;"")&gt;0,"OK","CHECK"))</f>
        <v/>
      </c>
      <c r="D169" s="13" t="n"/>
      <c r="E169" s="13" t="n"/>
      <c r="F169" s="13" t="n"/>
      <c r="G169" s="13" t="n"/>
      <c r="H169" s="13" t="n"/>
      <c r="I169" s="15" t="n"/>
      <c r="J169" s="13" t="n"/>
      <c r="K169" s="13" t="n"/>
      <c r="L169" s="13" t="n"/>
      <c r="M169" s="13" t="n"/>
    </row>
    <row r="170" ht="15" customHeight="1">
      <c r="A170" s="47" t="n"/>
      <c r="B170" s="13" t="n"/>
      <c r="C170" s="14">
        <f>IF(B170="","",IF(COUNTIF(lst_Jobs,B170&amp;"")&gt;0,"OK","CHECK"))</f>
        <v/>
      </c>
      <c r="D170" s="13" t="n"/>
      <c r="E170" s="13" t="n"/>
      <c r="F170" s="13" t="n"/>
      <c r="G170" s="13" t="n"/>
      <c r="H170" s="13" t="n"/>
      <c r="I170" s="15" t="n"/>
      <c r="J170" s="13" t="n"/>
      <c r="K170" s="13" t="n"/>
      <c r="L170" s="13" t="n"/>
      <c r="M170" s="13" t="n"/>
    </row>
    <row r="171" ht="15" customHeight="1">
      <c r="A171" s="47" t="n"/>
      <c r="B171" s="13" t="n"/>
      <c r="C171" s="14">
        <f>IF(B171="","",IF(COUNTIF(lst_Jobs,B171&amp;"")&gt;0,"OK","CHECK"))</f>
        <v/>
      </c>
      <c r="D171" s="13" t="n"/>
      <c r="E171" s="13" t="n"/>
      <c r="F171" s="13" t="n"/>
      <c r="G171" s="13" t="n"/>
      <c r="H171" s="13" t="n"/>
      <c r="I171" s="15" t="n"/>
      <c r="J171" s="13" t="n"/>
      <c r="K171" s="13" t="n"/>
      <c r="L171" s="13" t="n"/>
      <c r="M171" s="13" t="n"/>
    </row>
    <row r="172" ht="15" customHeight="1">
      <c r="A172" s="47" t="n"/>
      <c r="B172" s="13" t="n"/>
      <c r="C172" s="14">
        <f>IF(B172="","",IF(COUNTIF(lst_Jobs,B172&amp;"")&gt;0,"OK","CHECK"))</f>
        <v/>
      </c>
      <c r="D172" s="13" t="n"/>
      <c r="E172" s="13" t="n"/>
      <c r="F172" s="13" t="n"/>
      <c r="G172" s="13" t="n"/>
      <c r="H172" s="13" t="n"/>
      <c r="I172" s="15" t="n"/>
      <c r="J172" s="13" t="n"/>
      <c r="K172" s="13" t="n"/>
      <c r="L172" s="13" t="n"/>
      <c r="M172" s="13" t="n"/>
    </row>
    <row r="173" ht="15" customHeight="1">
      <c r="A173" s="47" t="n"/>
      <c r="B173" s="13" t="n"/>
      <c r="C173" s="14">
        <f>IF(B173="","",IF(COUNTIF(lst_Jobs,B173&amp;"")&gt;0,"OK","CHECK"))</f>
        <v/>
      </c>
      <c r="D173" s="13" t="n"/>
      <c r="E173" s="13" t="n"/>
      <c r="F173" s="13" t="n"/>
      <c r="G173" s="13" t="n"/>
      <c r="H173" s="13" t="n"/>
      <c r="I173" s="15" t="n"/>
      <c r="J173" s="13" t="n"/>
      <c r="K173" s="13" t="n"/>
      <c r="L173" s="13" t="n"/>
      <c r="M173" s="13" t="n"/>
    </row>
    <row r="174" ht="15" customHeight="1">
      <c r="A174" s="47" t="n"/>
      <c r="B174" s="13" t="n"/>
      <c r="C174" s="14">
        <f>IF(B174="","",IF(COUNTIF(lst_Jobs,B174&amp;"")&gt;0,"OK","CHECK"))</f>
        <v/>
      </c>
      <c r="D174" s="13" t="n"/>
      <c r="E174" s="13" t="n"/>
      <c r="F174" s="13" t="n"/>
      <c r="G174" s="13" t="n"/>
      <c r="H174" s="13" t="n"/>
      <c r="I174" s="15" t="n"/>
      <c r="J174" s="13" t="n"/>
      <c r="K174" s="13" t="n"/>
      <c r="L174" s="13" t="n"/>
      <c r="M174" s="13" t="n"/>
    </row>
    <row r="175" ht="15" customHeight="1">
      <c r="A175" s="47" t="n"/>
      <c r="B175" s="13" t="n"/>
      <c r="C175" s="14">
        <f>IF(B175="","",IF(COUNTIF(lst_Jobs,B175&amp;"")&gt;0,"OK","CHECK"))</f>
        <v/>
      </c>
      <c r="D175" s="13" t="n"/>
      <c r="E175" s="13" t="n"/>
      <c r="F175" s="13" t="n"/>
      <c r="G175" s="13" t="n"/>
      <c r="H175" s="13" t="n"/>
      <c r="I175" s="15" t="n"/>
      <c r="J175" s="13" t="n"/>
      <c r="K175" s="13" t="n"/>
      <c r="L175" s="13" t="n"/>
      <c r="M175" s="13" t="n"/>
    </row>
    <row r="176" ht="15" customHeight="1">
      <c r="A176" s="47" t="n"/>
      <c r="B176" s="13" t="n"/>
      <c r="C176" s="14">
        <f>IF(B176="","",IF(COUNTIF(lst_Jobs,B176&amp;"")&gt;0,"OK","CHECK"))</f>
        <v/>
      </c>
      <c r="D176" s="13" t="n"/>
      <c r="E176" s="13" t="n"/>
      <c r="F176" s="13" t="n"/>
      <c r="G176" s="13" t="n"/>
      <c r="H176" s="13" t="n"/>
      <c r="I176" s="15" t="n"/>
      <c r="J176" s="13" t="n"/>
      <c r="K176" s="13" t="n"/>
      <c r="L176" s="13" t="n"/>
      <c r="M176" s="13" t="n"/>
    </row>
    <row r="177" ht="15" customHeight="1">
      <c r="A177" s="47" t="n"/>
      <c r="B177" s="13" t="n"/>
      <c r="C177" s="14">
        <f>IF(B177="","",IF(COUNTIF(lst_Jobs,B177&amp;"")&gt;0,"OK","CHECK"))</f>
        <v/>
      </c>
      <c r="D177" s="13" t="n"/>
      <c r="E177" s="13" t="n"/>
      <c r="F177" s="13" t="n"/>
      <c r="G177" s="13" t="n"/>
      <c r="H177" s="13" t="n"/>
      <c r="I177" s="15" t="n"/>
      <c r="J177" s="13" t="n"/>
      <c r="K177" s="13" t="n"/>
      <c r="L177" s="13" t="n"/>
      <c r="M177" s="13" t="n"/>
    </row>
    <row r="178" ht="15" customHeight="1">
      <c r="A178" s="47" t="n"/>
      <c r="B178" s="13" t="n"/>
      <c r="C178" s="14">
        <f>IF(B178="","",IF(COUNTIF(lst_Jobs,B178&amp;"")&gt;0,"OK","CHECK"))</f>
        <v/>
      </c>
      <c r="D178" s="13" t="n"/>
      <c r="E178" s="13" t="n"/>
      <c r="F178" s="13" t="n"/>
      <c r="G178" s="13" t="n"/>
      <c r="H178" s="13" t="n"/>
      <c r="I178" s="15" t="n"/>
      <c r="J178" s="13" t="n"/>
      <c r="K178" s="13" t="n"/>
      <c r="L178" s="13" t="n"/>
      <c r="M178" s="13" t="n"/>
    </row>
    <row r="179" ht="15" customHeight="1">
      <c r="A179" s="47" t="n"/>
      <c r="B179" s="13" t="n"/>
      <c r="C179" s="14">
        <f>IF(B179="","",IF(COUNTIF(lst_Jobs,B179&amp;"")&gt;0,"OK","CHECK"))</f>
        <v/>
      </c>
      <c r="D179" s="13" t="n"/>
      <c r="E179" s="13" t="n"/>
      <c r="F179" s="13" t="n"/>
      <c r="G179" s="13" t="n"/>
      <c r="H179" s="13" t="n"/>
      <c r="I179" s="15" t="n"/>
      <c r="J179" s="13" t="n"/>
      <c r="K179" s="13" t="n"/>
      <c r="L179" s="13" t="n"/>
      <c r="M179" s="13" t="n"/>
    </row>
    <row r="180" ht="15" customHeight="1">
      <c r="A180" s="47" t="n"/>
      <c r="B180" s="13" t="n"/>
      <c r="C180" s="14">
        <f>IF(B180="","",IF(COUNTIF(lst_Jobs,B180&amp;"")&gt;0,"OK","CHECK"))</f>
        <v/>
      </c>
      <c r="D180" s="13" t="n"/>
      <c r="E180" s="13" t="n"/>
      <c r="F180" s="13" t="n"/>
      <c r="G180" s="13" t="n"/>
      <c r="H180" s="13" t="n"/>
      <c r="I180" s="15" t="n"/>
      <c r="J180" s="13" t="n"/>
      <c r="K180" s="13" t="n"/>
      <c r="L180" s="13" t="n"/>
      <c r="M180" s="13" t="n"/>
    </row>
    <row r="181" ht="15" customHeight="1">
      <c r="A181" s="47" t="n"/>
      <c r="B181" s="13" t="n"/>
      <c r="C181" s="14">
        <f>IF(B181="","",IF(COUNTIF(lst_Jobs,B181&amp;"")&gt;0,"OK","CHECK"))</f>
        <v/>
      </c>
      <c r="D181" s="13" t="n"/>
      <c r="E181" s="13" t="n"/>
      <c r="F181" s="13" t="n"/>
      <c r="G181" s="13" t="n"/>
      <c r="H181" s="13" t="n"/>
      <c r="I181" s="15" t="n"/>
      <c r="J181" s="13" t="n"/>
      <c r="K181" s="13" t="n"/>
      <c r="L181" s="13" t="n"/>
      <c r="M181" s="13" t="n"/>
    </row>
    <row r="182" ht="15" customHeight="1">
      <c r="A182" s="47" t="n"/>
      <c r="B182" s="13" t="n"/>
      <c r="C182" s="14">
        <f>IF(B182="","",IF(COUNTIF(lst_Jobs,B182&amp;"")&gt;0,"OK","CHECK"))</f>
        <v/>
      </c>
      <c r="D182" s="13" t="n"/>
      <c r="E182" s="13" t="n"/>
      <c r="F182" s="13" t="n"/>
      <c r="G182" s="13" t="n"/>
      <c r="H182" s="13" t="n"/>
      <c r="I182" s="15" t="n"/>
      <c r="J182" s="13" t="n"/>
      <c r="K182" s="13" t="n"/>
      <c r="L182" s="13" t="n"/>
      <c r="M182" s="13" t="n"/>
    </row>
    <row r="183" ht="15" customHeight="1">
      <c r="A183" s="47" t="n"/>
      <c r="B183" s="13" t="n"/>
      <c r="C183" s="14">
        <f>IF(B183="","",IF(COUNTIF(lst_Jobs,B183&amp;"")&gt;0,"OK","CHECK"))</f>
        <v/>
      </c>
      <c r="D183" s="13" t="n"/>
      <c r="E183" s="13" t="n"/>
      <c r="F183" s="13" t="n"/>
      <c r="G183" s="13" t="n"/>
      <c r="H183" s="13" t="n"/>
      <c r="I183" s="15" t="n"/>
      <c r="J183" s="13" t="n"/>
      <c r="K183" s="13" t="n"/>
      <c r="L183" s="13" t="n"/>
      <c r="M183" s="13" t="n"/>
    </row>
    <row r="184" ht="15" customHeight="1">
      <c r="A184" s="47" t="n"/>
      <c r="B184" s="13" t="n"/>
      <c r="C184" s="14">
        <f>IF(B184="","",IF(COUNTIF(lst_Jobs,B184&amp;"")&gt;0,"OK","CHECK"))</f>
        <v/>
      </c>
      <c r="D184" s="13" t="n"/>
      <c r="E184" s="13" t="n"/>
      <c r="F184" s="13" t="n"/>
      <c r="G184" s="13" t="n"/>
      <c r="H184" s="13" t="n"/>
      <c r="I184" s="15" t="n"/>
      <c r="J184" s="13" t="n"/>
      <c r="K184" s="13" t="n"/>
      <c r="L184" s="13" t="n"/>
      <c r="M184" s="13" t="n"/>
    </row>
    <row r="185" ht="15" customHeight="1">
      <c r="A185" s="47" t="n"/>
      <c r="B185" s="13" t="n"/>
      <c r="C185" s="14">
        <f>IF(B185="","",IF(COUNTIF(lst_Jobs,B185&amp;"")&gt;0,"OK","CHECK"))</f>
        <v/>
      </c>
      <c r="D185" s="13" t="n"/>
      <c r="E185" s="13" t="n"/>
      <c r="F185" s="13" t="n"/>
      <c r="G185" s="13" t="n"/>
      <c r="H185" s="13" t="n"/>
      <c r="I185" s="15" t="n"/>
      <c r="J185" s="13" t="n"/>
      <c r="K185" s="13" t="n"/>
      <c r="L185" s="13" t="n"/>
      <c r="M185" s="13" t="n"/>
    </row>
    <row r="186" ht="15" customHeight="1">
      <c r="A186" s="47" t="n"/>
      <c r="B186" s="13" t="n"/>
      <c r="C186" s="14">
        <f>IF(B186="","",IF(COUNTIF(lst_Jobs,B186&amp;"")&gt;0,"OK","CHECK"))</f>
        <v/>
      </c>
      <c r="D186" s="13" t="n"/>
      <c r="E186" s="13" t="n"/>
      <c r="F186" s="13" t="n"/>
      <c r="G186" s="13" t="n"/>
      <c r="H186" s="13" t="n"/>
      <c r="I186" s="15" t="n"/>
      <c r="J186" s="13" t="n"/>
      <c r="K186" s="13" t="n"/>
      <c r="L186" s="13" t="n"/>
      <c r="M186" s="13" t="n"/>
    </row>
    <row r="187" ht="15" customHeight="1">
      <c r="A187" s="47" t="n"/>
      <c r="B187" s="13" t="n"/>
      <c r="C187" s="14">
        <f>IF(B187="","",IF(COUNTIF(lst_Jobs,B187&amp;"")&gt;0,"OK","CHECK"))</f>
        <v/>
      </c>
      <c r="D187" s="13" t="n"/>
      <c r="E187" s="13" t="n"/>
      <c r="F187" s="13" t="n"/>
      <c r="G187" s="13" t="n"/>
      <c r="H187" s="13" t="n"/>
      <c r="I187" s="15" t="n"/>
      <c r="J187" s="13" t="n"/>
      <c r="K187" s="13" t="n"/>
      <c r="L187" s="13" t="n"/>
      <c r="M187" s="13" t="n"/>
    </row>
    <row r="188" ht="15" customHeight="1">
      <c r="A188" s="47" t="n"/>
      <c r="B188" s="13" t="n"/>
      <c r="C188" s="14">
        <f>IF(B188="","",IF(COUNTIF(lst_Jobs,B188&amp;"")&gt;0,"OK","CHECK"))</f>
        <v/>
      </c>
      <c r="D188" s="13" t="n"/>
      <c r="E188" s="13" t="n"/>
      <c r="F188" s="13" t="n"/>
      <c r="G188" s="13" t="n"/>
      <c r="H188" s="13" t="n"/>
      <c r="I188" s="15" t="n"/>
      <c r="J188" s="13" t="n"/>
      <c r="K188" s="13" t="n"/>
      <c r="L188" s="13" t="n"/>
      <c r="M188" s="13" t="n"/>
    </row>
    <row r="189" ht="15" customHeight="1">
      <c r="A189" s="47" t="n"/>
      <c r="B189" s="13" t="n"/>
      <c r="C189" s="14">
        <f>IF(B189="","",IF(COUNTIF(lst_Jobs,B189&amp;"")&gt;0,"OK","CHECK"))</f>
        <v/>
      </c>
      <c r="D189" s="13" t="n"/>
      <c r="E189" s="13" t="n"/>
      <c r="F189" s="13" t="n"/>
      <c r="G189" s="13" t="n"/>
      <c r="H189" s="13" t="n"/>
      <c r="I189" s="15" t="n"/>
      <c r="J189" s="13" t="n"/>
      <c r="K189" s="13" t="n"/>
      <c r="L189" s="13" t="n"/>
      <c r="M189" s="13" t="n"/>
    </row>
    <row r="190" ht="15" customHeight="1">
      <c r="A190" s="47" t="n"/>
      <c r="B190" s="13" t="n"/>
      <c r="C190" s="14">
        <f>IF(B190="","",IF(COUNTIF(lst_Jobs,B190&amp;"")&gt;0,"OK","CHECK"))</f>
        <v/>
      </c>
      <c r="D190" s="13" t="n"/>
      <c r="E190" s="13" t="n"/>
      <c r="F190" s="13" t="n"/>
      <c r="G190" s="13" t="n"/>
      <c r="H190" s="13" t="n"/>
      <c r="I190" s="15" t="n"/>
      <c r="J190" s="13" t="n"/>
      <c r="K190" s="13" t="n"/>
      <c r="L190" s="13" t="n"/>
      <c r="M190" s="13" t="n"/>
    </row>
    <row r="191" ht="15" customHeight="1">
      <c r="A191" s="47" t="n"/>
      <c r="B191" s="13" t="n"/>
      <c r="C191" s="14">
        <f>IF(B191="","",IF(COUNTIF(lst_Jobs,B191&amp;"")&gt;0,"OK","CHECK"))</f>
        <v/>
      </c>
      <c r="D191" s="13" t="n"/>
      <c r="E191" s="13" t="n"/>
      <c r="F191" s="13" t="n"/>
      <c r="G191" s="13" t="n"/>
      <c r="H191" s="13" t="n"/>
      <c r="I191" s="15" t="n"/>
      <c r="J191" s="13" t="n"/>
      <c r="K191" s="13" t="n"/>
      <c r="L191" s="13" t="n"/>
      <c r="M191" s="13" t="n"/>
    </row>
    <row r="192" ht="15" customHeight="1">
      <c r="A192" s="47" t="n"/>
      <c r="B192" s="13" t="n"/>
      <c r="C192" s="14">
        <f>IF(B192="","",IF(COUNTIF(lst_Jobs,B192&amp;"")&gt;0,"OK","CHECK"))</f>
        <v/>
      </c>
      <c r="D192" s="13" t="n"/>
      <c r="E192" s="13" t="n"/>
      <c r="F192" s="13" t="n"/>
      <c r="G192" s="13" t="n"/>
      <c r="H192" s="13" t="n"/>
      <c r="I192" s="15" t="n"/>
      <c r="J192" s="13" t="n"/>
      <c r="K192" s="13" t="n"/>
      <c r="L192" s="13" t="n"/>
      <c r="M192" s="13" t="n"/>
    </row>
    <row r="193" ht="15" customHeight="1">
      <c r="A193" s="47" t="n"/>
      <c r="B193" s="13" t="n"/>
      <c r="C193" s="14">
        <f>IF(B193="","",IF(COUNTIF(lst_Jobs,B193&amp;"")&gt;0,"OK","CHECK"))</f>
        <v/>
      </c>
      <c r="D193" s="13" t="n"/>
      <c r="E193" s="13" t="n"/>
      <c r="F193" s="13" t="n"/>
      <c r="G193" s="13" t="n"/>
      <c r="H193" s="13" t="n"/>
      <c r="I193" s="15" t="n"/>
      <c r="J193" s="13" t="n"/>
      <c r="K193" s="13" t="n"/>
      <c r="L193" s="13" t="n"/>
      <c r="M193" s="13" t="n"/>
    </row>
    <row r="194" ht="15" customHeight="1">
      <c r="A194" s="47" t="n"/>
      <c r="B194" s="13" t="n"/>
      <c r="C194" s="14">
        <f>IF(B194="","",IF(COUNTIF(lst_Jobs,B194&amp;"")&gt;0,"OK","CHECK"))</f>
        <v/>
      </c>
      <c r="D194" s="13" t="n"/>
      <c r="E194" s="13" t="n"/>
      <c r="F194" s="13" t="n"/>
      <c r="G194" s="13" t="n"/>
      <c r="H194" s="13" t="n"/>
      <c r="I194" s="15" t="n"/>
      <c r="J194" s="13" t="n"/>
      <c r="K194" s="13" t="n"/>
      <c r="L194" s="13" t="n"/>
      <c r="M194" s="13" t="n"/>
    </row>
    <row r="195" ht="15" customHeight="1">
      <c r="A195" s="47" t="n"/>
      <c r="B195" s="13" t="n"/>
      <c r="C195" s="14">
        <f>IF(B195="","",IF(COUNTIF(lst_Jobs,B195&amp;"")&gt;0,"OK","CHECK"))</f>
        <v/>
      </c>
      <c r="D195" s="13" t="n"/>
      <c r="E195" s="13" t="n"/>
      <c r="F195" s="13" t="n"/>
      <c r="G195" s="13" t="n"/>
      <c r="H195" s="13" t="n"/>
      <c r="I195" s="15" t="n"/>
      <c r="J195" s="13" t="n"/>
      <c r="K195" s="13" t="n"/>
      <c r="L195" s="13" t="n"/>
      <c r="M195" s="13" t="n"/>
    </row>
    <row r="196" ht="15" customHeight="1">
      <c r="A196" s="47" t="n"/>
      <c r="B196" s="13" t="n"/>
      <c r="C196" s="14">
        <f>IF(B196="","",IF(COUNTIF(lst_Jobs,B196&amp;"")&gt;0,"OK","CHECK"))</f>
        <v/>
      </c>
      <c r="D196" s="13" t="n"/>
      <c r="E196" s="13" t="n"/>
      <c r="F196" s="13" t="n"/>
      <c r="G196" s="13" t="n"/>
      <c r="H196" s="13" t="n"/>
      <c r="I196" s="15" t="n"/>
      <c r="J196" s="13" t="n"/>
      <c r="K196" s="13" t="n"/>
      <c r="L196" s="13" t="n"/>
      <c r="M196" s="13" t="n"/>
    </row>
    <row r="197" ht="15" customHeight="1">
      <c r="A197" s="47" t="n"/>
      <c r="B197" s="13" t="n"/>
      <c r="C197" s="14">
        <f>IF(B197="","",IF(COUNTIF(lst_Jobs,B197&amp;"")&gt;0,"OK","CHECK"))</f>
        <v/>
      </c>
      <c r="D197" s="13" t="n"/>
      <c r="E197" s="13" t="n"/>
      <c r="F197" s="13" t="n"/>
      <c r="G197" s="13" t="n"/>
      <c r="H197" s="13" t="n"/>
      <c r="I197" s="15" t="n"/>
      <c r="J197" s="13" t="n"/>
      <c r="K197" s="13" t="n"/>
      <c r="L197" s="13" t="n"/>
      <c r="M197" s="13" t="n"/>
    </row>
    <row r="198" ht="15" customHeight="1">
      <c r="A198" s="47" t="n"/>
      <c r="B198" s="13" t="n"/>
      <c r="C198" s="14">
        <f>IF(B198="","",IF(COUNTIF(lst_Jobs,B198&amp;"")&gt;0,"OK","CHECK"))</f>
        <v/>
      </c>
      <c r="D198" s="13" t="n"/>
      <c r="E198" s="13" t="n"/>
      <c r="F198" s="13" t="n"/>
      <c r="G198" s="13" t="n"/>
      <c r="H198" s="13" t="n"/>
      <c r="I198" s="15" t="n"/>
      <c r="J198" s="13" t="n"/>
      <c r="K198" s="13" t="n"/>
      <c r="L198" s="13" t="n"/>
      <c r="M198" s="13" t="n"/>
    </row>
    <row r="199" ht="15" customHeight="1">
      <c r="A199" s="47" t="n"/>
      <c r="B199" s="13" t="n"/>
      <c r="C199" s="14">
        <f>IF(B199="","",IF(COUNTIF(lst_Jobs,B199&amp;"")&gt;0,"OK","CHECK"))</f>
        <v/>
      </c>
      <c r="D199" s="13" t="n"/>
      <c r="E199" s="13" t="n"/>
      <c r="F199" s="13" t="n"/>
      <c r="G199" s="13" t="n"/>
      <c r="H199" s="13" t="n"/>
      <c r="I199" s="15" t="n"/>
      <c r="J199" s="13" t="n"/>
      <c r="K199" s="13" t="n"/>
      <c r="L199" s="13" t="n"/>
      <c r="M199" s="13" t="n"/>
    </row>
    <row r="200" ht="15" customHeight="1">
      <c r="A200" s="47" t="n"/>
      <c r="B200" s="13" t="n"/>
      <c r="C200" s="14">
        <f>IF(B200="","",IF(COUNTIF(lst_Jobs,B200&amp;"")&gt;0,"OK","CHECK"))</f>
        <v/>
      </c>
      <c r="D200" s="13" t="n"/>
      <c r="E200" s="13" t="n"/>
      <c r="F200" s="13" t="n"/>
      <c r="G200" s="13" t="n"/>
      <c r="H200" s="13" t="n"/>
      <c r="I200" s="15" t="n"/>
      <c r="J200" s="13" t="n"/>
      <c r="K200" s="13" t="n"/>
      <c r="L200" s="13" t="n"/>
      <c r="M200" s="13" t="n"/>
    </row>
    <row r="201" ht="15" customHeight="1">
      <c r="A201" s="47" t="n"/>
      <c r="B201" s="13" t="n"/>
      <c r="C201" s="14">
        <f>IF(B201="","",IF(COUNTIF(lst_Jobs,B201&amp;"")&gt;0,"OK","CHECK"))</f>
        <v/>
      </c>
      <c r="D201" s="13" t="n"/>
      <c r="E201" s="13" t="n"/>
      <c r="F201" s="13" t="n"/>
      <c r="G201" s="13" t="n"/>
      <c r="H201" s="13" t="n"/>
      <c r="I201" s="15" t="n"/>
      <c r="J201" s="13" t="n"/>
      <c r="K201" s="13" t="n"/>
      <c r="L201" s="13" t="n"/>
      <c r="M201" s="13" t="n"/>
    </row>
    <row r="202" ht="15" customHeight="1">
      <c r="A202" s="47" t="n"/>
      <c r="B202" s="13" t="n"/>
      <c r="C202" s="14">
        <f>IF(B202="","",IF(COUNTIF(lst_Jobs,B202&amp;"")&gt;0,"OK","CHECK"))</f>
        <v/>
      </c>
      <c r="D202" s="13" t="n"/>
      <c r="E202" s="13" t="n"/>
      <c r="F202" s="13" t="n"/>
      <c r="G202" s="13" t="n"/>
      <c r="H202" s="13" t="n"/>
      <c r="I202" s="15" t="n"/>
      <c r="J202" s="13" t="n"/>
      <c r="K202" s="13" t="n"/>
      <c r="L202" s="13" t="n"/>
      <c r="M202" s="13" t="n"/>
    </row>
    <row r="203" ht="15" customHeight="1">
      <c r="A203" s="47" t="n"/>
      <c r="B203" s="13" t="n"/>
      <c r="C203" s="14">
        <f>IF(B203="","",IF(COUNTIF(lst_Jobs,B203&amp;"")&gt;0,"OK","CHECK"))</f>
        <v/>
      </c>
      <c r="D203" s="13" t="n"/>
      <c r="E203" s="13" t="n"/>
      <c r="F203" s="13" t="n"/>
      <c r="G203" s="13" t="n"/>
      <c r="H203" s="13" t="n"/>
      <c r="I203" s="15" t="n"/>
      <c r="J203" s="13" t="n"/>
      <c r="K203" s="13" t="n"/>
      <c r="L203" s="13" t="n"/>
      <c r="M203" s="13" t="n"/>
    </row>
    <row r="204" ht="15" customHeight="1">
      <c r="A204" s="47" t="n"/>
      <c r="B204" s="13" t="n"/>
      <c r="C204" s="14">
        <f>IF(B204="","",IF(COUNTIF(lst_Jobs,B204&amp;"")&gt;0,"OK","CHECK"))</f>
        <v/>
      </c>
      <c r="D204" s="13" t="n"/>
      <c r="E204" s="13" t="n"/>
      <c r="F204" s="13" t="n"/>
      <c r="G204" s="13" t="n"/>
      <c r="H204" s="13" t="n"/>
      <c r="I204" s="15" t="n"/>
      <c r="J204" s="13" t="n"/>
      <c r="K204" s="13" t="n"/>
      <c r="L204" s="13" t="n"/>
      <c r="M204" s="13" t="n"/>
    </row>
    <row r="205" ht="15" customHeight="1">
      <c r="A205" s="47" t="n"/>
      <c r="B205" s="13" t="n"/>
      <c r="C205" s="14">
        <f>IF(B205="","",IF(COUNTIF(lst_Jobs,B205&amp;"")&gt;0,"OK","CHECK"))</f>
        <v/>
      </c>
      <c r="D205" s="13" t="n"/>
      <c r="E205" s="13" t="n"/>
      <c r="F205" s="13" t="n"/>
      <c r="G205" s="13" t="n"/>
      <c r="H205" s="13" t="n"/>
      <c r="I205" s="15" t="n"/>
      <c r="J205" s="13" t="n"/>
      <c r="K205" s="13" t="n"/>
      <c r="L205" s="13" t="n"/>
      <c r="M205" s="13" t="n"/>
    </row>
    <row r="206" ht="15" customHeight="1">
      <c r="A206" s="47" t="n"/>
      <c r="B206" s="13" t="n"/>
      <c r="C206" s="14">
        <f>IF(B206="","",IF(COUNTIF(lst_Jobs,B206&amp;"")&gt;0,"OK","CHECK"))</f>
        <v/>
      </c>
      <c r="D206" s="13" t="n"/>
      <c r="E206" s="13" t="n"/>
      <c r="F206" s="13" t="n"/>
      <c r="G206" s="13" t="n"/>
      <c r="H206" s="13" t="n"/>
      <c r="I206" s="15" t="n"/>
      <c r="J206" s="13" t="n"/>
      <c r="K206" s="13" t="n"/>
      <c r="L206" s="13" t="n"/>
      <c r="M206" s="13" t="n"/>
    </row>
    <row r="207" ht="15" customHeight="1">
      <c r="A207" s="47" t="n"/>
      <c r="B207" s="13" t="n"/>
      <c r="C207" s="14">
        <f>IF(B207="","",IF(COUNTIF(lst_Jobs,B207&amp;"")&gt;0,"OK","CHECK"))</f>
        <v/>
      </c>
      <c r="D207" s="13" t="n"/>
      <c r="E207" s="13" t="n"/>
      <c r="F207" s="13" t="n"/>
      <c r="G207" s="13" t="n"/>
      <c r="H207" s="13" t="n"/>
      <c r="I207" s="15" t="n"/>
      <c r="J207" s="13" t="n"/>
      <c r="K207" s="13" t="n"/>
      <c r="L207" s="13" t="n"/>
      <c r="M207" s="13" t="n"/>
    </row>
    <row r="208" ht="15" customHeight="1">
      <c r="A208" s="47" t="n"/>
      <c r="B208" s="13" t="n"/>
      <c r="C208" s="14">
        <f>IF(B208="","",IF(COUNTIF(lst_Jobs,B208&amp;"")&gt;0,"OK","CHECK"))</f>
        <v/>
      </c>
      <c r="D208" s="13" t="n"/>
      <c r="E208" s="13" t="n"/>
      <c r="F208" s="13" t="n"/>
      <c r="G208" s="13" t="n"/>
      <c r="H208" s="13" t="n"/>
      <c r="I208" s="15" t="n"/>
      <c r="J208" s="13" t="n"/>
      <c r="K208" s="13" t="n"/>
      <c r="L208" s="13" t="n"/>
      <c r="M208" s="13" t="n"/>
    </row>
    <row r="209" ht="15" customHeight="1">
      <c r="A209" s="47" t="n"/>
      <c r="B209" s="13" t="n"/>
      <c r="C209" s="14">
        <f>IF(B209="","",IF(COUNTIF(lst_Jobs,B209&amp;"")&gt;0,"OK","CHECK"))</f>
        <v/>
      </c>
      <c r="D209" s="13" t="n"/>
      <c r="E209" s="13" t="n"/>
      <c r="F209" s="13" t="n"/>
      <c r="G209" s="13" t="n"/>
      <c r="H209" s="13" t="n"/>
      <c r="I209" s="15" t="n"/>
      <c r="J209" s="13" t="n"/>
      <c r="K209" s="13" t="n"/>
      <c r="L209" s="13" t="n"/>
      <c r="M209" s="13" t="n"/>
    </row>
    <row r="210" ht="15" customHeight="1">
      <c r="A210" s="47" t="n"/>
      <c r="B210" s="13" t="n"/>
      <c r="C210" s="14">
        <f>IF(B210="","",IF(COUNTIF(lst_Jobs,B210&amp;"")&gt;0,"OK","CHECK"))</f>
        <v/>
      </c>
      <c r="D210" s="13" t="n"/>
      <c r="E210" s="13" t="n"/>
      <c r="F210" s="13" t="n"/>
      <c r="G210" s="13" t="n"/>
      <c r="H210" s="13" t="n"/>
      <c r="I210" s="15" t="n"/>
      <c r="J210" s="13" t="n"/>
      <c r="K210" s="13" t="n"/>
      <c r="L210" s="13" t="n"/>
      <c r="M210" s="13" t="n"/>
    </row>
    <row r="211" ht="15" customHeight="1">
      <c r="A211" s="47" t="n"/>
      <c r="B211" s="13" t="n"/>
      <c r="C211" s="14">
        <f>IF(B211="","",IF(COUNTIF(lst_Jobs,B211&amp;"")&gt;0,"OK","CHECK"))</f>
        <v/>
      </c>
      <c r="D211" s="13" t="n"/>
      <c r="E211" s="13" t="n"/>
      <c r="F211" s="13" t="n"/>
      <c r="G211" s="13" t="n"/>
      <c r="H211" s="13" t="n"/>
      <c r="I211" s="15" t="n"/>
      <c r="J211" s="13" t="n"/>
      <c r="K211" s="13" t="n"/>
      <c r="L211" s="13" t="n"/>
      <c r="M211" s="13" t="n"/>
    </row>
    <row r="212" ht="15" customHeight="1">
      <c r="A212" s="47" t="n"/>
      <c r="B212" s="13" t="n"/>
      <c r="C212" s="14">
        <f>IF(B212="","",IF(COUNTIF(lst_Jobs,B212&amp;"")&gt;0,"OK","CHECK"))</f>
        <v/>
      </c>
      <c r="D212" s="13" t="n"/>
      <c r="E212" s="13" t="n"/>
      <c r="F212" s="13" t="n"/>
      <c r="G212" s="13" t="n"/>
      <c r="H212" s="13" t="n"/>
      <c r="I212" s="15" t="n"/>
      <c r="J212" s="13" t="n"/>
      <c r="K212" s="13" t="n"/>
      <c r="L212" s="13" t="n"/>
      <c r="M212" s="13" t="n"/>
    </row>
    <row r="213" ht="15" customHeight="1">
      <c r="A213" s="47" t="n"/>
      <c r="B213" s="13" t="n"/>
      <c r="C213" s="14">
        <f>IF(B213="","",IF(COUNTIF(lst_Jobs,B213&amp;"")&gt;0,"OK","CHECK"))</f>
        <v/>
      </c>
      <c r="D213" s="13" t="n"/>
      <c r="E213" s="13" t="n"/>
      <c r="F213" s="13" t="n"/>
      <c r="G213" s="13" t="n"/>
      <c r="H213" s="13" t="n"/>
      <c r="I213" s="15" t="n"/>
      <c r="J213" s="13" t="n"/>
      <c r="K213" s="13" t="n"/>
      <c r="L213" s="13" t="n"/>
      <c r="M213" s="13" t="n"/>
    </row>
    <row r="214" ht="15" customHeight="1">
      <c r="A214" s="47" t="n"/>
      <c r="B214" s="13" t="n"/>
      <c r="C214" s="14">
        <f>IF(B214="","",IF(COUNTIF(lst_Jobs,B214&amp;"")&gt;0,"OK","CHECK"))</f>
        <v/>
      </c>
      <c r="D214" s="13" t="n"/>
      <c r="E214" s="13" t="n"/>
      <c r="F214" s="13" t="n"/>
      <c r="G214" s="13" t="n"/>
      <c r="H214" s="13" t="n"/>
      <c r="I214" s="15" t="n"/>
      <c r="J214" s="13" t="n"/>
      <c r="K214" s="13" t="n"/>
      <c r="L214" s="13" t="n"/>
      <c r="M214" s="13" t="n"/>
    </row>
    <row r="215" ht="15" customHeight="1">
      <c r="A215" s="47" t="n"/>
      <c r="B215" s="13" t="n"/>
      <c r="C215" s="14">
        <f>IF(B215="","",IF(COUNTIF(lst_Jobs,B215&amp;"")&gt;0,"OK","CHECK"))</f>
        <v/>
      </c>
      <c r="D215" s="13" t="n"/>
      <c r="E215" s="13" t="n"/>
      <c r="F215" s="13" t="n"/>
      <c r="G215" s="13" t="n"/>
      <c r="H215" s="13" t="n"/>
      <c r="I215" s="15" t="n"/>
      <c r="J215" s="13" t="n"/>
      <c r="K215" s="13" t="n"/>
      <c r="L215" s="13" t="n"/>
      <c r="M215" s="13" t="n"/>
    </row>
    <row r="216" ht="15" customHeight="1">
      <c r="A216" s="47" t="n"/>
      <c r="B216" s="13" t="n"/>
      <c r="C216" s="14">
        <f>IF(B216="","",IF(COUNTIF(lst_Jobs,B216&amp;"")&gt;0,"OK","CHECK"))</f>
        <v/>
      </c>
      <c r="D216" s="13" t="n"/>
      <c r="E216" s="13" t="n"/>
      <c r="F216" s="13" t="n"/>
      <c r="G216" s="13" t="n"/>
      <c r="H216" s="13" t="n"/>
      <c r="I216" s="15" t="n"/>
      <c r="J216" s="13" t="n"/>
      <c r="K216" s="13" t="n"/>
      <c r="L216" s="13" t="n"/>
      <c r="M216" s="13" t="n"/>
    </row>
    <row r="217" ht="15" customHeight="1">
      <c r="A217" s="47" t="n"/>
      <c r="B217" s="13" t="n"/>
      <c r="C217" s="14">
        <f>IF(B217="","",IF(COUNTIF(lst_Jobs,B217&amp;"")&gt;0,"OK","CHECK"))</f>
        <v/>
      </c>
      <c r="D217" s="13" t="n"/>
      <c r="E217" s="13" t="n"/>
      <c r="F217" s="13" t="n"/>
      <c r="G217" s="13" t="n"/>
      <c r="H217" s="13" t="n"/>
      <c r="I217" s="15" t="n"/>
      <c r="J217" s="13" t="n"/>
      <c r="K217" s="13" t="n"/>
      <c r="L217" s="13" t="n"/>
      <c r="M217" s="13" t="n"/>
    </row>
    <row r="218" ht="15" customHeight="1">
      <c r="A218" s="47" t="n"/>
      <c r="B218" s="13" t="n"/>
      <c r="C218" s="14">
        <f>IF(B218="","",IF(COUNTIF(lst_Jobs,B218&amp;"")&gt;0,"OK","CHECK"))</f>
        <v/>
      </c>
      <c r="D218" s="13" t="n"/>
      <c r="E218" s="13" t="n"/>
      <c r="F218" s="13" t="n"/>
      <c r="G218" s="13" t="n"/>
      <c r="H218" s="13" t="n"/>
      <c r="I218" s="15" t="n"/>
      <c r="J218" s="13" t="n"/>
      <c r="K218" s="13" t="n"/>
      <c r="L218" s="13" t="n"/>
      <c r="M218" s="13" t="n"/>
    </row>
    <row r="219" ht="15" customHeight="1">
      <c r="A219" s="47" t="n"/>
      <c r="B219" s="13" t="n"/>
      <c r="C219" s="14">
        <f>IF(B219="","",IF(COUNTIF(lst_Jobs,B219&amp;"")&gt;0,"OK","CHECK"))</f>
        <v/>
      </c>
      <c r="D219" s="13" t="n"/>
      <c r="E219" s="13" t="n"/>
      <c r="F219" s="13" t="n"/>
      <c r="G219" s="13" t="n"/>
      <c r="H219" s="13" t="n"/>
      <c r="I219" s="15" t="n"/>
      <c r="J219" s="13" t="n"/>
      <c r="K219" s="13" t="n"/>
      <c r="L219" s="13" t="n"/>
      <c r="M219" s="13" t="n"/>
    </row>
    <row r="220" ht="15" customHeight="1">
      <c r="A220" s="47" t="n"/>
      <c r="B220" s="13" t="n"/>
      <c r="C220" s="14">
        <f>IF(B220="","",IF(COUNTIF(lst_Jobs,B220&amp;"")&gt;0,"OK","CHECK"))</f>
        <v/>
      </c>
      <c r="D220" s="13" t="n"/>
      <c r="E220" s="13" t="n"/>
      <c r="F220" s="13" t="n"/>
      <c r="G220" s="13" t="n"/>
      <c r="H220" s="13" t="n"/>
      <c r="I220" s="15" t="n"/>
      <c r="J220" s="13" t="n"/>
      <c r="K220" s="13" t="n"/>
      <c r="L220" s="13" t="n"/>
      <c r="M220" s="13" t="n"/>
    </row>
    <row r="221" ht="15" customHeight="1">
      <c r="A221" s="47" t="n"/>
      <c r="B221" s="13" t="n"/>
      <c r="C221" s="14">
        <f>IF(B221="","",IF(COUNTIF(lst_Jobs,B221&amp;"")&gt;0,"OK","CHECK"))</f>
        <v/>
      </c>
      <c r="D221" s="13" t="n"/>
      <c r="E221" s="13" t="n"/>
      <c r="F221" s="13" t="n"/>
      <c r="G221" s="13" t="n"/>
      <c r="H221" s="13" t="n"/>
      <c r="I221" s="15" t="n"/>
      <c r="J221" s="13" t="n"/>
      <c r="K221" s="13" t="n"/>
      <c r="L221" s="13" t="n"/>
      <c r="M221" s="13" t="n"/>
    </row>
    <row r="222" ht="15" customHeight="1">
      <c r="A222" s="47" t="n"/>
      <c r="B222" s="13" t="n"/>
      <c r="C222" s="14">
        <f>IF(B222="","",IF(COUNTIF(lst_Jobs,B222&amp;"")&gt;0,"OK","CHECK"))</f>
        <v/>
      </c>
      <c r="D222" s="13" t="n"/>
      <c r="E222" s="13" t="n"/>
      <c r="F222" s="13" t="n"/>
      <c r="G222" s="13" t="n"/>
      <c r="H222" s="13" t="n"/>
      <c r="I222" s="15" t="n"/>
      <c r="J222" s="13" t="n"/>
      <c r="K222" s="13" t="n"/>
      <c r="L222" s="13" t="n"/>
      <c r="M222" s="13" t="n"/>
    </row>
    <row r="223" ht="15" customHeight="1">
      <c r="A223" s="47" t="n"/>
      <c r="B223" s="13" t="n"/>
      <c r="C223" s="14">
        <f>IF(B223="","",IF(COUNTIF(lst_Jobs,B223&amp;"")&gt;0,"OK","CHECK"))</f>
        <v/>
      </c>
      <c r="D223" s="13" t="n"/>
      <c r="E223" s="13" t="n"/>
      <c r="F223" s="13" t="n"/>
      <c r="G223" s="13" t="n"/>
      <c r="H223" s="13" t="n"/>
      <c r="I223" s="15" t="n"/>
      <c r="J223" s="13" t="n"/>
      <c r="K223" s="13" t="n"/>
      <c r="L223" s="13" t="n"/>
      <c r="M223" s="13" t="n"/>
    </row>
    <row r="224" ht="15" customHeight="1">
      <c r="A224" s="47" t="n"/>
      <c r="B224" s="13" t="n"/>
      <c r="C224" s="14">
        <f>IF(B224="","",IF(COUNTIF(lst_Jobs,B224&amp;"")&gt;0,"OK","CHECK"))</f>
        <v/>
      </c>
      <c r="D224" s="13" t="n"/>
      <c r="E224" s="13" t="n"/>
      <c r="F224" s="13" t="n"/>
      <c r="G224" s="13" t="n"/>
      <c r="H224" s="13" t="n"/>
      <c r="I224" s="15" t="n"/>
      <c r="J224" s="13" t="n"/>
      <c r="K224" s="13" t="n"/>
      <c r="L224" s="13" t="n"/>
      <c r="M224" s="13" t="n"/>
    </row>
    <row r="225" ht="15" customHeight="1">
      <c r="A225" s="47" t="n"/>
      <c r="B225" s="13" t="n"/>
      <c r="C225" s="14">
        <f>IF(B225="","",IF(COUNTIF(lst_Jobs,B225&amp;"")&gt;0,"OK","CHECK"))</f>
        <v/>
      </c>
      <c r="D225" s="13" t="n"/>
      <c r="E225" s="13" t="n"/>
      <c r="F225" s="13" t="n"/>
      <c r="G225" s="13" t="n"/>
      <c r="H225" s="13" t="n"/>
      <c r="I225" s="15" t="n"/>
      <c r="J225" s="13" t="n"/>
      <c r="K225" s="13" t="n"/>
      <c r="L225" s="13" t="n"/>
      <c r="M225" s="13" t="n"/>
    </row>
    <row r="226" ht="15" customHeight="1">
      <c r="A226" s="47" t="n"/>
      <c r="B226" s="13" t="n"/>
      <c r="C226" s="14">
        <f>IF(B226="","",IF(COUNTIF(lst_Jobs,B226&amp;"")&gt;0,"OK","CHECK"))</f>
        <v/>
      </c>
      <c r="D226" s="13" t="n"/>
      <c r="E226" s="13" t="n"/>
      <c r="F226" s="13" t="n"/>
      <c r="G226" s="13" t="n"/>
      <c r="H226" s="13" t="n"/>
      <c r="I226" s="15" t="n"/>
      <c r="J226" s="13" t="n"/>
      <c r="K226" s="13" t="n"/>
      <c r="L226" s="13" t="n"/>
      <c r="M226" s="13" t="n"/>
    </row>
    <row r="227" ht="15" customHeight="1">
      <c r="A227" s="47" t="n"/>
      <c r="B227" s="13" t="n"/>
      <c r="C227" s="14">
        <f>IF(B227="","",IF(COUNTIF(lst_Jobs,B227&amp;"")&gt;0,"OK","CHECK"))</f>
        <v/>
      </c>
      <c r="D227" s="13" t="n"/>
      <c r="E227" s="13" t="n"/>
      <c r="F227" s="13" t="n"/>
      <c r="G227" s="13" t="n"/>
      <c r="H227" s="13" t="n"/>
      <c r="I227" s="15" t="n"/>
      <c r="J227" s="13" t="n"/>
      <c r="K227" s="13" t="n"/>
      <c r="L227" s="13" t="n"/>
      <c r="M227" s="13" t="n"/>
    </row>
    <row r="228" ht="15" customHeight="1">
      <c r="A228" s="47" t="n"/>
      <c r="B228" s="13" t="n"/>
      <c r="C228" s="14">
        <f>IF(B228="","",IF(COUNTIF(lst_Jobs,B228&amp;"")&gt;0,"OK","CHECK"))</f>
        <v/>
      </c>
      <c r="D228" s="13" t="n"/>
      <c r="E228" s="13" t="n"/>
      <c r="F228" s="13" t="n"/>
      <c r="G228" s="13" t="n"/>
      <c r="H228" s="13" t="n"/>
      <c r="I228" s="15" t="n"/>
      <c r="J228" s="13" t="n"/>
      <c r="K228" s="13" t="n"/>
      <c r="L228" s="13" t="n"/>
      <c r="M228" s="13" t="n"/>
    </row>
    <row r="229" ht="15" customHeight="1">
      <c r="A229" s="47" t="n"/>
      <c r="B229" s="13" t="n"/>
      <c r="C229" s="14">
        <f>IF(B229="","",IF(COUNTIF(lst_Jobs,B229&amp;"")&gt;0,"OK","CHECK"))</f>
        <v/>
      </c>
      <c r="D229" s="13" t="n"/>
      <c r="E229" s="13" t="n"/>
      <c r="F229" s="13" t="n"/>
      <c r="G229" s="13" t="n"/>
      <c r="H229" s="13" t="n"/>
      <c r="I229" s="15" t="n"/>
      <c r="J229" s="13" t="n"/>
      <c r="K229" s="13" t="n"/>
      <c r="L229" s="13" t="n"/>
      <c r="M229" s="13" t="n"/>
    </row>
    <row r="230" ht="15" customHeight="1">
      <c r="A230" s="47" t="n"/>
      <c r="B230" s="13" t="n"/>
      <c r="C230" s="14">
        <f>IF(B230="","",IF(COUNTIF(lst_Jobs,B230&amp;"")&gt;0,"OK","CHECK"))</f>
        <v/>
      </c>
      <c r="D230" s="13" t="n"/>
      <c r="E230" s="13" t="n"/>
      <c r="F230" s="13" t="n"/>
      <c r="G230" s="13" t="n"/>
      <c r="H230" s="13" t="n"/>
      <c r="I230" s="15" t="n"/>
      <c r="J230" s="13" t="n"/>
      <c r="K230" s="13" t="n"/>
      <c r="L230" s="13" t="n"/>
      <c r="M230" s="13" t="n"/>
    </row>
    <row r="231" ht="15" customHeight="1">
      <c r="A231" s="47" t="n"/>
      <c r="B231" s="13" t="n"/>
      <c r="C231" s="14">
        <f>IF(B231="","",IF(COUNTIF(lst_Jobs,B231&amp;"")&gt;0,"OK","CHECK"))</f>
        <v/>
      </c>
      <c r="D231" s="13" t="n"/>
      <c r="E231" s="13" t="n"/>
      <c r="F231" s="13" t="n"/>
      <c r="G231" s="13" t="n"/>
      <c r="H231" s="13" t="n"/>
      <c r="I231" s="15" t="n"/>
      <c r="J231" s="13" t="n"/>
      <c r="K231" s="13" t="n"/>
      <c r="L231" s="13" t="n"/>
      <c r="M231" s="13" t="n"/>
    </row>
    <row r="232" ht="15" customHeight="1">
      <c r="A232" s="47" t="n"/>
      <c r="B232" s="13" t="n"/>
      <c r="C232" s="14">
        <f>IF(B232="","",IF(COUNTIF(lst_Jobs,B232&amp;"")&gt;0,"OK","CHECK"))</f>
        <v/>
      </c>
      <c r="D232" s="13" t="n"/>
      <c r="E232" s="13" t="n"/>
      <c r="F232" s="13" t="n"/>
      <c r="G232" s="13" t="n"/>
      <c r="H232" s="13" t="n"/>
      <c r="I232" s="15" t="n"/>
      <c r="J232" s="13" t="n"/>
      <c r="K232" s="13" t="n"/>
      <c r="L232" s="13" t="n"/>
      <c r="M232" s="13" t="n"/>
    </row>
    <row r="233" ht="15" customHeight="1">
      <c r="A233" s="47" t="n"/>
      <c r="B233" s="13" t="n"/>
      <c r="C233" s="14">
        <f>IF(B233="","",IF(COUNTIF(lst_Jobs,B233&amp;"")&gt;0,"OK","CHECK"))</f>
        <v/>
      </c>
      <c r="D233" s="13" t="n"/>
      <c r="E233" s="13" t="n"/>
      <c r="F233" s="13" t="n"/>
      <c r="G233" s="13" t="n"/>
      <c r="H233" s="13" t="n"/>
      <c r="I233" s="15" t="n"/>
      <c r="J233" s="13" t="n"/>
      <c r="K233" s="13" t="n"/>
      <c r="L233" s="13" t="n"/>
      <c r="M233" s="13" t="n"/>
    </row>
    <row r="234" ht="15" customHeight="1">
      <c r="A234" s="47" t="n"/>
      <c r="B234" s="13" t="n"/>
      <c r="C234" s="14">
        <f>IF(B234="","",IF(COUNTIF(lst_Jobs,B234&amp;"")&gt;0,"OK","CHECK"))</f>
        <v/>
      </c>
      <c r="D234" s="13" t="n"/>
      <c r="E234" s="13" t="n"/>
      <c r="F234" s="13" t="n"/>
      <c r="G234" s="13" t="n"/>
      <c r="H234" s="13" t="n"/>
      <c r="I234" s="15" t="n"/>
      <c r="J234" s="13" t="n"/>
      <c r="K234" s="13" t="n"/>
      <c r="L234" s="13" t="n"/>
      <c r="M234" s="13" t="n"/>
    </row>
    <row r="235" ht="15" customHeight="1">
      <c r="A235" s="47" t="n"/>
      <c r="B235" s="13" t="n"/>
      <c r="C235" s="14">
        <f>IF(B235="","",IF(COUNTIF(lst_Jobs,B235&amp;"")&gt;0,"OK","CHECK"))</f>
        <v/>
      </c>
      <c r="D235" s="13" t="n"/>
      <c r="E235" s="13" t="n"/>
      <c r="F235" s="13" t="n"/>
      <c r="G235" s="13" t="n"/>
      <c r="H235" s="13" t="n"/>
      <c r="I235" s="15" t="n"/>
      <c r="J235" s="13" t="n"/>
      <c r="K235" s="13" t="n"/>
      <c r="L235" s="13" t="n"/>
      <c r="M235" s="13" t="n"/>
    </row>
    <row r="236" ht="15" customHeight="1">
      <c r="A236" s="47" t="n"/>
      <c r="B236" s="13" t="n"/>
      <c r="C236" s="14">
        <f>IF(B236="","",IF(COUNTIF(lst_Jobs,B236&amp;"")&gt;0,"OK","CHECK"))</f>
        <v/>
      </c>
      <c r="D236" s="13" t="n"/>
      <c r="E236" s="13" t="n"/>
      <c r="F236" s="13" t="n"/>
      <c r="G236" s="13" t="n"/>
      <c r="H236" s="13" t="n"/>
      <c r="I236" s="15" t="n"/>
      <c r="J236" s="13" t="n"/>
      <c r="K236" s="13" t="n"/>
      <c r="L236" s="13" t="n"/>
      <c r="M236" s="13" t="n"/>
    </row>
    <row r="237" ht="15" customHeight="1">
      <c r="A237" s="47" t="n"/>
      <c r="B237" s="13" t="n"/>
      <c r="C237" s="14">
        <f>IF(B237="","",IF(COUNTIF(lst_Jobs,B237&amp;"")&gt;0,"OK","CHECK"))</f>
        <v/>
      </c>
      <c r="D237" s="13" t="n"/>
      <c r="E237" s="13" t="n"/>
      <c r="F237" s="13" t="n"/>
      <c r="G237" s="13" t="n"/>
      <c r="H237" s="13" t="n"/>
      <c r="I237" s="15" t="n"/>
      <c r="J237" s="13" t="n"/>
      <c r="K237" s="13" t="n"/>
      <c r="L237" s="13" t="n"/>
      <c r="M237" s="13" t="n"/>
    </row>
    <row r="238" ht="15" customHeight="1">
      <c r="A238" s="47" t="n"/>
      <c r="B238" s="13" t="n"/>
      <c r="C238" s="14">
        <f>IF(B238="","",IF(COUNTIF(lst_Jobs,B238&amp;"")&gt;0,"OK","CHECK"))</f>
        <v/>
      </c>
      <c r="D238" s="13" t="n"/>
      <c r="E238" s="13" t="n"/>
      <c r="F238" s="13" t="n"/>
      <c r="G238" s="13" t="n"/>
      <c r="H238" s="13" t="n"/>
      <c r="I238" s="15" t="n"/>
      <c r="J238" s="13" t="n"/>
      <c r="K238" s="13" t="n"/>
      <c r="L238" s="13" t="n"/>
      <c r="M238" s="13" t="n"/>
    </row>
    <row r="239" ht="15" customHeight="1">
      <c r="A239" s="47" t="n"/>
      <c r="B239" s="13" t="n"/>
      <c r="C239" s="14">
        <f>IF(B239="","",IF(COUNTIF(lst_Jobs,B239&amp;"")&gt;0,"OK","CHECK"))</f>
        <v/>
      </c>
      <c r="D239" s="13" t="n"/>
      <c r="E239" s="13" t="n"/>
      <c r="F239" s="13" t="n"/>
      <c r="G239" s="13" t="n"/>
      <c r="H239" s="13" t="n"/>
      <c r="I239" s="15" t="n"/>
      <c r="J239" s="13" t="n"/>
      <c r="K239" s="13" t="n"/>
      <c r="L239" s="13" t="n"/>
      <c r="M239" s="13" t="n"/>
    </row>
    <row r="240" ht="15" customHeight="1">
      <c r="A240" s="47" t="n"/>
      <c r="B240" s="13" t="n"/>
      <c r="C240" s="14">
        <f>IF(B240="","",IF(COUNTIF(lst_Jobs,B240&amp;"")&gt;0,"OK","CHECK"))</f>
        <v/>
      </c>
      <c r="D240" s="13" t="n"/>
      <c r="E240" s="13" t="n"/>
      <c r="F240" s="13" t="n"/>
      <c r="G240" s="13" t="n"/>
      <c r="H240" s="13" t="n"/>
      <c r="I240" s="15" t="n"/>
      <c r="J240" s="13" t="n"/>
      <c r="K240" s="13" t="n"/>
      <c r="L240" s="13" t="n"/>
      <c r="M240" s="13" t="n"/>
    </row>
    <row r="241" ht="15" customHeight="1">
      <c r="A241" s="47" t="n"/>
      <c r="B241" s="13" t="n"/>
      <c r="C241" s="14">
        <f>IF(B241="","",IF(COUNTIF(lst_Jobs,B241&amp;"")&gt;0,"OK","CHECK"))</f>
        <v/>
      </c>
      <c r="D241" s="13" t="n"/>
      <c r="E241" s="13" t="n"/>
      <c r="F241" s="13" t="n"/>
      <c r="G241" s="13" t="n"/>
      <c r="H241" s="13" t="n"/>
      <c r="I241" s="15" t="n"/>
      <c r="J241" s="13" t="n"/>
      <c r="K241" s="13" t="n"/>
      <c r="L241" s="13" t="n"/>
      <c r="M241" s="13" t="n"/>
    </row>
    <row r="242" ht="15" customHeight="1">
      <c r="A242" s="47" t="n"/>
      <c r="B242" s="13" t="n"/>
      <c r="C242" s="14">
        <f>IF(B242="","",IF(COUNTIF(lst_Jobs,B242&amp;"")&gt;0,"OK","CHECK"))</f>
        <v/>
      </c>
      <c r="D242" s="13" t="n"/>
      <c r="E242" s="13" t="n"/>
      <c r="F242" s="13" t="n"/>
      <c r="G242" s="13" t="n"/>
      <c r="H242" s="13" t="n"/>
      <c r="I242" s="15" t="n"/>
      <c r="J242" s="13" t="n"/>
      <c r="K242" s="13" t="n"/>
      <c r="L242" s="13" t="n"/>
      <c r="M242" s="13" t="n"/>
    </row>
    <row r="243" ht="15" customHeight="1">
      <c r="A243" s="47" t="n"/>
      <c r="B243" s="13" t="n"/>
      <c r="C243" s="14">
        <f>IF(B243="","",IF(COUNTIF(lst_Jobs,B243&amp;"")&gt;0,"OK","CHECK"))</f>
        <v/>
      </c>
      <c r="D243" s="13" t="n"/>
      <c r="E243" s="13" t="n"/>
      <c r="F243" s="13" t="n"/>
      <c r="G243" s="13" t="n"/>
      <c r="H243" s="13" t="n"/>
      <c r="I243" s="15" t="n"/>
      <c r="J243" s="13" t="n"/>
      <c r="K243" s="13" t="n"/>
      <c r="L243" s="13" t="n"/>
      <c r="M243" s="13" t="n"/>
    </row>
    <row r="244" ht="15" customHeight="1">
      <c r="A244" s="47" t="n"/>
      <c r="B244" s="13" t="n"/>
      <c r="C244" s="14">
        <f>IF(B244="","",IF(COUNTIF(lst_Jobs,B244&amp;"")&gt;0,"OK","CHECK"))</f>
        <v/>
      </c>
      <c r="D244" s="13" t="n"/>
      <c r="E244" s="13" t="n"/>
      <c r="F244" s="13" t="n"/>
      <c r="G244" s="13" t="n"/>
      <c r="H244" s="13" t="n"/>
      <c r="I244" s="15" t="n"/>
      <c r="J244" s="13" t="n"/>
      <c r="K244" s="13" t="n"/>
      <c r="L244" s="13" t="n"/>
      <c r="M244" s="13" t="n"/>
    </row>
    <row r="245" ht="15" customHeight="1">
      <c r="A245" s="47" t="n"/>
      <c r="B245" s="13" t="n"/>
      <c r="C245" s="14">
        <f>IF(B245="","",IF(COUNTIF(lst_Jobs,B245&amp;"")&gt;0,"OK","CHECK"))</f>
        <v/>
      </c>
      <c r="D245" s="13" t="n"/>
      <c r="E245" s="13" t="n"/>
      <c r="F245" s="13" t="n"/>
      <c r="G245" s="13" t="n"/>
      <c r="H245" s="13" t="n"/>
      <c r="I245" s="15" t="n"/>
      <c r="J245" s="13" t="n"/>
      <c r="K245" s="13" t="n"/>
      <c r="L245" s="13" t="n"/>
      <c r="M245" s="13" t="n"/>
    </row>
    <row r="246" ht="15" customHeight="1">
      <c r="A246" s="47" t="n"/>
      <c r="B246" s="13" t="n"/>
      <c r="C246" s="14">
        <f>IF(B246="","",IF(COUNTIF(lst_Jobs,B246&amp;"")&gt;0,"OK","CHECK"))</f>
        <v/>
      </c>
      <c r="D246" s="13" t="n"/>
      <c r="E246" s="13" t="n"/>
      <c r="F246" s="13" t="n"/>
      <c r="G246" s="13" t="n"/>
      <c r="H246" s="13" t="n"/>
      <c r="I246" s="15" t="n"/>
      <c r="J246" s="13" t="n"/>
      <c r="K246" s="13" t="n"/>
      <c r="L246" s="13" t="n"/>
      <c r="M246" s="13" t="n"/>
    </row>
    <row r="247" ht="15" customHeight="1">
      <c r="A247" s="47" t="n"/>
      <c r="B247" s="13" t="n"/>
      <c r="C247" s="14">
        <f>IF(B247="","",IF(COUNTIF(lst_Jobs,B247&amp;"")&gt;0,"OK","CHECK"))</f>
        <v/>
      </c>
      <c r="D247" s="13" t="n"/>
      <c r="E247" s="13" t="n"/>
      <c r="F247" s="13" t="n"/>
      <c r="G247" s="13" t="n"/>
      <c r="H247" s="13" t="n"/>
      <c r="I247" s="15" t="n"/>
      <c r="J247" s="13" t="n"/>
      <c r="K247" s="13" t="n"/>
      <c r="L247" s="13" t="n"/>
      <c r="M247" s="13" t="n"/>
    </row>
    <row r="248" ht="15" customHeight="1">
      <c r="A248" s="47" t="n"/>
      <c r="B248" s="13" t="n"/>
      <c r="C248" s="14">
        <f>IF(B248="","",IF(COUNTIF(lst_Jobs,B248&amp;"")&gt;0,"OK","CHECK"))</f>
        <v/>
      </c>
      <c r="D248" s="13" t="n"/>
      <c r="E248" s="13" t="n"/>
      <c r="F248" s="13" t="n"/>
      <c r="G248" s="13" t="n"/>
      <c r="H248" s="13" t="n"/>
      <c r="I248" s="15" t="n"/>
      <c r="J248" s="13" t="n"/>
      <c r="K248" s="13" t="n"/>
      <c r="L248" s="13" t="n"/>
      <c r="M248" s="13" t="n"/>
    </row>
    <row r="249" ht="15" customHeight="1">
      <c r="A249" s="47" t="n"/>
      <c r="B249" s="13" t="n"/>
      <c r="C249" s="14">
        <f>IF(B249="","",IF(COUNTIF(lst_Jobs,B249&amp;"")&gt;0,"OK","CHECK"))</f>
        <v/>
      </c>
      <c r="D249" s="13" t="n"/>
      <c r="E249" s="13" t="n"/>
      <c r="F249" s="13" t="n"/>
      <c r="G249" s="13" t="n"/>
      <c r="H249" s="13" t="n"/>
      <c r="I249" s="15" t="n"/>
      <c r="J249" s="13" t="n"/>
      <c r="K249" s="13" t="n"/>
      <c r="L249" s="13" t="n"/>
      <c r="M249" s="13" t="n"/>
    </row>
    <row r="250" ht="15" customHeight="1">
      <c r="A250" s="47" t="n"/>
      <c r="B250" s="13" t="n"/>
      <c r="C250" s="14">
        <f>IF(B250="","",IF(COUNTIF(lst_Jobs,B250&amp;"")&gt;0,"OK","CHECK"))</f>
        <v/>
      </c>
      <c r="D250" s="13" t="n"/>
      <c r="E250" s="13" t="n"/>
      <c r="F250" s="13" t="n"/>
      <c r="G250" s="13" t="n"/>
      <c r="H250" s="13" t="n"/>
      <c r="I250" s="15" t="n"/>
      <c r="J250" s="13" t="n"/>
      <c r="K250" s="13" t="n"/>
      <c r="L250" s="13" t="n"/>
      <c r="M250" s="13" t="n"/>
    </row>
    <row r="251" ht="15" customHeight="1">
      <c r="A251" s="47" t="n"/>
      <c r="B251" s="13" t="n"/>
      <c r="C251" s="14">
        <f>IF(B251="","",IF(COUNTIF(lst_Jobs,B251&amp;"")&gt;0,"OK","CHECK"))</f>
        <v/>
      </c>
      <c r="D251" s="13" t="n"/>
      <c r="E251" s="13" t="n"/>
      <c r="F251" s="13" t="n"/>
      <c r="G251" s="13" t="n"/>
      <c r="H251" s="13" t="n"/>
      <c r="I251" s="15" t="n"/>
      <c r="J251" s="13" t="n"/>
      <c r="K251" s="13" t="n"/>
      <c r="L251" s="13" t="n"/>
      <c r="M251" s="13" t="n"/>
    </row>
    <row r="252" ht="15" customHeight="1">
      <c r="A252" s="47" t="n"/>
      <c r="B252" s="13" t="n"/>
      <c r="C252" s="14">
        <f>IF(B252="","",IF(COUNTIF(lst_Jobs,B252&amp;"")&gt;0,"OK","CHECK"))</f>
        <v/>
      </c>
      <c r="D252" s="13" t="n"/>
      <c r="E252" s="13" t="n"/>
      <c r="F252" s="13" t="n"/>
      <c r="G252" s="13" t="n"/>
      <c r="H252" s="13" t="n"/>
      <c r="I252" s="15" t="n"/>
      <c r="J252" s="13" t="n"/>
      <c r="K252" s="13" t="n"/>
      <c r="L252" s="13" t="n"/>
      <c r="M252" s="13" t="n"/>
    </row>
    <row r="253" ht="15" customHeight="1">
      <c r="A253" s="47" t="n"/>
      <c r="B253" s="13" t="n"/>
      <c r="C253" s="14">
        <f>IF(B253="","",IF(COUNTIF(lst_Jobs,B253&amp;"")&gt;0,"OK","CHECK"))</f>
        <v/>
      </c>
      <c r="D253" s="13" t="n"/>
      <c r="E253" s="13" t="n"/>
      <c r="F253" s="13" t="n"/>
      <c r="G253" s="13" t="n"/>
      <c r="H253" s="13" t="n"/>
      <c r="I253" s="15" t="n"/>
      <c r="J253" s="13" t="n"/>
      <c r="K253" s="13" t="n"/>
      <c r="L253" s="13" t="n"/>
      <c r="M253" s="13" t="n"/>
    </row>
    <row r="254" ht="15" customHeight="1">
      <c r="A254" s="47" t="n"/>
      <c r="B254" s="13" t="n"/>
      <c r="C254" s="14">
        <f>IF(B254="","",IF(COUNTIF(lst_Jobs,B254&amp;"")&gt;0,"OK","CHECK"))</f>
        <v/>
      </c>
      <c r="D254" s="13" t="n"/>
      <c r="E254" s="13" t="n"/>
      <c r="F254" s="13" t="n"/>
      <c r="G254" s="13" t="n"/>
      <c r="H254" s="13" t="n"/>
      <c r="I254" s="15" t="n"/>
      <c r="J254" s="13" t="n"/>
      <c r="K254" s="13" t="n"/>
      <c r="L254" s="13" t="n"/>
      <c r="M254" s="13" t="n"/>
    </row>
    <row r="255" ht="15" customHeight="1">
      <c r="A255" s="47" t="n"/>
      <c r="B255" s="13" t="n"/>
      <c r="C255" s="14">
        <f>IF(B255="","",IF(COUNTIF(lst_Jobs,B255&amp;"")&gt;0,"OK","CHECK"))</f>
        <v/>
      </c>
      <c r="D255" s="13" t="n"/>
      <c r="E255" s="13" t="n"/>
      <c r="F255" s="13" t="n"/>
      <c r="G255" s="13" t="n"/>
      <c r="H255" s="13" t="n"/>
      <c r="I255" s="15" t="n"/>
      <c r="J255" s="13" t="n"/>
      <c r="K255" s="13" t="n"/>
      <c r="L255" s="13" t="n"/>
      <c r="M255" s="13" t="n"/>
    </row>
    <row r="256" ht="15" customHeight="1">
      <c r="A256" s="47" t="n"/>
      <c r="B256" s="13" t="n"/>
      <c r="C256" s="14">
        <f>IF(B256="","",IF(COUNTIF(lst_Jobs,B256&amp;"")&gt;0,"OK","CHECK"))</f>
        <v/>
      </c>
      <c r="D256" s="13" t="n"/>
      <c r="E256" s="13" t="n"/>
      <c r="F256" s="13" t="n"/>
      <c r="G256" s="13" t="n"/>
      <c r="H256" s="13" t="n"/>
      <c r="I256" s="15" t="n"/>
      <c r="J256" s="13" t="n"/>
      <c r="K256" s="13" t="n"/>
      <c r="L256" s="13" t="n"/>
      <c r="M256" s="13" t="n"/>
    </row>
    <row r="257" ht="15" customHeight="1">
      <c r="A257" s="47" t="n"/>
      <c r="B257" s="13" t="n"/>
      <c r="C257" s="14">
        <f>IF(B257="","",IF(COUNTIF(lst_Jobs,B257&amp;"")&gt;0,"OK","CHECK"))</f>
        <v/>
      </c>
      <c r="D257" s="13" t="n"/>
      <c r="E257" s="13" t="n"/>
      <c r="F257" s="13" t="n"/>
      <c r="G257" s="13" t="n"/>
      <c r="H257" s="13" t="n"/>
      <c r="I257" s="15" t="n"/>
      <c r="J257" s="13" t="n"/>
      <c r="K257" s="13" t="n"/>
      <c r="L257" s="13" t="n"/>
      <c r="M257" s="13" t="n"/>
    </row>
    <row r="258" ht="15" customHeight="1">
      <c r="A258" s="47" t="n"/>
      <c r="B258" s="13" t="n"/>
      <c r="C258" s="14">
        <f>IF(B258="","",IF(COUNTIF(lst_Jobs,B258&amp;"")&gt;0,"OK","CHECK"))</f>
        <v/>
      </c>
      <c r="D258" s="13" t="n"/>
      <c r="E258" s="13" t="n"/>
      <c r="F258" s="13" t="n"/>
      <c r="G258" s="13" t="n"/>
      <c r="H258" s="13" t="n"/>
      <c r="I258" s="15" t="n"/>
      <c r="J258" s="13" t="n"/>
      <c r="K258" s="13" t="n"/>
      <c r="L258" s="13" t="n"/>
      <c r="M258" s="13" t="n"/>
    </row>
    <row r="259" ht="15" customHeight="1">
      <c r="A259" s="47" t="n"/>
      <c r="B259" s="13" t="n"/>
      <c r="C259" s="14">
        <f>IF(B259="","",IF(COUNTIF(lst_Jobs,B259&amp;"")&gt;0,"OK","CHECK"))</f>
        <v/>
      </c>
      <c r="D259" s="13" t="n"/>
      <c r="E259" s="13" t="n"/>
      <c r="F259" s="13" t="n"/>
      <c r="G259" s="13" t="n"/>
      <c r="H259" s="13" t="n"/>
      <c r="I259" s="15" t="n"/>
      <c r="J259" s="13" t="n"/>
      <c r="K259" s="13" t="n"/>
      <c r="L259" s="13" t="n"/>
      <c r="M259" s="13" t="n"/>
    </row>
    <row r="260" ht="15" customHeight="1">
      <c r="A260" s="47" t="n"/>
      <c r="B260" s="13" t="n"/>
      <c r="C260" s="14">
        <f>IF(B260="","",IF(COUNTIF(lst_Jobs,B260&amp;"")&gt;0,"OK","CHECK"))</f>
        <v/>
      </c>
      <c r="D260" s="13" t="n"/>
      <c r="E260" s="13" t="n"/>
      <c r="F260" s="13" t="n"/>
      <c r="G260" s="13" t="n"/>
      <c r="H260" s="13" t="n"/>
      <c r="I260" s="15" t="n"/>
      <c r="J260" s="13" t="n"/>
      <c r="K260" s="13" t="n"/>
      <c r="L260" s="13" t="n"/>
      <c r="M260" s="13" t="n"/>
    </row>
    <row r="261" ht="15" customHeight="1">
      <c r="A261" s="47" t="n"/>
      <c r="B261" s="13" t="n"/>
      <c r="C261" s="14">
        <f>IF(B261="","",IF(COUNTIF(lst_Jobs,B261&amp;"")&gt;0,"OK","CHECK"))</f>
        <v/>
      </c>
      <c r="D261" s="13" t="n"/>
      <c r="E261" s="13" t="n"/>
      <c r="F261" s="13" t="n"/>
      <c r="G261" s="13" t="n"/>
      <c r="H261" s="13" t="n"/>
      <c r="I261" s="15" t="n"/>
      <c r="J261" s="13" t="n"/>
      <c r="K261" s="13" t="n"/>
      <c r="L261" s="13" t="n"/>
      <c r="M261" s="13" t="n"/>
    </row>
    <row r="262" ht="15" customHeight="1">
      <c r="A262" s="47" t="n"/>
      <c r="B262" s="13" t="n"/>
      <c r="C262" s="14">
        <f>IF(B262="","",IF(COUNTIF(lst_Jobs,B262&amp;"")&gt;0,"OK","CHECK"))</f>
        <v/>
      </c>
      <c r="D262" s="13" t="n"/>
      <c r="E262" s="13" t="n"/>
      <c r="F262" s="13" t="n"/>
      <c r="G262" s="13" t="n"/>
      <c r="H262" s="13" t="n"/>
      <c r="I262" s="15" t="n"/>
      <c r="J262" s="13" t="n"/>
      <c r="K262" s="13" t="n"/>
      <c r="L262" s="13" t="n"/>
      <c r="M262" s="13" t="n"/>
    </row>
    <row r="263" ht="15" customHeight="1">
      <c r="A263" s="47" t="n"/>
      <c r="B263" s="13" t="n"/>
      <c r="C263" s="14">
        <f>IF(B263="","",IF(COUNTIF(lst_Jobs,B263&amp;"")&gt;0,"OK","CHECK"))</f>
        <v/>
      </c>
      <c r="D263" s="13" t="n"/>
      <c r="E263" s="13" t="n"/>
      <c r="F263" s="13" t="n"/>
      <c r="G263" s="13" t="n"/>
      <c r="H263" s="13" t="n"/>
      <c r="I263" s="15" t="n"/>
      <c r="J263" s="13" t="n"/>
      <c r="K263" s="13" t="n"/>
      <c r="L263" s="13" t="n"/>
      <c r="M263" s="13" t="n"/>
    </row>
    <row r="264" ht="15" customHeight="1">
      <c r="A264" s="47" t="n"/>
      <c r="B264" s="13" t="n"/>
      <c r="C264" s="14">
        <f>IF(B264="","",IF(COUNTIF(lst_Jobs,B264&amp;"")&gt;0,"OK","CHECK"))</f>
        <v/>
      </c>
      <c r="D264" s="13" t="n"/>
      <c r="E264" s="13" t="n"/>
      <c r="F264" s="13" t="n"/>
      <c r="G264" s="13" t="n"/>
      <c r="H264" s="13" t="n"/>
      <c r="I264" s="15" t="n"/>
      <c r="J264" s="13" t="n"/>
      <c r="K264" s="13" t="n"/>
      <c r="L264" s="13" t="n"/>
      <c r="M264" s="13" t="n"/>
    </row>
    <row r="265" ht="15" customHeight="1">
      <c r="A265" s="47" t="n"/>
      <c r="B265" s="13" t="n"/>
      <c r="C265" s="14">
        <f>IF(B265="","",IF(COUNTIF(lst_Jobs,B265&amp;"")&gt;0,"OK","CHECK"))</f>
        <v/>
      </c>
      <c r="D265" s="13" t="n"/>
      <c r="E265" s="13" t="n"/>
      <c r="F265" s="13" t="n"/>
      <c r="G265" s="13" t="n"/>
      <c r="H265" s="13" t="n"/>
      <c r="I265" s="15" t="n"/>
      <c r="J265" s="13" t="n"/>
      <c r="K265" s="13" t="n"/>
      <c r="L265" s="13" t="n"/>
      <c r="M265" s="13" t="n"/>
    </row>
    <row r="266" ht="15" customHeight="1">
      <c r="A266" s="47" t="n"/>
      <c r="B266" s="13" t="n"/>
      <c r="C266" s="14">
        <f>IF(B266="","",IF(COUNTIF(lst_Jobs,B266&amp;"")&gt;0,"OK","CHECK"))</f>
        <v/>
      </c>
      <c r="D266" s="13" t="n"/>
      <c r="E266" s="13" t="n"/>
      <c r="F266" s="13" t="n"/>
      <c r="G266" s="13" t="n"/>
      <c r="H266" s="13" t="n"/>
      <c r="I266" s="15" t="n"/>
      <c r="J266" s="13" t="n"/>
      <c r="K266" s="13" t="n"/>
      <c r="L266" s="13" t="n"/>
      <c r="M266" s="13" t="n"/>
    </row>
    <row r="267" ht="15" customHeight="1">
      <c r="A267" s="47" t="n"/>
      <c r="B267" s="13" t="n"/>
      <c r="C267" s="14">
        <f>IF(B267="","",IF(COUNTIF(lst_Jobs,B267&amp;"")&gt;0,"OK","CHECK"))</f>
        <v/>
      </c>
      <c r="D267" s="13" t="n"/>
      <c r="E267" s="13" t="n"/>
      <c r="F267" s="13" t="n"/>
      <c r="G267" s="13" t="n"/>
      <c r="H267" s="13" t="n"/>
      <c r="I267" s="15" t="n"/>
      <c r="J267" s="13" t="n"/>
      <c r="K267" s="13" t="n"/>
      <c r="L267" s="13" t="n"/>
      <c r="M267" s="13" t="n"/>
    </row>
    <row r="268" ht="15" customHeight="1">
      <c r="A268" s="47" t="n"/>
      <c r="B268" s="13" t="n"/>
      <c r="C268" s="14">
        <f>IF(B268="","",IF(COUNTIF(lst_Jobs,B268&amp;"")&gt;0,"OK","CHECK"))</f>
        <v/>
      </c>
      <c r="D268" s="13" t="n"/>
      <c r="E268" s="13" t="n"/>
      <c r="F268" s="13" t="n"/>
      <c r="G268" s="13" t="n"/>
      <c r="H268" s="13" t="n"/>
      <c r="I268" s="15" t="n"/>
      <c r="J268" s="13" t="n"/>
      <c r="K268" s="13" t="n"/>
      <c r="L268" s="13" t="n"/>
      <c r="M268" s="13" t="n"/>
    </row>
    <row r="269" ht="15" customHeight="1">
      <c r="A269" s="47" t="n"/>
      <c r="B269" s="13" t="n"/>
      <c r="C269" s="14">
        <f>IF(B269="","",IF(COUNTIF(lst_Jobs,B269&amp;"")&gt;0,"OK","CHECK"))</f>
        <v/>
      </c>
      <c r="D269" s="13" t="n"/>
      <c r="E269" s="13" t="n"/>
      <c r="F269" s="13" t="n"/>
      <c r="G269" s="13" t="n"/>
      <c r="H269" s="13" t="n"/>
      <c r="I269" s="15" t="n"/>
      <c r="J269" s="13" t="n"/>
      <c r="K269" s="13" t="n"/>
      <c r="L269" s="13" t="n"/>
      <c r="M269" s="13" t="n"/>
    </row>
    <row r="270" ht="15" customHeight="1">
      <c r="A270" s="47" t="n"/>
      <c r="B270" s="13" t="n"/>
      <c r="C270" s="14">
        <f>IF(B270="","",IF(COUNTIF(lst_Jobs,B270&amp;"")&gt;0,"OK","CHECK"))</f>
        <v/>
      </c>
      <c r="D270" s="13" t="n"/>
      <c r="E270" s="13" t="n"/>
      <c r="F270" s="13" t="n"/>
      <c r="G270" s="13" t="n"/>
      <c r="H270" s="13" t="n"/>
      <c r="I270" s="15" t="n"/>
      <c r="J270" s="13" t="n"/>
      <c r="K270" s="13" t="n"/>
      <c r="L270" s="13" t="n"/>
      <c r="M270" s="13" t="n"/>
    </row>
    <row r="271" ht="15" customHeight="1">
      <c r="A271" s="47" t="n"/>
      <c r="B271" s="13" t="n"/>
      <c r="C271" s="14">
        <f>IF(B271="","",IF(COUNTIF(lst_Jobs,B271&amp;"")&gt;0,"OK","CHECK"))</f>
        <v/>
      </c>
      <c r="D271" s="13" t="n"/>
      <c r="E271" s="13" t="n"/>
      <c r="F271" s="13" t="n"/>
      <c r="G271" s="13" t="n"/>
      <c r="H271" s="13" t="n"/>
      <c r="I271" s="15" t="n"/>
      <c r="J271" s="13" t="n"/>
      <c r="K271" s="13" t="n"/>
      <c r="L271" s="13" t="n"/>
      <c r="M271" s="13" t="n"/>
    </row>
    <row r="272" ht="15" customHeight="1">
      <c r="A272" s="47" t="n"/>
      <c r="B272" s="13" t="n"/>
      <c r="C272" s="14">
        <f>IF(B272="","",IF(COUNTIF(lst_Jobs,B272&amp;"")&gt;0,"OK","CHECK"))</f>
        <v/>
      </c>
      <c r="D272" s="13" t="n"/>
      <c r="E272" s="13" t="n"/>
      <c r="F272" s="13" t="n"/>
      <c r="G272" s="13" t="n"/>
      <c r="H272" s="13" t="n"/>
      <c r="I272" s="15" t="n"/>
      <c r="J272" s="13" t="n"/>
      <c r="K272" s="13" t="n"/>
      <c r="L272" s="13" t="n"/>
      <c r="M272" s="13" t="n"/>
    </row>
    <row r="273" ht="15" customHeight="1">
      <c r="A273" s="47" t="n"/>
      <c r="B273" s="13" t="n"/>
      <c r="C273" s="14">
        <f>IF(B273="","",IF(COUNTIF(lst_Jobs,B273&amp;"")&gt;0,"OK","CHECK"))</f>
        <v/>
      </c>
      <c r="D273" s="13" t="n"/>
      <c r="E273" s="13" t="n"/>
      <c r="F273" s="13" t="n"/>
      <c r="G273" s="13" t="n"/>
      <c r="H273" s="13" t="n"/>
      <c r="I273" s="15" t="n"/>
      <c r="J273" s="13" t="n"/>
      <c r="K273" s="13" t="n"/>
      <c r="L273" s="13" t="n"/>
      <c r="M273" s="13" t="n"/>
    </row>
    <row r="274" ht="15" customHeight="1">
      <c r="A274" s="47" t="n"/>
      <c r="B274" s="13" t="n"/>
      <c r="C274" s="14">
        <f>IF(B274="","",IF(COUNTIF(lst_Jobs,B274&amp;"")&gt;0,"OK","CHECK"))</f>
        <v/>
      </c>
      <c r="D274" s="13" t="n"/>
      <c r="E274" s="13" t="n"/>
      <c r="F274" s="13" t="n"/>
      <c r="G274" s="13" t="n"/>
      <c r="H274" s="13" t="n"/>
      <c r="I274" s="15" t="n"/>
      <c r="J274" s="13" t="n"/>
      <c r="K274" s="13" t="n"/>
      <c r="L274" s="13" t="n"/>
      <c r="M274" s="13" t="n"/>
    </row>
    <row r="275" ht="15" customHeight="1">
      <c r="A275" s="47" t="n"/>
      <c r="B275" s="13" t="n"/>
      <c r="C275" s="14">
        <f>IF(B275="","",IF(COUNTIF(lst_Jobs,B275&amp;"")&gt;0,"OK","CHECK"))</f>
        <v/>
      </c>
      <c r="D275" s="13" t="n"/>
      <c r="E275" s="13" t="n"/>
      <c r="F275" s="13" t="n"/>
      <c r="G275" s="13" t="n"/>
      <c r="H275" s="13" t="n"/>
      <c r="I275" s="15" t="n"/>
      <c r="J275" s="13" t="n"/>
      <c r="K275" s="13" t="n"/>
      <c r="L275" s="13" t="n"/>
      <c r="M275" s="13" t="n"/>
    </row>
    <row r="276" ht="15" customHeight="1">
      <c r="A276" s="47" t="n"/>
      <c r="B276" s="13" t="n"/>
      <c r="C276" s="14">
        <f>IF(B276="","",IF(COUNTIF(lst_Jobs,B276&amp;"")&gt;0,"OK","CHECK"))</f>
        <v/>
      </c>
      <c r="D276" s="13" t="n"/>
      <c r="E276" s="13" t="n"/>
      <c r="F276" s="13" t="n"/>
      <c r="G276" s="13" t="n"/>
      <c r="H276" s="13" t="n"/>
      <c r="I276" s="15" t="n"/>
      <c r="J276" s="13" t="n"/>
      <c r="K276" s="13" t="n"/>
      <c r="L276" s="13" t="n"/>
      <c r="M276" s="13" t="n"/>
    </row>
    <row r="277" ht="15" customHeight="1">
      <c r="A277" s="47" t="n"/>
      <c r="B277" s="13" t="n"/>
      <c r="C277" s="14">
        <f>IF(B277="","",IF(COUNTIF(lst_Jobs,B277&amp;"")&gt;0,"OK","CHECK"))</f>
        <v/>
      </c>
      <c r="D277" s="13" t="n"/>
      <c r="E277" s="13" t="n"/>
      <c r="F277" s="13" t="n"/>
      <c r="G277" s="13" t="n"/>
      <c r="H277" s="13" t="n"/>
      <c r="I277" s="15" t="n"/>
      <c r="J277" s="13" t="n"/>
      <c r="K277" s="13" t="n"/>
      <c r="L277" s="13" t="n"/>
      <c r="M277" s="13" t="n"/>
    </row>
    <row r="278" ht="15" customHeight="1">
      <c r="A278" s="47" t="n"/>
      <c r="B278" s="13" t="n"/>
      <c r="C278" s="14">
        <f>IF(B278="","",IF(COUNTIF(lst_Jobs,B278&amp;"")&gt;0,"OK","CHECK"))</f>
        <v/>
      </c>
      <c r="D278" s="13" t="n"/>
      <c r="E278" s="13" t="n"/>
      <c r="F278" s="13" t="n"/>
      <c r="G278" s="13" t="n"/>
      <c r="H278" s="13" t="n"/>
      <c r="I278" s="15" t="n"/>
      <c r="J278" s="13" t="n"/>
      <c r="K278" s="13" t="n"/>
      <c r="L278" s="13" t="n"/>
      <c r="M278" s="13" t="n"/>
    </row>
    <row r="279" ht="15" customHeight="1">
      <c r="A279" s="47" t="n"/>
      <c r="B279" s="13" t="n"/>
      <c r="C279" s="14">
        <f>IF(B279="","",IF(COUNTIF(lst_Jobs,B279&amp;"")&gt;0,"OK","CHECK"))</f>
        <v/>
      </c>
      <c r="D279" s="13" t="n"/>
      <c r="E279" s="13" t="n"/>
      <c r="F279" s="13" t="n"/>
      <c r="G279" s="13" t="n"/>
      <c r="H279" s="13" t="n"/>
      <c r="I279" s="15" t="n"/>
      <c r="J279" s="13" t="n"/>
      <c r="K279" s="13" t="n"/>
      <c r="L279" s="13" t="n"/>
      <c r="M279" s="13" t="n"/>
    </row>
    <row r="280" ht="15" customHeight="1">
      <c r="A280" s="47" t="n"/>
      <c r="B280" s="13" t="n"/>
      <c r="C280" s="14">
        <f>IF(B280="","",IF(COUNTIF(lst_Jobs,B280&amp;"")&gt;0,"OK","CHECK"))</f>
        <v/>
      </c>
      <c r="D280" s="13" t="n"/>
      <c r="E280" s="13" t="n"/>
      <c r="F280" s="13" t="n"/>
      <c r="G280" s="13" t="n"/>
      <c r="H280" s="13" t="n"/>
      <c r="I280" s="15" t="n"/>
      <c r="J280" s="13" t="n"/>
      <c r="K280" s="13" t="n"/>
      <c r="L280" s="13" t="n"/>
      <c r="M280" s="13" t="n"/>
    </row>
    <row r="281" ht="15" customHeight="1">
      <c r="A281" s="47" t="n"/>
      <c r="B281" s="13" t="n"/>
      <c r="C281" s="14">
        <f>IF(B281="","",IF(COUNTIF(lst_Jobs,B281&amp;"")&gt;0,"OK","CHECK"))</f>
        <v/>
      </c>
      <c r="D281" s="13" t="n"/>
      <c r="E281" s="13" t="n"/>
      <c r="F281" s="13" t="n"/>
      <c r="G281" s="13" t="n"/>
      <c r="H281" s="13" t="n"/>
      <c r="I281" s="15" t="n"/>
      <c r="J281" s="13" t="n"/>
      <c r="K281" s="13" t="n"/>
      <c r="L281" s="13" t="n"/>
      <c r="M281" s="13" t="n"/>
    </row>
    <row r="282" ht="15" customHeight="1">
      <c r="A282" s="47" t="n"/>
      <c r="B282" s="13" t="n"/>
      <c r="C282" s="14">
        <f>IF(B282="","",IF(COUNTIF(lst_Jobs,B282&amp;"")&gt;0,"OK","CHECK"))</f>
        <v/>
      </c>
      <c r="D282" s="13" t="n"/>
      <c r="E282" s="13" t="n"/>
      <c r="F282" s="13" t="n"/>
      <c r="G282" s="13" t="n"/>
      <c r="H282" s="13" t="n"/>
      <c r="I282" s="15" t="n"/>
      <c r="J282" s="13" t="n"/>
      <c r="K282" s="13" t="n"/>
      <c r="L282" s="13" t="n"/>
      <c r="M282" s="13" t="n"/>
    </row>
    <row r="283" ht="15" customHeight="1">
      <c r="A283" s="47" t="n"/>
      <c r="B283" s="13" t="n"/>
      <c r="C283" s="14">
        <f>IF(B283="","",IF(COUNTIF(lst_Jobs,B283&amp;"")&gt;0,"OK","CHECK"))</f>
        <v/>
      </c>
      <c r="D283" s="13" t="n"/>
      <c r="E283" s="13" t="n"/>
      <c r="F283" s="13" t="n"/>
      <c r="G283" s="13" t="n"/>
      <c r="H283" s="13" t="n"/>
      <c r="I283" s="15" t="n"/>
      <c r="J283" s="13" t="n"/>
      <c r="K283" s="13" t="n"/>
      <c r="L283" s="13" t="n"/>
      <c r="M283" s="13" t="n"/>
    </row>
    <row r="284" ht="15" customHeight="1">
      <c r="A284" s="47" t="n"/>
      <c r="B284" s="13" t="n"/>
      <c r="C284" s="14">
        <f>IF(B284="","",IF(COUNTIF(lst_Jobs,B284&amp;"")&gt;0,"OK","CHECK"))</f>
        <v/>
      </c>
      <c r="D284" s="13" t="n"/>
      <c r="E284" s="13" t="n"/>
      <c r="F284" s="13" t="n"/>
      <c r="G284" s="13" t="n"/>
      <c r="H284" s="13" t="n"/>
      <c r="I284" s="15" t="n"/>
      <c r="J284" s="13" t="n"/>
      <c r="K284" s="13" t="n"/>
      <c r="L284" s="13" t="n"/>
      <c r="M284" s="13" t="n"/>
    </row>
    <row r="285" ht="15" customHeight="1">
      <c r="A285" s="47" t="n"/>
      <c r="B285" s="13" t="n"/>
      <c r="C285" s="14">
        <f>IF(B285="","",IF(COUNTIF(lst_Jobs,B285&amp;"")&gt;0,"OK","CHECK"))</f>
        <v/>
      </c>
      <c r="D285" s="13" t="n"/>
      <c r="E285" s="13" t="n"/>
      <c r="F285" s="13" t="n"/>
      <c r="G285" s="13" t="n"/>
      <c r="H285" s="13" t="n"/>
      <c r="I285" s="15" t="n"/>
      <c r="J285" s="13" t="n"/>
      <c r="K285" s="13" t="n"/>
      <c r="L285" s="13" t="n"/>
      <c r="M285" s="13" t="n"/>
    </row>
    <row r="286" ht="15" customHeight="1">
      <c r="A286" s="47" t="n"/>
      <c r="B286" s="13" t="n"/>
      <c r="C286" s="14">
        <f>IF(B286="","",IF(COUNTIF(lst_Jobs,B286&amp;"")&gt;0,"OK","CHECK"))</f>
        <v/>
      </c>
      <c r="D286" s="13" t="n"/>
      <c r="E286" s="13" t="n"/>
      <c r="F286" s="13" t="n"/>
      <c r="G286" s="13" t="n"/>
      <c r="H286" s="13" t="n"/>
      <c r="I286" s="15" t="n"/>
      <c r="J286" s="13" t="n"/>
      <c r="K286" s="13" t="n"/>
      <c r="L286" s="13" t="n"/>
      <c r="M286" s="13" t="n"/>
    </row>
    <row r="287" ht="15" customHeight="1">
      <c r="A287" s="47" t="n"/>
      <c r="B287" s="13" t="n"/>
      <c r="C287" s="14">
        <f>IF(B287="","",IF(COUNTIF(lst_Jobs,B287&amp;"")&gt;0,"OK","CHECK"))</f>
        <v/>
      </c>
      <c r="D287" s="13" t="n"/>
      <c r="E287" s="13" t="n"/>
      <c r="F287" s="13" t="n"/>
      <c r="G287" s="13" t="n"/>
      <c r="H287" s="13" t="n"/>
      <c r="I287" s="15" t="n"/>
      <c r="J287" s="13" t="n"/>
      <c r="K287" s="13" t="n"/>
      <c r="L287" s="13" t="n"/>
      <c r="M287" s="13" t="n"/>
    </row>
    <row r="288" ht="15" customHeight="1">
      <c r="A288" s="47" t="n"/>
      <c r="B288" s="13" t="n"/>
      <c r="C288" s="14">
        <f>IF(B288="","",IF(COUNTIF(lst_Jobs,B288&amp;"")&gt;0,"OK","CHECK"))</f>
        <v/>
      </c>
      <c r="D288" s="13" t="n"/>
      <c r="E288" s="13" t="n"/>
      <c r="F288" s="13" t="n"/>
      <c r="G288" s="13" t="n"/>
      <c r="H288" s="13" t="n"/>
      <c r="I288" s="15" t="n"/>
      <c r="J288" s="13" t="n"/>
      <c r="K288" s="13" t="n"/>
      <c r="L288" s="13" t="n"/>
      <c r="M288" s="13" t="n"/>
    </row>
    <row r="289" ht="15" customHeight="1">
      <c r="A289" s="47" t="n"/>
      <c r="B289" s="13" t="n"/>
      <c r="C289" s="14">
        <f>IF(B289="","",IF(COUNTIF(lst_Jobs,B289&amp;"")&gt;0,"OK","CHECK"))</f>
        <v/>
      </c>
      <c r="D289" s="13" t="n"/>
      <c r="E289" s="13" t="n"/>
      <c r="F289" s="13" t="n"/>
      <c r="G289" s="13" t="n"/>
      <c r="H289" s="13" t="n"/>
      <c r="I289" s="15" t="n"/>
      <c r="J289" s="13" t="n"/>
      <c r="K289" s="13" t="n"/>
      <c r="L289" s="13" t="n"/>
      <c r="M289" s="13" t="n"/>
    </row>
    <row r="290" ht="15" customHeight="1">
      <c r="A290" s="47" t="n"/>
      <c r="B290" s="13" t="n"/>
      <c r="C290" s="14">
        <f>IF(B290="","",IF(COUNTIF(lst_Jobs,B290&amp;"")&gt;0,"OK","CHECK"))</f>
        <v/>
      </c>
      <c r="D290" s="13" t="n"/>
      <c r="E290" s="13" t="n"/>
      <c r="F290" s="13" t="n"/>
      <c r="G290" s="13" t="n"/>
      <c r="H290" s="13" t="n"/>
      <c r="I290" s="15" t="n"/>
      <c r="J290" s="13" t="n"/>
      <c r="K290" s="13" t="n"/>
      <c r="L290" s="13" t="n"/>
      <c r="M290" s="13" t="n"/>
    </row>
    <row r="291" ht="15" customHeight="1">
      <c r="A291" s="47" t="n"/>
      <c r="B291" s="13" t="n"/>
      <c r="C291" s="14">
        <f>IF(B291="","",IF(COUNTIF(lst_Jobs,B291&amp;"")&gt;0,"OK","CHECK"))</f>
        <v/>
      </c>
      <c r="D291" s="13" t="n"/>
      <c r="E291" s="13" t="n"/>
      <c r="F291" s="13" t="n"/>
      <c r="G291" s="13" t="n"/>
      <c r="H291" s="13" t="n"/>
      <c r="I291" s="15" t="n"/>
      <c r="J291" s="13" t="n"/>
      <c r="K291" s="13" t="n"/>
      <c r="L291" s="13" t="n"/>
      <c r="M291" s="13" t="n"/>
    </row>
    <row r="292" ht="15" customHeight="1">
      <c r="A292" s="47" t="n"/>
      <c r="B292" s="13" t="n"/>
      <c r="C292" s="14">
        <f>IF(B292="","",IF(COUNTIF(lst_Jobs,B292&amp;"")&gt;0,"OK","CHECK"))</f>
        <v/>
      </c>
      <c r="D292" s="13" t="n"/>
      <c r="E292" s="13" t="n"/>
      <c r="F292" s="13" t="n"/>
      <c r="G292" s="13" t="n"/>
      <c r="H292" s="13" t="n"/>
      <c r="I292" s="15" t="n"/>
      <c r="J292" s="13" t="n"/>
      <c r="K292" s="13" t="n"/>
      <c r="L292" s="13" t="n"/>
      <c r="M292" s="13" t="n"/>
    </row>
    <row r="293" ht="15" customHeight="1">
      <c r="A293" s="47" t="n"/>
      <c r="B293" s="13" t="n"/>
      <c r="C293" s="14">
        <f>IF(B293="","",IF(COUNTIF(lst_Jobs,B293&amp;"")&gt;0,"OK","CHECK"))</f>
        <v/>
      </c>
      <c r="D293" s="13" t="n"/>
      <c r="E293" s="13" t="n"/>
      <c r="F293" s="13" t="n"/>
      <c r="G293" s="13" t="n"/>
      <c r="H293" s="13" t="n"/>
      <c r="I293" s="15" t="n"/>
      <c r="J293" s="13" t="n"/>
      <c r="K293" s="13" t="n"/>
      <c r="L293" s="13" t="n"/>
      <c r="M293" s="13" t="n"/>
    </row>
    <row r="294" ht="15" customHeight="1">
      <c r="A294" s="47" t="n"/>
      <c r="B294" s="13" t="n"/>
      <c r="C294" s="14">
        <f>IF(B294="","",IF(COUNTIF(lst_Jobs,B294&amp;"")&gt;0,"OK","CHECK"))</f>
        <v/>
      </c>
      <c r="D294" s="13" t="n"/>
      <c r="E294" s="13" t="n"/>
      <c r="F294" s="13" t="n"/>
      <c r="G294" s="13" t="n"/>
      <c r="H294" s="13" t="n"/>
      <c r="I294" s="15" t="n"/>
      <c r="J294" s="13" t="n"/>
      <c r="K294" s="13" t="n"/>
      <c r="L294" s="13" t="n"/>
      <c r="M294" s="13" t="n"/>
    </row>
    <row r="295" ht="15" customHeight="1">
      <c r="A295" s="47" t="n"/>
      <c r="B295" s="13" t="n"/>
      <c r="C295" s="14">
        <f>IF(B295="","",IF(COUNTIF(lst_Jobs,B295&amp;"")&gt;0,"OK","CHECK"))</f>
        <v/>
      </c>
      <c r="D295" s="13" t="n"/>
      <c r="E295" s="13" t="n"/>
      <c r="F295" s="13" t="n"/>
      <c r="G295" s="13" t="n"/>
      <c r="H295" s="13" t="n"/>
      <c r="I295" s="15" t="n"/>
      <c r="J295" s="13" t="n"/>
      <c r="K295" s="13" t="n"/>
      <c r="L295" s="13" t="n"/>
      <c r="M295" s="13" t="n"/>
    </row>
    <row r="296" ht="15" customHeight="1">
      <c r="A296" s="47" t="n"/>
      <c r="B296" s="13" t="n"/>
      <c r="C296" s="14">
        <f>IF(B296="","",IF(COUNTIF(lst_Jobs,B296&amp;"")&gt;0,"OK","CHECK"))</f>
        <v/>
      </c>
      <c r="D296" s="13" t="n"/>
      <c r="E296" s="13" t="n"/>
      <c r="F296" s="13" t="n"/>
      <c r="G296" s="13" t="n"/>
      <c r="H296" s="13" t="n"/>
      <c r="I296" s="15" t="n"/>
      <c r="J296" s="13" t="n"/>
      <c r="K296" s="13" t="n"/>
      <c r="L296" s="13" t="n"/>
      <c r="M296" s="13" t="n"/>
    </row>
    <row r="297" ht="15" customHeight="1">
      <c r="A297" s="47" t="n"/>
      <c r="B297" s="13" t="n"/>
      <c r="C297" s="14">
        <f>IF(B297="","",IF(COUNTIF(lst_Jobs,B297&amp;"")&gt;0,"OK","CHECK"))</f>
        <v/>
      </c>
      <c r="D297" s="13" t="n"/>
      <c r="E297" s="13" t="n"/>
      <c r="F297" s="13" t="n"/>
      <c r="G297" s="13" t="n"/>
      <c r="H297" s="13" t="n"/>
      <c r="I297" s="15" t="n"/>
      <c r="J297" s="13" t="n"/>
      <c r="K297" s="13" t="n"/>
      <c r="L297" s="13" t="n"/>
      <c r="M297" s="13" t="n"/>
    </row>
    <row r="298" ht="15" customHeight="1">
      <c r="A298" s="47" t="n"/>
      <c r="B298" s="13" t="n"/>
      <c r="C298" s="14">
        <f>IF(B298="","",IF(COUNTIF(lst_Jobs,B298&amp;"")&gt;0,"OK","CHECK"))</f>
        <v/>
      </c>
      <c r="D298" s="13" t="n"/>
      <c r="E298" s="13" t="n"/>
      <c r="F298" s="13" t="n"/>
      <c r="G298" s="13" t="n"/>
      <c r="H298" s="13" t="n"/>
      <c r="I298" s="15" t="n"/>
      <c r="J298" s="13" t="n"/>
      <c r="K298" s="13" t="n"/>
      <c r="L298" s="13" t="n"/>
      <c r="M298" s="13" t="n"/>
    </row>
    <row r="299" ht="15" customHeight="1">
      <c r="A299" s="47" t="n"/>
      <c r="B299" s="13" t="n"/>
      <c r="C299" s="14">
        <f>IF(B299="","",IF(COUNTIF(lst_Jobs,B299&amp;"")&gt;0,"OK","CHECK"))</f>
        <v/>
      </c>
      <c r="D299" s="13" t="n"/>
      <c r="E299" s="13" t="n"/>
      <c r="F299" s="13" t="n"/>
      <c r="G299" s="13" t="n"/>
      <c r="H299" s="13" t="n"/>
      <c r="I299" s="15" t="n"/>
      <c r="J299" s="13" t="n"/>
      <c r="K299" s="13" t="n"/>
      <c r="L299" s="13" t="n"/>
      <c r="M299" s="13" t="n"/>
    </row>
    <row r="300" ht="15" customHeight="1">
      <c r="A300" s="47" t="n"/>
      <c r="B300" s="13" t="n"/>
      <c r="C300" s="14">
        <f>IF(B300="","",IF(COUNTIF(lst_Jobs,B300&amp;"")&gt;0,"OK","CHECK"))</f>
        <v/>
      </c>
      <c r="D300" s="13" t="n"/>
      <c r="E300" s="13" t="n"/>
      <c r="F300" s="13" t="n"/>
      <c r="G300" s="13" t="n"/>
      <c r="H300" s="13" t="n"/>
      <c r="I300" s="15" t="n"/>
      <c r="J300" s="13" t="n"/>
      <c r="K300" s="13" t="n"/>
      <c r="L300" s="13" t="n"/>
      <c r="M300" s="13" t="n"/>
    </row>
    <row r="301" ht="15" customHeight="1">
      <c r="A301" s="47" t="n"/>
      <c r="B301" s="13" t="n"/>
      <c r="C301" s="14">
        <f>IF(B301="","",IF(COUNTIF(lst_Jobs,B301&amp;"")&gt;0,"OK","CHECK"))</f>
        <v/>
      </c>
      <c r="D301" s="13" t="n"/>
      <c r="E301" s="13" t="n"/>
      <c r="F301" s="13" t="n"/>
      <c r="G301" s="13" t="n"/>
      <c r="H301" s="13" t="n"/>
      <c r="I301" s="15" t="n"/>
      <c r="J301" s="13" t="n"/>
      <c r="K301" s="13" t="n"/>
      <c r="L301" s="13" t="n"/>
      <c r="M301" s="13" t="n"/>
    </row>
    <row r="302" ht="15" customHeight="1">
      <c r="A302" s="47" t="n"/>
      <c r="B302" s="13" t="n"/>
      <c r="C302" s="14">
        <f>IF(B302="","",IF(COUNTIF(lst_Jobs,B302&amp;"")&gt;0,"OK","CHECK"))</f>
        <v/>
      </c>
      <c r="D302" s="13" t="n"/>
      <c r="E302" s="13" t="n"/>
      <c r="F302" s="13" t="n"/>
      <c r="G302" s="13" t="n"/>
      <c r="H302" s="13" t="n"/>
      <c r="I302" s="15" t="n"/>
      <c r="J302" s="13" t="n"/>
      <c r="K302" s="13" t="n"/>
      <c r="L302" s="13" t="n"/>
      <c r="M302" s="13" t="n"/>
    </row>
    <row r="303" ht="15" customHeight="1">
      <c r="A303" s="47" t="n"/>
      <c r="B303" s="13" t="n"/>
      <c r="C303" s="14">
        <f>IF(B303="","",IF(COUNTIF(lst_Jobs,B303&amp;"")&gt;0,"OK","CHECK"))</f>
        <v/>
      </c>
      <c r="D303" s="13" t="n"/>
      <c r="E303" s="13" t="n"/>
      <c r="F303" s="13" t="n"/>
      <c r="G303" s="13" t="n"/>
      <c r="H303" s="13" t="n"/>
      <c r="I303" s="15" t="n"/>
      <c r="J303" s="13" t="n"/>
      <c r="K303" s="13" t="n"/>
      <c r="L303" s="13" t="n"/>
      <c r="M303" s="13" t="n"/>
    </row>
    <row r="304" ht="15" customHeight="1">
      <c r="A304" s="47" t="n"/>
      <c r="B304" s="13" t="n"/>
      <c r="C304" s="14">
        <f>IF(B304="","",IF(COUNTIF(lst_Jobs,B304&amp;"")&gt;0,"OK","CHECK"))</f>
        <v/>
      </c>
      <c r="D304" s="13" t="n"/>
      <c r="E304" s="13" t="n"/>
      <c r="F304" s="13" t="n"/>
      <c r="G304" s="13" t="n"/>
      <c r="H304" s="13" t="n"/>
      <c r="I304" s="15" t="n"/>
      <c r="J304" s="13" t="n"/>
      <c r="K304" s="13" t="n"/>
      <c r="L304" s="13" t="n"/>
      <c r="M304" s="13" t="n"/>
    </row>
    <row r="305" ht="15" customHeight="1">
      <c r="A305" s="47" t="n"/>
      <c r="B305" s="13" t="n"/>
      <c r="C305" s="14">
        <f>IF(B305="","",IF(COUNTIF(lst_Jobs,B305&amp;"")&gt;0,"OK","CHECK"))</f>
        <v/>
      </c>
      <c r="D305" s="13" t="n"/>
      <c r="E305" s="13" t="n"/>
      <c r="F305" s="13" t="n"/>
      <c r="G305" s="13" t="n"/>
      <c r="H305" s="13" t="n"/>
      <c r="I305" s="15" t="n"/>
      <c r="J305" s="13" t="n"/>
      <c r="K305" s="13" t="n"/>
      <c r="L305" s="13" t="n"/>
      <c r="M305" s="13" t="n"/>
    </row>
    <row r="306" ht="15" customHeight="1">
      <c r="A306" s="47" t="n"/>
      <c r="B306" s="13" t="n"/>
      <c r="C306" s="14">
        <f>IF(B306="","",IF(COUNTIF(lst_Jobs,B306&amp;"")&gt;0,"OK","CHECK"))</f>
        <v/>
      </c>
      <c r="D306" s="13" t="n"/>
      <c r="E306" s="13" t="n"/>
      <c r="F306" s="13" t="n"/>
      <c r="G306" s="13" t="n"/>
      <c r="H306" s="13" t="n"/>
      <c r="I306" s="15" t="n"/>
      <c r="J306" s="13" t="n"/>
      <c r="K306" s="13" t="n"/>
      <c r="L306" s="13" t="n"/>
      <c r="M306" s="13" t="n"/>
    </row>
    <row r="307" ht="15" customHeight="1">
      <c r="A307" s="47" t="n"/>
      <c r="B307" s="13" t="n"/>
      <c r="C307" s="14">
        <f>IF(B307="","",IF(COUNTIF(lst_Jobs,B307&amp;"")&gt;0,"OK","CHECK"))</f>
        <v/>
      </c>
      <c r="D307" s="13" t="n"/>
      <c r="E307" s="13" t="n"/>
      <c r="F307" s="13" t="n"/>
      <c r="G307" s="13" t="n"/>
      <c r="H307" s="13" t="n"/>
      <c r="I307" s="15" t="n"/>
      <c r="J307" s="13" t="n"/>
      <c r="K307" s="13" t="n"/>
      <c r="L307" s="13" t="n"/>
      <c r="M307" s="13" t="n"/>
    </row>
    <row r="308" ht="15" customHeight="1">
      <c r="A308" s="47" t="n"/>
      <c r="B308" s="13" t="n"/>
      <c r="C308" s="14">
        <f>IF(B308="","",IF(COUNTIF(lst_Jobs,B308&amp;"")&gt;0,"OK","CHECK"))</f>
        <v/>
      </c>
      <c r="D308" s="13" t="n"/>
      <c r="E308" s="13" t="n"/>
      <c r="F308" s="13" t="n"/>
      <c r="G308" s="13" t="n"/>
      <c r="H308" s="13" t="n"/>
      <c r="I308" s="15" t="n"/>
      <c r="J308" s="13" t="n"/>
      <c r="K308" s="13" t="n"/>
      <c r="L308" s="13" t="n"/>
      <c r="M308" s="13" t="n"/>
    </row>
    <row r="309" ht="15" customHeight="1">
      <c r="A309" s="47" t="n"/>
      <c r="B309" s="13" t="n"/>
      <c r="C309" s="14">
        <f>IF(B309="","",IF(COUNTIF(lst_Jobs,B309&amp;"")&gt;0,"OK","CHECK"))</f>
        <v/>
      </c>
      <c r="D309" s="13" t="n"/>
      <c r="E309" s="13" t="n"/>
      <c r="F309" s="13" t="n"/>
      <c r="G309" s="13" t="n"/>
      <c r="H309" s="13" t="n"/>
      <c r="I309" s="15" t="n"/>
      <c r="J309" s="13" t="n"/>
      <c r="K309" s="13" t="n"/>
      <c r="L309" s="13" t="n"/>
      <c r="M309" s="13" t="n"/>
    </row>
    <row r="310" ht="15" customHeight="1">
      <c r="A310" s="47" t="n"/>
      <c r="B310" s="13" t="n"/>
      <c r="C310" s="14">
        <f>IF(B310="","",IF(COUNTIF(lst_Jobs,B310&amp;"")&gt;0,"OK","CHECK"))</f>
        <v/>
      </c>
      <c r="D310" s="13" t="n"/>
      <c r="E310" s="13" t="n"/>
      <c r="F310" s="13" t="n"/>
      <c r="G310" s="13" t="n"/>
      <c r="H310" s="13" t="n"/>
      <c r="I310" s="15" t="n"/>
      <c r="J310" s="13" t="n"/>
      <c r="K310" s="13" t="n"/>
      <c r="L310" s="13" t="n"/>
      <c r="M310" s="13" t="n"/>
    </row>
    <row r="311" ht="15" customHeight="1">
      <c r="A311" s="47" t="n"/>
      <c r="B311" s="13" t="n"/>
      <c r="C311" s="14">
        <f>IF(B311="","",IF(COUNTIF(lst_Jobs,B311&amp;"")&gt;0,"OK","CHECK"))</f>
        <v/>
      </c>
      <c r="D311" s="13" t="n"/>
      <c r="E311" s="13" t="n"/>
      <c r="F311" s="13" t="n"/>
      <c r="G311" s="13" t="n"/>
      <c r="H311" s="13" t="n"/>
      <c r="I311" s="15" t="n"/>
      <c r="J311" s="13" t="n"/>
      <c r="K311" s="13" t="n"/>
      <c r="L311" s="13" t="n"/>
      <c r="M311" s="13" t="n"/>
    </row>
    <row r="312" ht="15" customHeight="1">
      <c r="A312" s="47" t="n"/>
      <c r="B312" s="13" t="n"/>
      <c r="C312" s="14">
        <f>IF(B312="","",IF(COUNTIF(lst_Jobs,B312&amp;"")&gt;0,"OK","CHECK"))</f>
        <v/>
      </c>
      <c r="D312" s="13" t="n"/>
      <c r="E312" s="13" t="n"/>
      <c r="F312" s="13" t="n"/>
      <c r="G312" s="13" t="n"/>
      <c r="H312" s="13" t="n"/>
      <c r="I312" s="15" t="n"/>
      <c r="J312" s="13" t="n"/>
      <c r="K312" s="13" t="n"/>
      <c r="L312" s="13" t="n"/>
      <c r="M312" s="13" t="n"/>
    </row>
    <row r="313" ht="15" customHeight="1">
      <c r="A313" s="47" t="n"/>
      <c r="B313" s="13" t="n"/>
      <c r="C313" s="14">
        <f>IF(B313="","",IF(COUNTIF(lst_Jobs,B313&amp;"")&gt;0,"OK","CHECK"))</f>
        <v/>
      </c>
      <c r="D313" s="13" t="n"/>
      <c r="E313" s="13" t="n"/>
      <c r="F313" s="13" t="n"/>
      <c r="G313" s="13" t="n"/>
      <c r="H313" s="13" t="n"/>
      <c r="I313" s="15" t="n"/>
      <c r="J313" s="13" t="n"/>
      <c r="K313" s="13" t="n"/>
      <c r="L313" s="13" t="n"/>
      <c r="M313" s="13" t="n"/>
    </row>
    <row r="314" ht="15" customHeight="1">
      <c r="A314" s="47" t="n"/>
      <c r="B314" s="13" t="n"/>
      <c r="C314" s="14">
        <f>IF(B314="","",IF(COUNTIF(lst_Jobs,B314&amp;"")&gt;0,"OK","CHECK"))</f>
        <v/>
      </c>
      <c r="D314" s="13" t="n"/>
      <c r="E314" s="13" t="n"/>
      <c r="F314" s="13" t="n"/>
      <c r="G314" s="13" t="n"/>
      <c r="H314" s="13" t="n"/>
      <c r="I314" s="15" t="n"/>
      <c r="J314" s="13" t="n"/>
      <c r="K314" s="13" t="n"/>
      <c r="L314" s="13" t="n"/>
      <c r="M314" s="13" t="n"/>
    </row>
    <row r="315" ht="15" customHeight="1">
      <c r="A315" s="47" t="n"/>
      <c r="B315" s="13" t="n"/>
      <c r="C315" s="14">
        <f>IF(B315="","",IF(COUNTIF(lst_Jobs,B315&amp;"")&gt;0,"OK","CHECK"))</f>
        <v/>
      </c>
      <c r="D315" s="13" t="n"/>
      <c r="E315" s="13" t="n"/>
      <c r="F315" s="13" t="n"/>
      <c r="G315" s="13" t="n"/>
      <c r="H315" s="13" t="n"/>
      <c r="I315" s="15" t="n"/>
      <c r="J315" s="13" t="n"/>
      <c r="K315" s="13" t="n"/>
      <c r="L315" s="13" t="n"/>
      <c r="M315" s="13" t="n"/>
    </row>
    <row r="316" ht="15" customHeight="1">
      <c r="A316" s="47" t="n"/>
      <c r="B316" s="13" t="n"/>
      <c r="C316" s="14">
        <f>IF(B316="","",IF(COUNTIF(lst_Jobs,B316&amp;"")&gt;0,"OK","CHECK"))</f>
        <v/>
      </c>
      <c r="D316" s="13" t="n"/>
      <c r="E316" s="13" t="n"/>
      <c r="F316" s="13" t="n"/>
      <c r="G316" s="13" t="n"/>
      <c r="H316" s="13" t="n"/>
      <c r="I316" s="15" t="n"/>
      <c r="J316" s="13" t="n"/>
      <c r="K316" s="13" t="n"/>
      <c r="L316" s="13" t="n"/>
      <c r="M316" s="13" t="n"/>
    </row>
    <row r="317" ht="15" customHeight="1">
      <c r="A317" s="47" t="n"/>
      <c r="B317" s="13" t="n"/>
      <c r="C317" s="14">
        <f>IF(B317="","",IF(COUNTIF(lst_Jobs,B317&amp;"")&gt;0,"OK","CHECK"))</f>
        <v/>
      </c>
      <c r="D317" s="13" t="n"/>
      <c r="E317" s="13" t="n"/>
      <c r="F317" s="13" t="n"/>
      <c r="G317" s="13" t="n"/>
      <c r="H317" s="13" t="n"/>
      <c r="I317" s="15" t="n"/>
      <c r="J317" s="13" t="n"/>
      <c r="K317" s="13" t="n"/>
      <c r="L317" s="13" t="n"/>
      <c r="M317" s="13" t="n"/>
    </row>
    <row r="318" ht="15" customHeight="1">
      <c r="A318" s="47" t="n"/>
      <c r="B318" s="13" t="n"/>
      <c r="C318" s="14">
        <f>IF(B318="","",IF(COUNTIF(lst_Jobs,B318&amp;"")&gt;0,"OK","CHECK"))</f>
        <v/>
      </c>
      <c r="D318" s="13" t="n"/>
      <c r="E318" s="13" t="n"/>
      <c r="F318" s="13" t="n"/>
      <c r="G318" s="13" t="n"/>
      <c r="H318" s="13" t="n"/>
      <c r="I318" s="15" t="n"/>
      <c r="J318" s="13" t="n"/>
      <c r="K318" s="13" t="n"/>
      <c r="L318" s="13" t="n"/>
      <c r="M318" s="13" t="n"/>
    </row>
    <row r="319" ht="15" customHeight="1">
      <c r="A319" s="47" t="n"/>
      <c r="B319" s="13" t="n"/>
      <c r="C319" s="14">
        <f>IF(B319="","",IF(COUNTIF(lst_Jobs,B319&amp;"")&gt;0,"OK","CHECK"))</f>
        <v/>
      </c>
      <c r="D319" s="13" t="n"/>
      <c r="E319" s="13" t="n"/>
      <c r="F319" s="13" t="n"/>
      <c r="G319" s="13" t="n"/>
      <c r="H319" s="13" t="n"/>
      <c r="I319" s="15" t="n"/>
      <c r="J319" s="13" t="n"/>
      <c r="K319" s="13" t="n"/>
      <c r="L319" s="13" t="n"/>
      <c r="M319" s="13" t="n"/>
    </row>
    <row r="320" ht="15" customHeight="1">
      <c r="A320" s="47" t="n"/>
      <c r="B320" s="13" t="n"/>
      <c r="C320" s="14">
        <f>IF(B320="","",IF(COUNTIF(lst_Jobs,B320&amp;"")&gt;0,"OK","CHECK"))</f>
        <v/>
      </c>
      <c r="D320" s="13" t="n"/>
      <c r="E320" s="13" t="n"/>
      <c r="F320" s="13" t="n"/>
      <c r="G320" s="13" t="n"/>
      <c r="H320" s="13" t="n"/>
      <c r="I320" s="15" t="n"/>
      <c r="J320" s="13" t="n"/>
      <c r="K320" s="13" t="n"/>
      <c r="L320" s="13" t="n"/>
      <c r="M320" s="13" t="n"/>
    </row>
    <row r="321" ht="15" customHeight="1">
      <c r="A321" s="47" t="n"/>
      <c r="B321" s="13" t="n"/>
      <c r="C321" s="14">
        <f>IF(B321="","",IF(COUNTIF(lst_Jobs,B321&amp;"")&gt;0,"OK","CHECK"))</f>
        <v/>
      </c>
      <c r="D321" s="13" t="n"/>
      <c r="E321" s="13" t="n"/>
      <c r="F321" s="13" t="n"/>
      <c r="G321" s="13" t="n"/>
      <c r="H321" s="13" t="n"/>
      <c r="I321" s="15" t="n"/>
      <c r="J321" s="13" t="n"/>
      <c r="K321" s="13" t="n"/>
      <c r="L321" s="13" t="n"/>
      <c r="M321" s="13" t="n"/>
    </row>
    <row r="322" ht="15" customHeight="1">
      <c r="A322" s="47" t="n"/>
      <c r="B322" s="13" t="n"/>
      <c r="C322" s="14">
        <f>IF(B322="","",IF(COUNTIF(lst_Jobs,B322&amp;"")&gt;0,"OK","CHECK"))</f>
        <v/>
      </c>
      <c r="D322" s="13" t="n"/>
      <c r="E322" s="13" t="n"/>
      <c r="F322" s="13" t="n"/>
      <c r="G322" s="13" t="n"/>
      <c r="H322" s="13" t="n"/>
      <c r="I322" s="15" t="n"/>
      <c r="J322" s="13" t="n"/>
      <c r="K322" s="13" t="n"/>
      <c r="L322" s="13" t="n"/>
      <c r="M322" s="13" t="n"/>
    </row>
    <row r="323" ht="15" customHeight="1">
      <c r="A323" s="47" t="n"/>
      <c r="B323" s="13" t="n"/>
      <c r="C323" s="14">
        <f>IF(B323="","",IF(COUNTIF(lst_Jobs,B323&amp;"")&gt;0,"OK","CHECK"))</f>
        <v/>
      </c>
      <c r="D323" s="13" t="n"/>
      <c r="E323" s="13" t="n"/>
      <c r="F323" s="13" t="n"/>
      <c r="G323" s="13" t="n"/>
      <c r="H323" s="13" t="n"/>
      <c r="I323" s="15" t="n"/>
      <c r="J323" s="13" t="n"/>
      <c r="K323" s="13" t="n"/>
      <c r="L323" s="13" t="n"/>
      <c r="M323" s="13" t="n"/>
    </row>
    <row r="324" ht="15" customHeight="1">
      <c r="A324" s="47" t="n"/>
      <c r="B324" s="13" t="n"/>
      <c r="C324" s="14">
        <f>IF(B324="","",IF(COUNTIF(lst_Jobs,B324&amp;"")&gt;0,"OK","CHECK"))</f>
        <v/>
      </c>
      <c r="D324" s="13" t="n"/>
      <c r="E324" s="13" t="n"/>
      <c r="F324" s="13" t="n"/>
      <c r="G324" s="13" t="n"/>
      <c r="H324" s="13" t="n"/>
      <c r="I324" s="15" t="n"/>
      <c r="J324" s="13" t="n"/>
      <c r="K324" s="13" t="n"/>
      <c r="L324" s="13" t="n"/>
      <c r="M324" s="13" t="n"/>
    </row>
    <row r="325" ht="15" customHeight="1">
      <c r="A325" s="47" t="n"/>
      <c r="B325" s="13" t="n"/>
      <c r="C325" s="14">
        <f>IF(B325="","",IF(COUNTIF(lst_Jobs,B325&amp;"")&gt;0,"OK","CHECK"))</f>
        <v/>
      </c>
      <c r="D325" s="13" t="n"/>
      <c r="E325" s="13" t="n"/>
      <c r="F325" s="13" t="n"/>
      <c r="G325" s="13" t="n"/>
      <c r="H325" s="13" t="n"/>
      <c r="I325" s="15" t="n"/>
      <c r="J325" s="13" t="n"/>
      <c r="K325" s="13" t="n"/>
      <c r="L325" s="13" t="n"/>
      <c r="M325" s="13" t="n"/>
    </row>
    <row r="326" ht="15" customHeight="1">
      <c r="A326" s="47" t="n"/>
      <c r="B326" s="13" t="n"/>
      <c r="C326" s="14">
        <f>IF(B326="","",IF(COUNTIF(lst_Jobs,B326&amp;"")&gt;0,"OK","CHECK"))</f>
        <v/>
      </c>
      <c r="D326" s="13" t="n"/>
      <c r="E326" s="13" t="n"/>
      <c r="F326" s="13" t="n"/>
      <c r="G326" s="13" t="n"/>
      <c r="H326" s="13" t="n"/>
      <c r="I326" s="15" t="n"/>
      <c r="J326" s="13" t="n"/>
      <c r="K326" s="13" t="n"/>
      <c r="L326" s="13" t="n"/>
      <c r="M326" s="13" t="n"/>
    </row>
    <row r="327" ht="15" customHeight="1">
      <c r="A327" s="47" t="n"/>
      <c r="B327" s="13" t="n"/>
      <c r="C327" s="14">
        <f>IF(B327="","",IF(COUNTIF(lst_Jobs,B327&amp;"")&gt;0,"OK","CHECK"))</f>
        <v/>
      </c>
      <c r="D327" s="13" t="n"/>
      <c r="E327" s="13" t="n"/>
      <c r="F327" s="13" t="n"/>
      <c r="G327" s="13" t="n"/>
      <c r="H327" s="13" t="n"/>
      <c r="I327" s="15" t="n"/>
      <c r="J327" s="13" t="n"/>
      <c r="K327" s="13" t="n"/>
      <c r="L327" s="13" t="n"/>
      <c r="M327" s="13" t="n"/>
    </row>
    <row r="328" ht="15" customHeight="1">
      <c r="A328" s="47" t="n"/>
      <c r="B328" s="13" t="n"/>
      <c r="C328" s="14">
        <f>IF(B328="","",IF(COUNTIF(lst_Jobs,B328&amp;"")&gt;0,"OK","CHECK"))</f>
        <v/>
      </c>
      <c r="D328" s="13" t="n"/>
      <c r="E328" s="13" t="n"/>
      <c r="F328" s="13" t="n"/>
      <c r="G328" s="13" t="n"/>
      <c r="H328" s="13" t="n"/>
      <c r="I328" s="15" t="n"/>
      <c r="J328" s="13" t="n"/>
      <c r="K328" s="13" t="n"/>
      <c r="L328" s="13" t="n"/>
      <c r="M328" s="13" t="n"/>
    </row>
    <row r="329" ht="15" customHeight="1">
      <c r="A329" s="47" t="n"/>
      <c r="B329" s="13" t="n"/>
      <c r="C329" s="14">
        <f>IF(B329="","",IF(COUNTIF(lst_Jobs,B329&amp;"")&gt;0,"OK","CHECK"))</f>
        <v/>
      </c>
      <c r="D329" s="13" t="n"/>
      <c r="E329" s="13" t="n"/>
      <c r="F329" s="13" t="n"/>
      <c r="G329" s="13" t="n"/>
      <c r="H329" s="13" t="n"/>
      <c r="I329" s="15" t="n"/>
      <c r="J329" s="13" t="n"/>
      <c r="K329" s="13" t="n"/>
      <c r="L329" s="13" t="n"/>
      <c r="M329" s="13" t="n"/>
    </row>
    <row r="330" ht="15" customHeight="1">
      <c r="A330" s="47" t="n"/>
      <c r="B330" s="13" t="n"/>
      <c r="C330" s="14">
        <f>IF(B330="","",IF(COUNTIF(lst_Jobs,B330&amp;"")&gt;0,"OK","CHECK"))</f>
        <v/>
      </c>
      <c r="D330" s="13" t="n"/>
      <c r="E330" s="13" t="n"/>
      <c r="F330" s="13" t="n"/>
      <c r="G330" s="13" t="n"/>
      <c r="H330" s="13" t="n"/>
      <c r="I330" s="15" t="n"/>
      <c r="J330" s="13" t="n"/>
      <c r="K330" s="13" t="n"/>
      <c r="L330" s="13" t="n"/>
      <c r="M330" s="13" t="n"/>
    </row>
  </sheetData>
  <conditionalFormatting sqref="C5:C5000">
    <cfRule type="expression" priority="1" dxfId="0" stopIfTrue="0">
      <formula>C5="CHECK"</formula>
    </cfRule>
  </conditionalFormatting>
  <conditionalFormatting sqref="L5:L5000">
    <cfRule type="expression" priority="2" dxfId="1" stopIfTrue="0">
      <formula>L5="N"</formula>
    </cfRule>
  </conditionalFormatting>
  <dataValidations count="4">
    <dataValidation sqref="E5:E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GL Code&quot; is not on the list in the Lists sheet. Add it there if it is genuinely new." type="list" errorStyle="warning">
      <formula1>lst_WIPGL</formula1>
    </dataValidation>
    <dataValidation sqref="L5:L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A6A6A6"/>
    <outlinePr summaryBelow="1" summaryRight="1"/>
    <pageSetUpPr/>
  </sheetPr>
  <dimension ref="A1:R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s>
  <sheetData>
    <row r="1" ht="24" customHeight="1">
      <c r="A1" s="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10" t="inlineStr">
        <is>
          <t>Cost Centre</t>
        </is>
      </c>
      <c r="B4" s="10" t="inlineStr">
        <is>
          <t>Invoice Type</t>
        </is>
      </c>
      <c r="C4" s="10" t="inlineStr">
        <is>
          <t>Tax Code</t>
        </is>
      </c>
      <c r="D4" s="10" t="inlineStr">
        <is>
          <t>Status</t>
        </is>
      </c>
      <c r="E4" s="10" t="inlineStr">
        <is>
          <t>Yes / No</t>
        </is>
      </c>
      <c r="F4" s="10" t="inlineStr">
        <is>
          <t>Ariba Status</t>
        </is>
      </c>
      <c r="G4" s="10" t="inlineStr">
        <is>
          <t>WIP Movement Type</t>
        </is>
      </c>
      <c r="H4" s="10" t="inlineStr">
        <is>
          <t>WIP GL Code</t>
        </is>
      </c>
      <c r="I4" s="10" t="inlineStr">
        <is>
          <t>Team</t>
        </is>
      </c>
      <c r="K4" s="10" t="inlineStr">
        <is>
          <t>Revenue GL</t>
        </is>
      </c>
      <c r="L4" s="10" t="inlineStr">
        <is>
          <t>GL Account Name (from Xero)</t>
        </is>
      </c>
      <c r="N4" s="10" t="inlineStr">
        <is>
          <t>Month (period end)</t>
        </is>
      </c>
      <c r="P4" s="10" t="inlineStr">
        <is>
          <t>Job Number</t>
        </is>
      </c>
      <c r="Q4" s="10" t="inlineStr">
        <is>
          <t>Job Name (from Xero)</t>
        </is>
      </c>
      <c r="R4" s="10" t="inlineStr">
        <is>
          <t>CC</t>
        </is>
      </c>
    </row>
    <row r="5">
      <c r="A5" s="48" t="inlineStr">
        <is>
          <t>ONSITE</t>
        </is>
      </c>
      <c r="B5" s="48" t="inlineStr">
        <is>
          <t>Contract</t>
        </is>
      </c>
      <c r="C5" s="48" t="inlineStr">
        <is>
          <t>GST 10%</t>
        </is>
      </c>
      <c r="D5" s="48" t="inlineStr">
        <is>
          <t>To Invoice</t>
        </is>
      </c>
      <c r="E5" s="48" t="inlineStr">
        <is>
          <t>Y</t>
        </is>
      </c>
      <c r="F5" s="48" t="inlineStr">
        <is>
          <t>N/A</t>
        </is>
      </c>
      <c r="G5" s="48" t="inlineStr">
        <is>
          <t>Accrual - unbilled work</t>
        </is>
      </c>
      <c r="H5" s="48" t="inlineStr">
        <is>
          <t>11300</t>
        </is>
      </c>
      <c r="I5" s="48" t="inlineStr">
        <is>
          <t>Onsite</t>
        </is>
      </c>
      <c r="K5" s="48" t="inlineStr">
        <is>
          <t>41100</t>
        </is>
      </c>
      <c r="L5" s="48" t="inlineStr">
        <is>
          <t>Contract Support Staff</t>
        </is>
      </c>
      <c r="N5" s="49" t="n">
        <v>45138</v>
      </c>
      <c r="P5" s="48" t="inlineStr">
        <is>
          <t>1144</t>
        </is>
      </c>
      <c r="Q5" s="48" t="inlineStr">
        <is>
          <t>Bankwest PER Half Tech</t>
        </is>
      </c>
      <c r="R5" s="48" t="inlineStr">
        <is>
          <t>ONSITE</t>
        </is>
      </c>
    </row>
    <row r="6">
      <c r="A6" s="48" t="inlineStr">
        <is>
          <t>PRODUCTION</t>
        </is>
      </c>
      <c r="B6" s="48" t="inlineStr">
        <is>
          <t>Chargeback</t>
        </is>
      </c>
      <c r="C6" s="48" t="inlineStr">
        <is>
          <t>GST Free</t>
        </is>
      </c>
      <c r="D6" s="48" t="inlineStr">
        <is>
          <t>Draft</t>
        </is>
      </c>
      <c r="E6" s="48" t="inlineStr">
        <is>
          <t>N</t>
        </is>
      </c>
      <c r="F6" s="48" t="inlineStr">
        <is>
          <t>Awaiting PO</t>
        </is>
      </c>
      <c r="G6" s="48" t="inlineStr">
        <is>
          <t>Reversal of prior accrual</t>
        </is>
      </c>
      <c r="H6" s="48" t="inlineStr">
        <is>
          <t>44100</t>
        </is>
      </c>
      <c r="I6" s="48" t="inlineStr">
        <is>
          <t>Production</t>
        </is>
      </c>
      <c r="K6" s="48" t="inlineStr">
        <is>
          <t>41150</t>
        </is>
      </c>
      <c r="L6" s="48" t="inlineStr">
        <is>
          <t>Mobile Phone Plans</t>
        </is>
      </c>
      <c r="N6" s="49" t="n">
        <v>45169</v>
      </c>
      <c r="P6" s="48" t="inlineStr">
        <is>
          <t>1350</t>
        </is>
      </c>
      <c r="Q6" s="48" t="inlineStr">
        <is>
          <t>CBA Brisbane ONS</t>
        </is>
      </c>
      <c r="R6" s="48" t="inlineStr">
        <is>
          <t>ONSITE</t>
        </is>
      </c>
    </row>
    <row r="7">
      <c r="A7" s="48" t="inlineStr">
        <is>
          <t>VIDEO</t>
        </is>
      </c>
      <c r="B7" s="48" t="inlineStr">
        <is>
          <t>Ad-hoc</t>
        </is>
      </c>
      <c r="C7" s="48" t="inlineStr">
        <is>
          <t>Export (0%)</t>
        </is>
      </c>
      <c r="D7" s="48" t="inlineStr">
        <is>
          <t>Awaiting Approval</t>
        </is>
      </c>
      <c r="E7" s="48" t="inlineStr">
        <is>
          <t>N/A</t>
        </is>
      </c>
      <c r="F7" s="48" t="inlineStr">
        <is>
          <t>To Upload</t>
        </is>
      </c>
      <c r="G7" s="48" t="inlineStr">
        <is>
          <t>Deferral - invoiced in advance</t>
        </is>
      </c>
      <c r="H7" s="48" t="inlineStr">
        <is>
          <t>44200</t>
        </is>
      </c>
      <c r="I7" s="48" t="inlineStr">
        <is>
          <t>Consulting</t>
        </is>
      </c>
      <c r="K7" s="48" t="inlineStr">
        <is>
          <t>41175</t>
        </is>
      </c>
      <c r="L7" s="48" t="inlineStr">
        <is>
          <t>Subscriptions &amp; Licences - Income</t>
        </is>
      </c>
      <c r="N7" s="49" t="n">
        <v>45199</v>
      </c>
      <c r="P7" s="48" t="inlineStr">
        <is>
          <t>1400</t>
        </is>
      </c>
      <c r="Q7" s="48" t="inlineStr">
        <is>
          <t>DTTL Mel Tech FT 2</t>
        </is>
      </c>
      <c r="R7" s="48" t="inlineStr">
        <is>
          <t>ONSITE</t>
        </is>
      </c>
    </row>
    <row r="8">
      <c r="A8" s="48" t="inlineStr">
        <is>
          <t>INTEGRATION</t>
        </is>
      </c>
      <c r="B8" s="48" t="inlineStr">
        <is>
          <t>Project</t>
        </is>
      </c>
      <c r="C8" s="48" t="inlineStr">
        <is>
          <t>BAS Excluded</t>
        </is>
      </c>
      <c r="D8" s="48" t="inlineStr">
        <is>
          <t>Invoiced</t>
        </is>
      </c>
      <c r="F8" s="48" t="inlineStr">
        <is>
          <t>Uploaded</t>
        </is>
      </c>
      <c r="G8" s="48" t="inlineStr">
        <is>
          <t>Release of deferral</t>
        </is>
      </c>
      <c r="I8" s="48" t="inlineStr">
        <is>
          <t>Other</t>
        </is>
      </c>
      <c r="K8" s="48" t="inlineStr">
        <is>
          <t>41200</t>
        </is>
      </c>
      <c r="L8" s="48" t="inlineStr">
        <is>
          <t>Contract Maintenance</t>
        </is>
      </c>
      <c r="N8" s="49" t="n">
        <v>45230</v>
      </c>
      <c r="P8" s="48" t="inlineStr">
        <is>
          <t>1401</t>
        </is>
      </c>
      <c r="Q8" s="48" t="inlineStr">
        <is>
          <t>DTTL SYD FT Tech 2</t>
        </is>
      </c>
      <c r="R8" s="48" t="inlineStr">
        <is>
          <t>ONSITE</t>
        </is>
      </c>
    </row>
    <row r="9">
      <c r="A9" s="48" t="inlineStr">
        <is>
          <t>CONSULTING</t>
        </is>
      </c>
      <c r="B9" s="48" t="inlineStr">
        <is>
          <t>Progress Claim</t>
        </is>
      </c>
      <c r="D9" s="48" t="inlineStr">
        <is>
          <t>Sent</t>
        </is>
      </c>
      <c r="F9" s="48" t="inlineStr">
        <is>
          <t>Approved</t>
        </is>
      </c>
      <c r="G9" s="48" t="inlineStr">
        <is>
          <t>Adjustment / correction</t>
        </is>
      </c>
      <c r="K9" s="48" t="inlineStr">
        <is>
          <t>41500</t>
        </is>
      </c>
      <c r="L9" s="48" t="inlineStr">
        <is>
          <t>Contract Help Desk</t>
        </is>
      </c>
      <c r="N9" s="49" t="n">
        <v>45260</v>
      </c>
      <c r="P9" s="48" t="inlineStr">
        <is>
          <t>1530</t>
        </is>
      </c>
      <c r="Q9" s="48" t="inlineStr">
        <is>
          <t>DTTL BNE Onsite</t>
        </is>
      </c>
      <c r="R9" s="48" t="inlineStr">
        <is>
          <t>ONSITE</t>
        </is>
      </c>
    </row>
    <row r="10">
      <c r="A10" s="48" t="inlineStr">
        <is>
          <t>CTS</t>
        </is>
      </c>
      <c r="B10" s="48" t="inlineStr">
        <is>
          <t>Milestone</t>
        </is>
      </c>
      <c r="D10" s="48" t="inlineStr">
        <is>
          <t>Paid</t>
        </is>
      </c>
      <c r="F10" s="48" t="inlineStr">
        <is>
          <t>Rejected</t>
        </is>
      </c>
      <c r="G10" s="48" t="inlineStr">
        <is>
          <t>Migrated opening balance</t>
        </is>
      </c>
      <c r="K10" s="48" t="inlineStr">
        <is>
          <t>42100</t>
        </is>
      </c>
      <c r="L10" s="48" t="inlineStr">
        <is>
          <t>Production Labour</t>
        </is>
      </c>
      <c r="N10" s="49" t="n">
        <v>45291</v>
      </c>
      <c r="P10" s="48" t="inlineStr">
        <is>
          <t>1668</t>
        </is>
      </c>
      <c r="Q10" s="48" t="inlineStr">
        <is>
          <t>CBA Dedicated Tech</t>
        </is>
      </c>
      <c r="R10" s="48" t="inlineStr">
        <is>
          <t>ONSITE</t>
        </is>
      </c>
    </row>
    <row r="11">
      <c r="B11" s="48" t="inlineStr">
        <is>
          <t>Subscription</t>
        </is>
      </c>
      <c r="D11" s="48" t="inlineStr">
        <is>
          <t>On Hold</t>
        </is>
      </c>
      <c r="K11" s="48" t="inlineStr">
        <is>
          <t>42150</t>
        </is>
      </c>
      <c r="L11" s="48" t="inlineStr">
        <is>
          <t>Video Labour</t>
        </is>
      </c>
      <c r="N11" s="49" t="n">
        <v>45322</v>
      </c>
      <c r="P11" s="48" t="inlineStr">
        <is>
          <t>1750</t>
        </is>
      </c>
      <c r="Q11" s="48" t="inlineStr">
        <is>
          <t>Bankwest Spotify</t>
        </is>
      </c>
      <c r="R11" s="48" t="inlineStr"/>
    </row>
    <row r="12">
      <c r="B12" s="48" t="inlineStr">
        <is>
          <t>Equipment Sale</t>
        </is>
      </c>
      <c r="D12" s="48" t="inlineStr">
        <is>
          <t>Cancelled</t>
        </is>
      </c>
      <c r="K12" s="48" t="inlineStr">
        <is>
          <t>42200</t>
        </is>
      </c>
      <c r="L12" s="48" t="inlineStr">
        <is>
          <t>Ad Hoc Service Labour</t>
        </is>
      </c>
      <c r="N12" s="49" t="n">
        <v>45351</v>
      </c>
      <c r="P12" s="48" t="inlineStr">
        <is>
          <t>1755</t>
        </is>
      </c>
      <c r="Q12" s="48" t="inlineStr">
        <is>
          <t>CBA Spotify</t>
        </is>
      </c>
      <c r="R12" s="48" t="inlineStr">
        <is>
          <t>ONSITE</t>
        </is>
      </c>
    </row>
    <row r="13">
      <c r="B13" s="48" t="inlineStr">
        <is>
          <t>Recharge</t>
        </is>
      </c>
      <c r="D13" s="48" t="inlineStr">
        <is>
          <t>Credited</t>
        </is>
      </c>
      <c r="K13" s="48" t="inlineStr">
        <is>
          <t>42300</t>
        </is>
      </c>
      <c r="L13" s="48" t="inlineStr">
        <is>
          <t>Installation Labour</t>
        </is>
      </c>
      <c r="N13" s="49" t="n">
        <v>45382</v>
      </c>
      <c r="P13" s="48" t="inlineStr">
        <is>
          <t>1771</t>
        </is>
      </c>
      <c r="Q13" s="48" t="inlineStr">
        <is>
          <t>Integration - Training</t>
        </is>
      </c>
      <c r="R13" s="48" t="inlineStr">
        <is>
          <t>INTEGRATION</t>
        </is>
      </c>
    </row>
    <row r="14">
      <c r="B14" s="48" t="inlineStr">
        <is>
          <t>Credit Note</t>
        </is>
      </c>
      <c r="K14" s="48" t="inlineStr">
        <is>
          <t>42500</t>
        </is>
      </c>
      <c r="L14" s="48" t="inlineStr">
        <is>
          <t>Equipment Hires</t>
        </is>
      </c>
      <c r="N14" s="49" t="n">
        <v>45412</v>
      </c>
      <c r="P14" s="48" t="inlineStr">
        <is>
          <t>1862</t>
        </is>
      </c>
      <c r="Q14" s="48" t="inlineStr">
        <is>
          <t>DTTL ADL Onsite</t>
        </is>
      </c>
      <c r="R14" s="48" t="inlineStr">
        <is>
          <t>ONSITE</t>
        </is>
      </c>
    </row>
    <row r="15">
      <c r="K15" s="48" t="inlineStr">
        <is>
          <t>42600</t>
        </is>
      </c>
      <c r="L15" s="48" t="inlineStr">
        <is>
          <t>Equipment Sales</t>
        </is>
      </c>
      <c r="N15" s="49" t="n">
        <v>45443</v>
      </c>
      <c r="P15" s="48" t="inlineStr">
        <is>
          <t>20250731</t>
        </is>
      </c>
      <c r="Q15" s="48" t="inlineStr">
        <is>
          <t>PWC National Pool of Hours</t>
        </is>
      </c>
      <c r="R15" s="48" t="inlineStr">
        <is>
          <t>ONSITE</t>
        </is>
      </c>
    </row>
    <row r="16">
      <c r="K16" s="48" t="inlineStr">
        <is>
          <t>42700</t>
        </is>
      </c>
      <c r="L16" s="48" t="inlineStr">
        <is>
          <t>Conference Call Charge</t>
        </is>
      </c>
      <c r="N16" s="49" t="n">
        <v>45473</v>
      </c>
      <c r="P16" s="48" t="inlineStr">
        <is>
          <t>2026021101</t>
        </is>
      </c>
      <c r="Q16" s="48" t="inlineStr">
        <is>
          <t>AusPayNet Quarterly AV Support &amp; Maintenance 2026</t>
        </is>
      </c>
      <c r="R16" s="48" t="inlineStr">
        <is>
          <t>ONSITE</t>
        </is>
      </c>
    </row>
    <row r="17">
      <c r="K17" s="48" t="inlineStr">
        <is>
          <t>42800</t>
        </is>
      </c>
      <c r="L17" s="48" t="inlineStr">
        <is>
          <t>Tech Consulting/Project Manage</t>
        </is>
      </c>
      <c r="N17" s="49" t="n">
        <v>45504</v>
      </c>
      <c r="P17" s="48" t="inlineStr">
        <is>
          <t>20260801</t>
        </is>
      </c>
      <c r="Q17" s="48" t="inlineStr">
        <is>
          <t>CTS Day 2026</t>
        </is>
      </c>
      <c r="R17" s="48" t="inlineStr">
        <is>
          <t>CTS</t>
        </is>
      </c>
    </row>
    <row r="18">
      <c r="K18" s="48" t="inlineStr">
        <is>
          <t>42900</t>
        </is>
      </c>
      <c r="L18" s="48" t="inlineStr">
        <is>
          <t>Tech Event Management</t>
        </is>
      </c>
      <c r="N18" s="49" t="n">
        <v>45535</v>
      </c>
      <c r="P18" s="48" t="inlineStr">
        <is>
          <t>2192</t>
        </is>
      </c>
      <c r="Q18" s="48" t="inlineStr">
        <is>
          <t>Bankwest Additional Tech</t>
        </is>
      </c>
      <c r="R18" s="48" t="inlineStr">
        <is>
          <t>ONSITE</t>
        </is>
      </c>
    </row>
    <row r="19">
      <c r="K19" s="48" t="inlineStr">
        <is>
          <t>44100</t>
        </is>
      </c>
      <c r="L19" s="48" t="inlineStr">
        <is>
          <t>Opening Work in Progress</t>
        </is>
      </c>
      <c r="N19" s="49" t="n">
        <v>45565</v>
      </c>
      <c r="P19" s="48" t="inlineStr">
        <is>
          <t>2347</t>
        </is>
      </c>
      <c r="Q19" s="48" t="inlineStr">
        <is>
          <t>DTTL Dedicated Tech</t>
        </is>
      </c>
      <c r="R19" s="48" t="inlineStr">
        <is>
          <t>ONSITE</t>
        </is>
      </c>
    </row>
    <row r="20">
      <c r="K20" s="48" t="inlineStr">
        <is>
          <t>44200</t>
        </is>
      </c>
      <c r="L20" s="48" t="inlineStr">
        <is>
          <t>Closing Work in Progress</t>
        </is>
      </c>
      <c r="N20" s="49" t="n">
        <v>45596</v>
      </c>
      <c r="P20" s="48" t="inlineStr">
        <is>
          <t>2392</t>
        </is>
      </c>
      <c r="Q20" s="48" t="inlineStr">
        <is>
          <t>PWC – MEL Technician</t>
        </is>
      </c>
      <c r="R20" s="48" t="inlineStr">
        <is>
          <t>ONSITE</t>
        </is>
      </c>
    </row>
    <row r="21">
      <c r="K21" s="48" t="inlineStr">
        <is>
          <t>45005</t>
        </is>
      </c>
      <c r="L21" s="48" t="inlineStr">
        <is>
          <t>Freight &amp; Travel - ADMIN</t>
        </is>
      </c>
      <c r="N21" s="49" t="n">
        <v>45626</v>
      </c>
      <c r="P21" s="48" t="inlineStr">
        <is>
          <t>2402</t>
        </is>
      </c>
      <c r="Q21" s="48" t="inlineStr">
        <is>
          <t>DTTL SYD FT Tech 1</t>
        </is>
      </c>
      <c r="R21" s="48" t="inlineStr">
        <is>
          <t>ONSITE</t>
        </is>
      </c>
    </row>
    <row r="22">
      <c r="K22" s="48" t="inlineStr">
        <is>
          <t>45010</t>
        </is>
      </c>
      <c r="L22" s="48" t="inlineStr">
        <is>
          <t>Freight &amp; Travel - ONS</t>
        </is>
      </c>
      <c r="N22" s="49" t="n">
        <v>45657</v>
      </c>
      <c r="P22" s="48" t="inlineStr">
        <is>
          <t>2407312</t>
        </is>
      </c>
      <c r="Q22" s="48" t="inlineStr">
        <is>
          <t>Hills Performance Centre</t>
        </is>
      </c>
      <c r="R22" s="48" t="inlineStr">
        <is>
          <t>CONSULTING</t>
        </is>
      </c>
    </row>
    <row r="23">
      <c r="K23" s="48" t="inlineStr">
        <is>
          <t>45015</t>
        </is>
      </c>
      <c r="L23" s="48" t="inlineStr">
        <is>
          <t>Freight &amp; Travel - PRD</t>
        </is>
      </c>
      <c r="N23" s="49" t="n">
        <v>45688</v>
      </c>
      <c r="P23" s="48" t="inlineStr">
        <is>
          <t>24102501</t>
        </is>
      </c>
      <c r="Q23" s="48" t="inlineStr">
        <is>
          <t>PWC - MEL Tech 12Months</t>
        </is>
      </c>
      <c r="R23" s="48" t="inlineStr">
        <is>
          <t>ONSITE</t>
        </is>
      </c>
    </row>
    <row r="24">
      <c r="K24" s="48" t="inlineStr">
        <is>
          <t>45020</t>
        </is>
      </c>
      <c r="L24" s="48" t="inlineStr">
        <is>
          <t>Freight &amp; Travel - VID</t>
        </is>
      </c>
      <c r="N24" s="49" t="n">
        <v>45716</v>
      </c>
      <c r="P24" s="48" t="inlineStr">
        <is>
          <t>24121001</t>
        </is>
      </c>
      <c r="Q24" s="48" t="inlineStr">
        <is>
          <t>BW PER Studio Equipment Supply</t>
        </is>
      </c>
      <c r="R24" s="48" t="inlineStr">
        <is>
          <t>INTEGRATION</t>
        </is>
      </c>
    </row>
    <row r="25">
      <c r="K25" s="48" t="inlineStr">
        <is>
          <t>45025</t>
        </is>
      </c>
      <c r="L25" s="48" t="inlineStr">
        <is>
          <t>Freight &amp; Travel - INTEGRATION</t>
        </is>
      </c>
      <c r="N25" s="49" t="n">
        <v>45747</v>
      </c>
      <c r="P25" s="48" t="inlineStr">
        <is>
          <t>2479</t>
        </is>
      </c>
      <c r="Q25" s="48" t="inlineStr">
        <is>
          <t>CONSULTING - Quotes</t>
        </is>
      </c>
      <c r="R25" s="48" t="inlineStr">
        <is>
          <t>CONSULTING</t>
        </is>
      </c>
    </row>
    <row r="26">
      <c r="K26" s="48" t="inlineStr">
        <is>
          <t>45030</t>
        </is>
      </c>
      <c r="L26" s="48" t="inlineStr">
        <is>
          <t>Freight &amp; Travel - CONS</t>
        </is>
      </c>
      <c r="N26" s="49" t="n">
        <v>45777</v>
      </c>
      <c r="P26" s="48" t="inlineStr">
        <is>
          <t>2480</t>
        </is>
      </c>
      <c r="Q26" s="48" t="inlineStr">
        <is>
          <t>ONSITE - Quotes</t>
        </is>
      </c>
      <c r="R26" s="48" t="inlineStr">
        <is>
          <t>ONSITE</t>
        </is>
      </c>
    </row>
    <row r="27">
      <c r="K27" s="48" t="inlineStr">
        <is>
          <t>46005</t>
        </is>
      </c>
      <c r="L27" s="48" t="inlineStr">
        <is>
          <t>Credit Card Fees - ADMIN</t>
        </is>
      </c>
      <c r="N27" s="49" t="n">
        <v>45808</v>
      </c>
      <c r="P27" s="48" t="inlineStr">
        <is>
          <t>2481</t>
        </is>
      </c>
      <c r="Q27" s="48" t="inlineStr">
        <is>
          <t>Production - Quotes</t>
        </is>
      </c>
      <c r="R27" s="48" t="inlineStr">
        <is>
          <t>PRODUCTION</t>
        </is>
      </c>
    </row>
    <row r="28">
      <c r="K28" s="48" t="inlineStr">
        <is>
          <t>46010</t>
        </is>
      </c>
      <c r="L28" s="48" t="inlineStr">
        <is>
          <t>Credit Card Collected - ONS</t>
        </is>
      </c>
      <c r="N28" s="49" t="n">
        <v>45838</v>
      </c>
      <c r="P28" s="48" t="inlineStr">
        <is>
          <t>2482</t>
        </is>
      </c>
      <c r="Q28" s="48" t="inlineStr">
        <is>
          <t>VIDEO - Quotes</t>
        </is>
      </c>
      <c r="R28" s="48" t="inlineStr">
        <is>
          <t>VIDEO</t>
        </is>
      </c>
    </row>
    <row r="29">
      <c r="K29" s="48" t="inlineStr">
        <is>
          <t>46015</t>
        </is>
      </c>
      <c r="L29" s="48" t="inlineStr">
        <is>
          <t>Credit Card Collected - PRD</t>
        </is>
      </c>
      <c r="N29" s="49" t="n">
        <v>45869</v>
      </c>
      <c r="P29" s="48" t="inlineStr">
        <is>
          <t>2488</t>
        </is>
      </c>
      <c r="Q29" s="48" t="inlineStr">
        <is>
          <t>PWC IT P/T BNE</t>
        </is>
      </c>
      <c r="R29" s="48" t="inlineStr">
        <is>
          <t>ONSITE</t>
        </is>
      </c>
    </row>
    <row r="30">
      <c r="K30" s="48" t="inlineStr">
        <is>
          <t>46020</t>
        </is>
      </c>
      <c r="L30" s="48" t="inlineStr">
        <is>
          <t>Credit Card Collected - VID</t>
        </is>
      </c>
      <c r="N30" s="49" t="n">
        <v>45900</v>
      </c>
      <c r="P30" s="48" t="inlineStr">
        <is>
          <t>25011601</t>
        </is>
      </c>
      <c r="Q30" s="48" t="inlineStr">
        <is>
          <t>DTTL Hobart ITS AV Ref</t>
        </is>
      </c>
      <c r="R30" s="48" t="inlineStr">
        <is>
          <t>INTEGRATION</t>
        </is>
      </c>
    </row>
    <row r="31">
      <c r="K31" s="48" t="inlineStr">
        <is>
          <t>46025</t>
        </is>
      </c>
      <c r="L31" s="48" t="inlineStr">
        <is>
          <t>Credit Card Collected - INTEGRATION</t>
        </is>
      </c>
      <c r="N31" s="49" t="n">
        <v>45930</v>
      </c>
      <c r="P31" s="48" t="inlineStr">
        <is>
          <t>2501738</t>
        </is>
      </c>
      <c r="Q31" s="48" t="inlineStr">
        <is>
          <t>APA HYR25 &amp; FYR25</t>
        </is>
      </c>
      <c r="R31" s="48" t="inlineStr">
        <is>
          <t>PRODUCTION</t>
        </is>
      </c>
    </row>
    <row r="32">
      <c r="K32" s="48" t="inlineStr">
        <is>
          <t>46030</t>
        </is>
      </c>
      <c r="L32" s="48" t="inlineStr">
        <is>
          <t>Credit Card Collected - CONS</t>
        </is>
      </c>
      <c r="N32" s="49" t="n">
        <v>45961</v>
      </c>
      <c r="P32" s="48" t="inlineStr">
        <is>
          <t>2502</t>
        </is>
      </c>
      <c r="Q32" s="48" t="inlineStr">
        <is>
          <t>ONS CBA (non-chargeable)</t>
        </is>
      </c>
      <c r="R32" s="48" t="inlineStr"/>
    </row>
    <row r="33">
      <c r="K33" s="48" t="inlineStr">
        <is>
          <t>47005</t>
        </is>
      </c>
      <c r="L33" s="48" t="inlineStr">
        <is>
          <t>Meal &amp; Travel - ADMIN</t>
        </is>
      </c>
      <c r="N33" s="49" t="n">
        <v>45991</v>
      </c>
      <c r="P33" s="48" t="inlineStr">
        <is>
          <t>25021901</t>
        </is>
      </c>
      <c r="Q33" s="48" t="inlineStr">
        <is>
          <t>DAFF Technology Standard</t>
        </is>
      </c>
      <c r="R33" s="48" t="inlineStr">
        <is>
          <t>CONSULTING</t>
        </is>
      </c>
    </row>
    <row r="34">
      <c r="K34" s="48" t="inlineStr">
        <is>
          <t>47010</t>
        </is>
      </c>
      <c r="L34" s="48" t="inlineStr">
        <is>
          <t>Meal &amp; Travel - ONS</t>
        </is>
      </c>
      <c r="N34" s="49" t="n">
        <v>46022</v>
      </c>
      <c r="P34" s="48" t="inlineStr">
        <is>
          <t>2503</t>
        </is>
      </c>
      <c r="Q34" s="48" t="inlineStr">
        <is>
          <t>ONS DTTL (non-chargeable)</t>
        </is>
      </c>
      <c r="R34" s="48" t="inlineStr"/>
    </row>
    <row r="35">
      <c r="K35" s="48" t="inlineStr">
        <is>
          <t>47015</t>
        </is>
      </c>
      <c r="L35" s="48" t="inlineStr">
        <is>
          <t>Meal &amp; Travel - PRD</t>
        </is>
      </c>
      <c r="N35" s="49" t="n">
        <v>46053</v>
      </c>
      <c r="P35" s="48" t="inlineStr">
        <is>
          <t>25032701</t>
        </is>
      </c>
      <c r="Q35" s="48" t="inlineStr">
        <is>
          <t>St Catherines Chargeable</t>
        </is>
      </c>
      <c r="R35" s="48" t="inlineStr">
        <is>
          <t>ONSITE</t>
        </is>
      </c>
    </row>
    <row r="36">
      <c r="K36" s="48" t="inlineStr">
        <is>
          <t>47020</t>
        </is>
      </c>
      <c r="L36" s="48" t="inlineStr">
        <is>
          <t>Meal &amp; Travel - VID</t>
        </is>
      </c>
      <c r="N36" s="49" t="n">
        <v>46081</v>
      </c>
      <c r="P36" s="48" t="inlineStr">
        <is>
          <t>25032701NC</t>
        </is>
      </c>
      <c r="Q36" s="48" t="inlineStr">
        <is>
          <t>St Catherines Non-Chgble</t>
        </is>
      </c>
      <c r="R36" s="48" t="inlineStr">
        <is>
          <t>ONSITE</t>
        </is>
      </c>
    </row>
    <row r="37">
      <c r="K37" s="48" t="inlineStr">
        <is>
          <t>47025</t>
        </is>
      </c>
      <c r="L37" s="48" t="inlineStr">
        <is>
          <t>Meal &amp; Travel - INTEGRATION</t>
        </is>
      </c>
      <c r="N37" s="49" t="n">
        <v>46112</v>
      </c>
      <c r="P37" s="48" t="inlineStr">
        <is>
          <t>2504</t>
        </is>
      </c>
      <c r="Q37" s="48" t="inlineStr">
        <is>
          <t>ONS WBC (non-chargeable)</t>
        </is>
      </c>
      <c r="R37" s="48" t="inlineStr"/>
    </row>
    <row r="38">
      <c r="K38" s="48" t="inlineStr">
        <is>
          <t>47030</t>
        </is>
      </c>
      <c r="L38" s="48" t="inlineStr">
        <is>
          <t>Meal &amp; Travel - CONS</t>
        </is>
      </c>
      <c r="N38" s="49" t="n">
        <v>46142</v>
      </c>
      <c r="P38" s="48" t="inlineStr">
        <is>
          <t>25041502</t>
        </is>
      </c>
      <c r="Q38" s="48" t="inlineStr">
        <is>
          <t>PDNSW DB License Ext</t>
        </is>
      </c>
      <c r="R38" s="48" t="inlineStr">
        <is>
          <t>INTEGRATION</t>
        </is>
      </c>
    </row>
    <row r="39">
      <c r="K39" s="48" t="inlineStr">
        <is>
          <t>48000</t>
        </is>
      </c>
      <c r="L39" s="48" t="inlineStr">
        <is>
          <t>Miscellaneous Income</t>
        </is>
      </c>
      <c r="N39" s="49" t="n">
        <v>46173</v>
      </c>
      <c r="P39" s="48" t="inlineStr">
        <is>
          <t>2505</t>
        </is>
      </c>
      <c r="Q39" s="48" t="inlineStr">
        <is>
          <t>ONS PWC (non-chargeable)</t>
        </is>
      </c>
      <c r="R39" s="48" t="inlineStr"/>
    </row>
    <row r="40">
      <c r="N40" s="49" t="n">
        <v>46203</v>
      </c>
      <c r="P40" s="48" t="inlineStr">
        <is>
          <t>25051302</t>
        </is>
      </c>
      <c r="Q40" s="48" t="inlineStr">
        <is>
          <t>NSW Prop Bradfield Desk Booking + Penrith Additional</t>
        </is>
      </c>
      <c r="R40" s="48" t="inlineStr">
        <is>
          <t>INTEGRATION</t>
        </is>
      </c>
    </row>
    <row r="41">
      <c r="N41" s="49" t="n">
        <v>46234</v>
      </c>
      <c r="P41" s="48" t="inlineStr">
        <is>
          <t>25051403</t>
        </is>
      </c>
      <c r="Q41" s="48" t="inlineStr">
        <is>
          <t>DTTL SYD Tech Supp TMT AP</t>
        </is>
      </c>
      <c r="R41" s="48" t="inlineStr">
        <is>
          <t>ONSITE</t>
        </is>
      </c>
    </row>
    <row r="42">
      <c r="N42" s="49" t="n">
        <v>46265</v>
      </c>
      <c r="P42" s="48" t="inlineStr">
        <is>
          <t>25052802</t>
        </is>
      </c>
      <c r="Q42" s="48" t="inlineStr">
        <is>
          <t>Aus Retirement Trust Members Meeting 2025</t>
        </is>
      </c>
      <c r="R42" s="48" t="inlineStr">
        <is>
          <t>PRODUCTION</t>
        </is>
      </c>
    </row>
    <row r="43">
      <c r="N43" s="49" t="n">
        <v>46295</v>
      </c>
      <c r="P43" s="48" t="inlineStr">
        <is>
          <t>2505901</t>
        </is>
      </c>
      <c r="Q43" s="48" t="inlineStr">
        <is>
          <t>COS Projector Lens Supply</t>
        </is>
      </c>
      <c r="R43" s="48" t="inlineStr">
        <is>
          <t>INTEGRATION</t>
        </is>
      </c>
    </row>
    <row r="44">
      <c r="N44" s="49" t="n">
        <v>46326</v>
      </c>
      <c r="P44" s="48" t="inlineStr">
        <is>
          <t>2506</t>
        </is>
      </c>
      <c r="Q44" s="48" t="inlineStr">
        <is>
          <t>ONS BWEST (non-chargeable)</t>
        </is>
      </c>
      <c r="R44" s="48" t="inlineStr"/>
    </row>
    <row r="45">
      <c r="N45" s="49" t="n">
        <v>46356</v>
      </c>
      <c r="P45" s="48" t="inlineStr">
        <is>
          <t>25060301</t>
        </is>
      </c>
      <c r="Q45" s="48" t="inlineStr">
        <is>
          <t>6PSQ L12 Desk Booking</t>
        </is>
      </c>
      <c r="R45" s="48" t="inlineStr">
        <is>
          <t>INTEGRATION</t>
        </is>
      </c>
    </row>
    <row r="46">
      <c r="N46" s="49" t="n">
        <v>46387</v>
      </c>
      <c r="P46" s="48" t="inlineStr">
        <is>
          <t>25060307</t>
        </is>
      </c>
      <c r="Q46" s="48" t="inlineStr">
        <is>
          <t>DPIE Molesworth St D/B</t>
        </is>
      </c>
      <c r="R46" s="48" t="inlineStr">
        <is>
          <t>INTEGRATION</t>
        </is>
      </c>
    </row>
    <row r="47">
      <c r="N47" s="49" t="n">
        <v>46418</v>
      </c>
      <c r="P47" s="48" t="inlineStr">
        <is>
          <t>2506208</t>
        </is>
      </c>
      <c r="Q47" s="48" t="inlineStr">
        <is>
          <t>CBA AGM 2026</t>
        </is>
      </c>
      <c r="R47" s="48" t="inlineStr">
        <is>
          <t>PRODUCTION</t>
        </is>
      </c>
    </row>
    <row r="48">
      <c r="N48" s="49" t="n">
        <v>46446</v>
      </c>
      <c r="P48" s="48" t="inlineStr">
        <is>
          <t>2506208V</t>
        </is>
      </c>
      <c r="Q48" s="48" t="inlineStr">
        <is>
          <t>CBA AGM 2026</t>
        </is>
      </c>
      <c r="R48" s="48" t="inlineStr">
        <is>
          <t>VIDEO</t>
        </is>
      </c>
    </row>
    <row r="49">
      <c r="N49" s="49" t="n">
        <v>46477</v>
      </c>
      <c r="P49" s="48" t="inlineStr">
        <is>
          <t>25063001V</t>
        </is>
      </c>
      <c r="Q49" s="48" t="inlineStr">
        <is>
          <t>APA All Hands Staff</t>
        </is>
      </c>
      <c r="R49" s="48" t="inlineStr">
        <is>
          <t>VIDEO</t>
        </is>
      </c>
    </row>
    <row r="50">
      <c r="N50" s="49" t="n">
        <v>46507</v>
      </c>
      <c r="P50" s="48" t="inlineStr">
        <is>
          <t>25070702</t>
        </is>
      </c>
      <c r="Q50" s="48" t="inlineStr">
        <is>
          <t>APA VMS Brisbane &amp; Darwin</t>
        </is>
      </c>
      <c r="R50" s="48" t="inlineStr">
        <is>
          <t>INTEGRATION</t>
        </is>
      </c>
    </row>
    <row r="51">
      <c r="N51" s="49" t="n">
        <v>46538</v>
      </c>
      <c r="P51" s="48" t="inlineStr">
        <is>
          <t>2507203</t>
        </is>
      </c>
      <c r="Q51" s="48" t="inlineStr">
        <is>
          <t>Hills Grammar Airmedia Supply</t>
        </is>
      </c>
      <c r="R51" s="48" t="inlineStr">
        <is>
          <t>INTEGRATION</t>
        </is>
      </c>
    </row>
    <row r="52">
      <c r="N52" s="49" t="n">
        <v>46568</v>
      </c>
      <c r="P52" s="48" t="inlineStr">
        <is>
          <t>25081402</t>
        </is>
      </c>
      <c r="Q52" s="48" t="inlineStr">
        <is>
          <t>Hills Grammar Loan Airmedia Purchase</t>
        </is>
      </c>
      <c r="R52" s="48" t="inlineStr">
        <is>
          <t>INTEGRATION</t>
        </is>
      </c>
    </row>
    <row r="53">
      <c r="N53" s="49" t="n">
        <v>46599</v>
      </c>
      <c r="P53" s="48" t="inlineStr">
        <is>
          <t>25082501</t>
        </is>
      </c>
      <c r="Q53" s="48" t="inlineStr">
        <is>
          <t>APA Sydney Tablet Brackets</t>
        </is>
      </c>
      <c r="R53" s="48" t="inlineStr">
        <is>
          <t>INTEGRATION</t>
        </is>
      </c>
    </row>
    <row r="54">
      <c r="N54" s="49" t="n">
        <v>46630</v>
      </c>
      <c r="P54" s="48" t="inlineStr">
        <is>
          <t>25091703</t>
        </is>
      </c>
      <c r="Q54" s="48" t="inlineStr">
        <is>
          <t>Scentre Group Marion Superscreen (D10396) Test and Cert</t>
        </is>
      </c>
      <c r="R54" s="48" t="inlineStr">
        <is>
          <t>CONSULTING</t>
        </is>
      </c>
    </row>
    <row r="55">
      <c r="N55" s="49" t="n">
        <v>46660</v>
      </c>
      <c r="P55" s="48" t="inlineStr">
        <is>
          <t>25101301</t>
        </is>
      </c>
      <c r="Q55" s="48" t="inlineStr">
        <is>
          <t>PWC IT Support – Melbourne</t>
        </is>
      </c>
      <c r="R55" s="48" t="inlineStr">
        <is>
          <t>ONSITE</t>
        </is>
      </c>
    </row>
    <row r="56">
      <c r="N56" s="49" t="n">
        <v>46691</v>
      </c>
      <c r="P56" s="48" t="inlineStr">
        <is>
          <t>25101301B</t>
        </is>
      </c>
      <c r="Q56" s="48" t="inlineStr">
        <is>
          <t>PWC IT Support – Sydney</t>
        </is>
      </c>
      <c r="R56" s="48" t="inlineStr">
        <is>
          <t>ONSITE</t>
        </is>
      </c>
    </row>
    <row r="57">
      <c r="N57" s="49" t="n">
        <v>46721</v>
      </c>
      <c r="P57" s="48" t="inlineStr">
        <is>
          <t>2510202</t>
        </is>
      </c>
      <c r="Q57" s="48" t="inlineStr">
        <is>
          <t>HP Poly Room Assessment</t>
        </is>
      </c>
      <c r="R57" s="48" t="inlineStr">
        <is>
          <t>CONSULTING</t>
        </is>
      </c>
    </row>
    <row r="58">
      <c r="N58" s="49" t="n">
        <v>46752</v>
      </c>
      <c r="P58" s="48" t="inlineStr">
        <is>
          <t>2510205</t>
        </is>
      </c>
      <c r="Q58" s="48" t="inlineStr">
        <is>
          <t>NSW Property RGB Desk Booking</t>
        </is>
      </c>
      <c r="R58" s="48" t="inlineStr">
        <is>
          <t>INTEGRATION</t>
        </is>
      </c>
    </row>
    <row r="59">
      <c r="N59" s="49" t="n">
        <v>46783</v>
      </c>
      <c r="P59" s="48" t="inlineStr">
        <is>
          <t>2510210</t>
        </is>
      </c>
      <c r="Q59" s="48" t="inlineStr">
        <is>
          <t>Scentre Group Westfield Bondi Screen Tests</t>
        </is>
      </c>
      <c r="R59" s="48" t="inlineStr">
        <is>
          <t>CONSULTING</t>
        </is>
      </c>
    </row>
    <row r="60">
      <c r="N60" s="49" t="n">
        <v>46812</v>
      </c>
      <c r="P60" s="48" t="inlineStr">
        <is>
          <t>25102701</t>
        </is>
      </c>
      <c r="Q60" s="48" t="inlineStr">
        <is>
          <t>DEWR - Studio Upgrade - Consulting, Design</t>
        </is>
      </c>
      <c r="R60" s="48" t="inlineStr">
        <is>
          <t>CONSULTING</t>
        </is>
      </c>
    </row>
    <row r="61">
      <c r="N61" s="49" t="n">
        <v>46843</v>
      </c>
      <c r="P61" s="48" t="inlineStr">
        <is>
          <t>25102801</t>
        </is>
      </c>
      <c r="Q61" s="48" t="inlineStr">
        <is>
          <t>DTTL SYD QQT Additional Mics Install in L45 Seminar Space</t>
        </is>
      </c>
      <c r="R61" s="48" t="inlineStr">
        <is>
          <t>INTEGRATION</t>
        </is>
      </c>
    </row>
    <row r="62">
      <c r="N62" s="49" t="n">
        <v>46873</v>
      </c>
      <c r="P62" s="48" t="inlineStr">
        <is>
          <t>25102802</t>
        </is>
      </c>
      <c r="Q62" s="48" t="inlineStr">
        <is>
          <t>Novigi Meeting Space Inspection</t>
        </is>
      </c>
      <c r="R62" s="48" t="inlineStr">
        <is>
          <t>CONSULTING</t>
        </is>
      </c>
    </row>
    <row r="63">
      <c r="N63" s="49" t="n">
        <v>46904</v>
      </c>
      <c r="P63" s="48" t="inlineStr">
        <is>
          <t>2510804</t>
        </is>
      </c>
      <c r="Q63" s="48" t="inlineStr">
        <is>
          <t>CommSecurity Presynct QLD Desk Booking</t>
        </is>
      </c>
      <c r="R63" s="48" t="inlineStr">
        <is>
          <t>INTEGRATION</t>
        </is>
      </c>
    </row>
    <row r="64">
      <c r="N64" s="49" t="n">
        <v>46934</v>
      </c>
      <c r="P64" s="48" t="inlineStr">
        <is>
          <t>2510805</t>
        </is>
      </c>
      <c r="Q64" s="48" t="inlineStr">
        <is>
          <t>PNSW Reconstruction Authority Newcastle</t>
        </is>
      </c>
      <c r="R64" s="48" t="inlineStr">
        <is>
          <t>INTEGRATION</t>
        </is>
      </c>
    </row>
    <row r="65">
      <c r="N65" s="49" t="n">
        <v>46965</v>
      </c>
      <c r="P65" s="48" t="inlineStr">
        <is>
          <t>25111203</t>
        </is>
      </c>
      <c r="Q65" s="48" t="inlineStr">
        <is>
          <t>CoS | Barco E3 Sale</t>
        </is>
      </c>
      <c r="R65" s="48" t="inlineStr">
        <is>
          <t>INTEGRATION</t>
        </is>
      </c>
    </row>
    <row r="66">
      <c r="N66" s="49" t="n">
        <v>46996</v>
      </c>
      <c r="P66" s="48" t="inlineStr">
        <is>
          <t>25112801</t>
        </is>
      </c>
      <c r="Q66" s="48" t="inlineStr">
        <is>
          <t>APA MEL - iPad &amp; Bouncepad Sale</t>
        </is>
      </c>
      <c r="R66" s="48" t="inlineStr">
        <is>
          <t>INTEGRATION</t>
        </is>
      </c>
    </row>
    <row r="67">
      <c r="N67" s="49" t="n">
        <v>47026</v>
      </c>
      <c r="P67" s="48" t="inlineStr">
        <is>
          <t>25121001</t>
        </is>
      </c>
      <c r="Q67" s="48" t="inlineStr">
        <is>
          <t>HP Poly Mic System Sale and Install at Mission Australia</t>
        </is>
      </c>
      <c r="R67" s="48" t="inlineStr">
        <is>
          <t>INTEGRATION</t>
        </is>
      </c>
    </row>
    <row r="68">
      <c r="N68" s="49" t="n">
        <v>47057</v>
      </c>
      <c r="P68" s="48" t="inlineStr">
        <is>
          <t>25121007</t>
        </is>
      </c>
      <c r="Q68" s="48" t="inlineStr">
        <is>
          <t>Novigi SYD/MEL boardroom Mic upgrade + Cable Tidy</t>
        </is>
      </c>
      <c r="R68" s="48" t="inlineStr">
        <is>
          <t>INTEGRATION</t>
        </is>
      </c>
    </row>
    <row r="69">
      <c r="N69" s="49" t="n">
        <v>47087</v>
      </c>
      <c r="P69" s="48" t="inlineStr">
        <is>
          <t>25121208</t>
        </is>
      </c>
      <c r="Q69" s="48" t="inlineStr">
        <is>
          <t>APA HYR &amp; FYR Package 2026</t>
        </is>
      </c>
      <c r="R69" s="48" t="inlineStr">
        <is>
          <t>PRODUCTION</t>
        </is>
      </c>
    </row>
    <row r="70">
      <c r="N70" s="49" t="n">
        <v>47118</v>
      </c>
      <c r="P70" s="48" t="inlineStr">
        <is>
          <t>2512503</t>
        </is>
      </c>
      <c r="Q70" s="48" t="inlineStr">
        <is>
          <t>Ventia EOY Town Hall 10.12.2025</t>
        </is>
      </c>
      <c r="R70" s="48" t="inlineStr">
        <is>
          <t>PRODUCTION</t>
        </is>
      </c>
    </row>
    <row r="71">
      <c r="N71" s="49" t="n">
        <v>47149</v>
      </c>
      <c r="P71" s="48" t="inlineStr">
        <is>
          <t>2512503V</t>
        </is>
      </c>
      <c r="Q71" s="48" t="inlineStr">
        <is>
          <t>Ventia EOY Town Hall 10.12.2025</t>
        </is>
      </c>
      <c r="R71" s="48" t="inlineStr">
        <is>
          <t>VIDEO</t>
        </is>
      </c>
    </row>
    <row r="72">
      <c r="N72" s="49" t="n">
        <v>47177</v>
      </c>
      <c r="P72" s="48" t="inlineStr">
        <is>
          <t>2512804</t>
        </is>
      </c>
      <c r="Q72" s="48" t="inlineStr">
        <is>
          <t>RSNSW Ordinary General Meeting 5.8.26</t>
        </is>
      </c>
      <c r="R72" s="48" t="inlineStr">
        <is>
          <t>PRODUCTION</t>
        </is>
      </c>
    </row>
    <row r="73">
      <c r="N73" s="49" t="n">
        <v>47208</v>
      </c>
      <c r="P73" s="48" t="inlineStr">
        <is>
          <t>2512804V</t>
        </is>
      </c>
      <c r="Q73" s="48" t="inlineStr">
        <is>
          <t>RSNSW Ordinary General Meeting 5.8.26</t>
        </is>
      </c>
      <c r="R73" s="48" t="inlineStr">
        <is>
          <t>VIDEO</t>
        </is>
      </c>
    </row>
    <row r="74">
      <c r="N74" s="49" t="n">
        <v>47238</v>
      </c>
      <c r="P74" s="48" t="inlineStr">
        <is>
          <t>2512805</t>
        </is>
      </c>
      <c r="Q74" s="48" t="inlineStr">
        <is>
          <t>RSNSW Ordinary General Meeting 7.10.2026</t>
        </is>
      </c>
      <c r="R74" s="48" t="inlineStr">
        <is>
          <t>PRODUCTION</t>
        </is>
      </c>
    </row>
    <row r="75">
      <c r="N75" s="49" t="n">
        <v>47269</v>
      </c>
      <c r="P75" s="48" t="inlineStr">
        <is>
          <t>2512805V</t>
        </is>
      </c>
      <c r="Q75" s="48" t="inlineStr">
        <is>
          <t>RSNSW Ordinary General Meeting 7.10.2026</t>
        </is>
      </c>
      <c r="R75" s="48" t="inlineStr">
        <is>
          <t>VIDEO</t>
        </is>
      </c>
    </row>
    <row r="76">
      <c r="N76" s="49" t="n">
        <v>47299</v>
      </c>
      <c r="P76" s="48" t="inlineStr">
        <is>
          <t>2512806</t>
        </is>
      </c>
      <c r="Q76" s="48" t="inlineStr">
        <is>
          <t>RSNSW Ordinary General Meeting 2.12.26</t>
        </is>
      </c>
      <c r="R76" s="48" t="inlineStr">
        <is>
          <t>PRODUCTION</t>
        </is>
      </c>
    </row>
    <row r="77">
      <c r="N77" s="49" t="n">
        <v>47330</v>
      </c>
      <c r="P77" s="48" t="inlineStr">
        <is>
          <t>2512806V</t>
        </is>
      </c>
      <c r="Q77" s="48" t="inlineStr">
        <is>
          <t>RSNSW Ordinary General Meeting 2.12.26</t>
        </is>
      </c>
      <c r="R77" s="48" t="inlineStr">
        <is>
          <t>VIDEO</t>
        </is>
      </c>
    </row>
    <row r="78">
      <c r="N78" s="49" t="n">
        <v>47361</v>
      </c>
      <c r="P78" s="48" t="inlineStr">
        <is>
          <t>2519</t>
        </is>
      </c>
      <c r="Q78" s="48" t="inlineStr">
        <is>
          <t>NSW Prop-6PSQ Visitor MG</t>
        </is>
      </c>
      <c r="R78" s="48" t="inlineStr">
        <is>
          <t>INTEGRATION</t>
        </is>
      </c>
    </row>
    <row r="79">
      <c r="N79" s="49" t="n">
        <v>47391</v>
      </c>
      <c r="P79" s="48" t="inlineStr">
        <is>
          <t>2521</t>
        </is>
      </c>
      <c r="Q79" s="48" t="inlineStr">
        <is>
          <t>PWC - PER Tech</t>
        </is>
      </c>
      <c r="R79" s="48" t="inlineStr">
        <is>
          <t>ONSITE</t>
        </is>
      </c>
    </row>
    <row r="80">
      <c r="N80" s="49" t="n">
        <v>47422</v>
      </c>
      <c r="P80" s="48" t="inlineStr">
        <is>
          <t>2540</t>
        </is>
      </c>
      <c r="Q80" s="48" t="inlineStr">
        <is>
          <t>PWC - SYD Tech</t>
        </is>
      </c>
      <c r="R80" s="48" t="inlineStr">
        <is>
          <t>ONSITE</t>
        </is>
      </c>
    </row>
    <row r="81">
      <c r="N81" s="49" t="n">
        <v>47452</v>
      </c>
      <c r="P81" s="48" t="inlineStr">
        <is>
          <t>2543</t>
        </is>
      </c>
      <c r="Q81" s="48" t="inlineStr">
        <is>
          <t>DTTL MEL Tech (PT)</t>
        </is>
      </c>
      <c r="R81" s="48" t="inlineStr">
        <is>
          <t>ONSITE</t>
        </is>
      </c>
    </row>
    <row r="82">
      <c r="N82" s="49" t="n">
        <v>47483</v>
      </c>
      <c r="P82" s="48" t="inlineStr">
        <is>
          <t>2591012</t>
        </is>
      </c>
      <c r="Q82" s="48" t="inlineStr">
        <is>
          <t>St. Luke's Non-chargeable</t>
        </is>
      </c>
      <c r="R82" s="48" t="inlineStr">
        <is>
          <t>PRODUCTION</t>
        </is>
      </c>
    </row>
    <row r="83">
      <c r="N83" s="49" t="n">
        <v>47514</v>
      </c>
      <c r="P83" s="48" t="inlineStr">
        <is>
          <t>2591012C</t>
        </is>
      </c>
      <c r="Q83" s="48" t="inlineStr">
        <is>
          <t>St. Luke's Church</t>
        </is>
      </c>
      <c r="R83" s="48" t="inlineStr">
        <is>
          <t>PRODUCTION</t>
        </is>
      </c>
    </row>
    <row r="84">
      <c r="N84" s="49" t="n">
        <v>47542</v>
      </c>
      <c r="P84" s="48" t="inlineStr">
        <is>
          <t>2593</t>
        </is>
      </c>
      <c r="Q84" s="48" t="inlineStr">
        <is>
          <t>PWC CBR Technician</t>
        </is>
      </c>
      <c r="R84" s="48" t="inlineStr">
        <is>
          <t>ONSITE</t>
        </is>
      </c>
    </row>
    <row r="85">
      <c r="N85" s="49" t="n">
        <v>47573</v>
      </c>
      <c r="P85" s="48" t="inlineStr">
        <is>
          <t>2598</t>
        </is>
      </c>
      <c r="Q85" s="48" t="inlineStr">
        <is>
          <t>DTTL WA Tech</t>
        </is>
      </c>
      <c r="R85" s="48" t="inlineStr">
        <is>
          <t>ONSITE</t>
        </is>
      </c>
    </row>
    <row r="86">
      <c r="N86" s="49" t="n">
        <v>47603</v>
      </c>
      <c r="P86" s="48" t="inlineStr">
        <is>
          <t>26011404</t>
        </is>
      </c>
      <c r="Q86" s="48" t="inlineStr">
        <is>
          <t>ASX CEO Connect (Extended Results) 1.9.26</t>
        </is>
      </c>
      <c r="R86" s="48" t="inlineStr">
        <is>
          <t>PRODUCTION</t>
        </is>
      </c>
    </row>
    <row r="87">
      <c r="N87" s="49" t="n">
        <v>47634</v>
      </c>
      <c r="P87" s="48" t="inlineStr">
        <is>
          <t>26011404V</t>
        </is>
      </c>
      <c r="Q87" s="48" t="inlineStr">
        <is>
          <t>ASX CEO Connect (Extended Results) 1.9.26</t>
        </is>
      </c>
      <c r="R87" s="48" t="inlineStr">
        <is>
          <t>VIDEO</t>
        </is>
      </c>
    </row>
    <row r="88">
      <c r="N88" s="49" t="n">
        <v>47664</v>
      </c>
      <c r="P88" s="48" t="inlineStr">
        <is>
          <t>26011407</t>
        </is>
      </c>
      <c r="Q88" s="48" t="inlineStr">
        <is>
          <t>ASX CEO Connect 27.10.26</t>
        </is>
      </c>
      <c r="R88" s="48" t="inlineStr">
        <is>
          <t>PRODUCTION</t>
        </is>
      </c>
    </row>
    <row r="89">
      <c r="N89" s="49" t="n">
        <v>47695</v>
      </c>
      <c r="P89" s="48" t="inlineStr">
        <is>
          <t>26011407V</t>
        </is>
      </c>
      <c r="Q89" s="48" t="inlineStr">
        <is>
          <t>ASX CEO Connect 27.10.26</t>
        </is>
      </c>
      <c r="R89" s="48" t="inlineStr">
        <is>
          <t>VIDEO</t>
        </is>
      </c>
    </row>
    <row r="90">
      <c r="N90" s="49" t="n">
        <v>47726</v>
      </c>
      <c r="P90" s="48" t="inlineStr">
        <is>
          <t>26011408</t>
        </is>
      </c>
      <c r="Q90" s="48" t="inlineStr">
        <is>
          <t>ASX CEO Connect 1.12.26</t>
        </is>
      </c>
      <c r="R90" s="48" t="inlineStr">
        <is>
          <t>PRODUCTION</t>
        </is>
      </c>
    </row>
    <row r="91">
      <c r="N91" s="49" t="n">
        <v>47756</v>
      </c>
      <c r="P91" s="48" t="inlineStr">
        <is>
          <t>26011408V</t>
        </is>
      </c>
      <c r="Q91" s="48" t="inlineStr">
        <is>
          <t>ASX CEO Connect 1.12.26</t>
        </is>
      </c>
      <c r="R91" s="48" t="inlineStr">
        <is>
          <t>VIDEO</t>
        </is>
      </c>
    </row>
    <row r="92">
      <c r="N92" s="49" t="n">
        <v>47787</v>
      </c>
      <c r="P92" s="48" t="inlineStr">
        <is>
          <t>26011409</t>
        </is>
      </c>
      <c r="Q92" s="48" t="inlineStr">
        <is>
          <t>ASX Investor Days Sydney &amp; Melbourne 2026</t>
        </is>
      </c>
      <c r="R92" s="48" t="inlineStr">
        <is>
          <t>PRODUCTION</t>
        </is>
      </c>
    </row>
    <row r="93">
      <c r="N93" s="49" t="n">
        <v>47817</v>
      </c>
      <c r="P93" s="48" t="inlineStr">
        <is>
          <t>26011501</t>
        </is>
      </c>
      <c r="Q93" s="48" t="inlineStr">
        <is>
          <t>ASX Refinitiv Charity Golf Classic H/L Vid 2026</t>
        </is>
      </c>
      <c r="R93" s="48" t="inlineStr">
        <is>
          <t>VIDEO</t>
        </is>
      </c>
    </row>
    <row r="94">
      <c r="N94" s="49" t="n">
        <v>47848</v>
      </c>
      <c r="P94" s="48" t="inlineStr">
        <is>
          <t>26011502</t>
        </is>
      </c>
      <c r="Q94" s="48" t="inlineStr">
        <is>
          <t>ASX Charity Regatta Highlights Video 2026</t>
        </is>
      </c>
      <c r="R94" s="48" t="inlineStr">
        <is>
          <t>VIDEO</t>
        </is>
      </c>
    </row>
    <row r="95">
      <c r="N95" s="49" t="n">
        <v>47879</v>
      </c>
      <c r="P95" s="48" t="inlineStr">
        <is>
          <t>26012301</t>
        </is>
      </c>
      <c r="Q95" s="48" t="inlineStr">
        <is>
          <t>PWC IT Support - Brisbane</t>
        </is>
      </c>
      <c r="R95" s="48" t="inlineStr">
        <is>
          <t>ONSITE</t>
        </is>
      </c>
    </row>
    <row r="96">
      <c r="N96" s="49" t="n">
        <v>47907</v>
      </c>
      <c r="P96" s="48" t="inlineStr">
        <is>
          <t>2601701</t>
        </is>
      </c>
      <c r="Q96" s="48" t="inlineStr">
        <is>
          <t>CEOi - TLP Brand Video</t>
        </is>
      </c>
      <c r="R96" s="48" t="inlineStr">
        <is>
          <t>VIDEO</t>
        </is>
      </c>
    </row>
    <row r="97">
      <c r="N97" s="49" t="n">
        <v>47938</v>
      </c>
      <c r="P97" s="48" t="inlineStr">
        <is>
          <t>26021602</t>
        </is>
      </c>
      <c r="Q97" s="48" t="inlineStr">
        <is>
          <t>Gen E ABS AV Support (Canberra)</t>
        </is>
      </c>
      <c r="R97" s="48" t="inlineStr">
        <is>
          <t>ONSITE</t>
        </is>
      </c>
    </row>
    <row r="98">
      <c r="N98" s="49" t="n">
        <v>47968</v>
      </c>
      <c r="P98" s="48" t="inlineStr">
        <is>
          <t>26021602N</t>
        </is>
      </c>
      <c r="Q98" s="48" t="inlineStr">
        <is>
          <t>Gen E ABS AV Support (Canberra) [ONS non-chargeable]</t>
        </is>
      </c>
      <c r="R98" s="48" t="inlineStr"/>
    </row>
    <row r="99">
      <c r="N99" s="49" t="n">
        <v>47999</v>
      </c>
      <c r="P99" s="48" t="inlineStr">
        <is>
          <t>26021801</t>
        </is>
      </c>
      <c r="Q99" s="48" t="inlineStr">
        <is>
          <t>Aware Super Seminar Room AV Upgrade</t>
        </is>
      </c>
      <c r="R99" s="48" t="inlineStr">
        <is>
          <t>INTEGRATION</t>
        </is>
      </c>
    </row>
    <row r="100">
      <c r="N100" s="49" t="n">
        <v>48029</v>
      </c>
      <c r="P100" s="48" t="inlineStr">
        <is>
          <t>2602203</t>
        </is>
      </c>
      <c r="Q100" s="48" t="inlineStr">
        <is>
          <t>YSG Studio Orange Room Upgrade</t>
        </is>
      </c>
      <c r="R100" s="48" t="inlineStr">
        <is>
          <t>CONSULTING</t>
        </is>
      </c>
    </row>
    <row r="101">
      <c r="P101" s="48" t="inlineStr">
        <is>
          <t>26022301</t>
        </is>
      </c>
      <c r="Q101" s="48" t="inlineStr">
        <is>
          <t>Aware Super AV Maintenance</t>
        </is>
      </c>
      <c r="R101" s="48" t="inlineStr">
        <is>
          <t>ONSITE</t>
        </is>
      </c>
    </row>
    <row r="102">
      <c r="P102" s="48" t="inlineStr">
        <is>
          <t>26022301C</t>
        </is>
      </c>
      <c r="Q102" s="48" t="inlineStr">
        <is>
          <t>Aware Super AV Maintenance</t>
        </is>
      </c>
      <c r="R102" s="48" t="inlineStr">
        <is>
          <t>CONSULTING</t>
        </is>
      </c>
    </row>
    <row r="103">
      <c r="P103" s="48" t="inlineStr">
        <is>
          <t>26022301NC</t>
        </is>
      </c>
      <c r="Q103" s="48" t="inlineStr">
        <is>
          <t>Aware Super AV Maintenance Non-chargeable</t>
        </is>
      </c>
      <c r="R103" s="48" t="inlineStr">
        <is>
          <t>ONSITE</t>
        </is>
      </c>
    </row>
    <row r="104">
      <c r="P104" s="48" t="inlineStr">
        <is>
          <t>26022301P</t>
        </is>
      </c>
      <c r="Q104" s="48" t="inlineStr">
        <is>
          <t>Aware Super AV Maintenance</t>
        </is>
      </c>
      <c r="R104" s="48" t="inlineStr">
        <is>
          <t>PRODUCTION</t>
        </is>
      </c>
    </row>
    <row r="105">
      <c r="P105" s="48" t="inlineStr">
        <is>
          <t>26022302</t>
        </is>
      </c>
      <c r="Q105" s="48" t="inlineStr">
        <is>
          <t>GP - Talking Philanthropy - 18.9.26</t>
        </is>
      </c>
      <c r="R105" s="48" t="inlineStr">
        <is>
          <t>PRODUCTION</t>
        </is>
      </c>
    </row>
    <row r="106">
      <c r="P106" s="48" t="inlineStr">
        <is>
          <t>26022302V</t>
        </is>
      </c>
      <c r="Q106" s="48" t="inlineStr">
        <is>
          <t>GP - Talking Philanthropy - 18.9.26</t>
        </is>
      </c>
      <c r="R106" s="48" t="inlineStr">
        <is>
          <t>VIDEO</t>
        </is>
      </c>
    </row>
    <row r="107">
      <c r="P107" s="48" t="inlineStr">
        <is>
          <t>26022601</t>
        </is>
      </c>
      <c r="Q107" s="48" t="inlineStr">
        <is>
          <t>ART - Annual Members Meeting - 25.11.26</t>
        </is>
      </c>
      <c r="R107" s="48" t="inlineStr">
        <is>
          <t>PRODUCTION</t>
        </is>
      </c>
    </row>
    <row r="108">
      <c r="P108" s="48" t="inlineStr">
        <is>
          <t>26022601V</t>
        </is>
      </c>
      <c r="Q108" s="48" t="inlineStr">
        <is>
          <t>ART - Annual Members Meeting - 25.11.26</t>
        </is>
      </c>
      <c r="R108" s="48" t="inlineStr">
        <is>
          <t>VIDEO</t>
        </is>
      </c>
    </row>
    <row r="109">
      <c r="P109" s="48" t="inlineStr">
        <is>
          <t>2602901</t>
        </is>
      </c>
      <c r="Q109" s="48" t="inlineStr">
        <is>
          <t>HP-Telstra: Phone Modification</t>
        </is>
      </c>
      <c r="R109" s="48" t="inlineStr">
        <is>
          <t>INTEGRATION</t>
        </is>
      </c>
    </row>
    <row r="110">
      <c r="P110" s="48" t="inlineStr">
        <is>
          <t>2603104</t>
        </is>
      </c>
      <c r="Q110" s="48" t="inlineStr">
        <is>
          <t>Cochlear FY26 Results 18.8.26</t>
        </is>
      </c>
      <c r="R110" s="48" t="inlineStr">
        <is>
          <t>PRODUCTION</t>
        </is>
      </c>
    </row>
    <row r="111">
      <c r="P111" s="48" t="inlineStr">
        <is>
          <t>2603104V</t>
        </is>
      </c>
      <c r="Q111" s="48" t="inlineStr">
        <is>
          <t>Cochlear FY26 Results 18.8.26</t>
        </is>
      </c>
      <c r="R111" s="48" t="inlineStr">
        <is>
          <t>VIDEO</t>
        </is>
      </c>
    </row>
    <row r="112">
      <c r="P112" s="48" t="inlineStr">
        <is>
          <t>2603105</t>
        </is>
      </c>
      <c r="Q112" s="48" t="inlineStr">
        <is>
          <t>Cochlear - AGM - 26.10.26</t>
        </is>
      </c>
      <c r="R112" s="48" t="inlineStr">
        <is>
          <t>PRODUCTION</t>
        </is>
      </c>
    </row>
    <row r="113">
      <c r="P113" s="48" t="inlineStr">
        <is>
          <t>2603105V</t>
        </is>
      </c>
      <c r="Q113" s="48" t="inlineStr">
        <is>
          <t>Cochlear - AGM - 26.10.26</t>
        </is>
      </c>
      <c r="R113" s="48" t="inlineStr">
        <is>
          <t>VIDEO</t>
        </is>
      </c>
    </row>
    <row r="114">
      <c r="P114" s="48" t="inlineStr">
        <is>
          <t>2603202</t>
        </is>
      </c>
      <c r="Q114" s="48" t="inlineStr">
        <is>
          <t>Property NSW 5 O’Keefe Ave Nowra Workplace Hub</t>
        </is>
      </c>
      <c r="R114" s="48" t="inlineStr">
        <is>
          <t>INTEGRATION</t>
        </is>
      </c>
    </row>
    <row r="115">
      <c r="P115" s="48" t="inlineStr">
        <is>
          <t>26032301</t>
        </is>
      </c>
      <c r="Q115" s="48" t="inlineStr">
        <is>
          <t>RSNSW - OGM - 1.7.2026</t>
        </is>
      </c>
      <c r="R115" s="48" t="inlineStr">
        <is>
          <t>PRODUCTION</t>
        </is>
      </c>
    </row>
    <row r="116">
      <c r="P116" s="48" t="inlineStr">
        <is>
          <t>26032301V</t>
        </is>
      </c>
      <c r="Q116" s="48" t="inlineStr">
        <is>
          <t>RSNSW - OGM - 1.7.2026</t>
        </is>
      </c>
      <c r="R116" s="48" t="inlineStr">
        <is>
          <t>VIDEO</t>
        </is>
      </c>
    </row>
    <row r="117">
      <c r="P117" s="48" t="inlineStr">
        <is>
          <t>26032302</t>
        </is>
      </c>
      <c r="Q117" s="48" t="inlineStr">
        <is>
          <t>RSNSW - OGM - 2.9.2026</t>
        </is>
      </c>
      <c r="R117" s="48" t="inlineStr">
        <is>
          <t>PRODUCTION</t>
        </is>
      </c>
    </row>
    <row r="118">
      <c r="P118" s="48" t="inlineStr">
        <is>
          <t>26032302V</t>
        </is>
      </c>
      <c r="Q118" s="48" t="inlineStr">
        <is>
          <t>RSNSW - OGM - 2.9.2026</t>
        </is>
      </c>
      <c r="R118" s="48" t="inlineStr">
        <is>
          <t>VIDEO</t>
        </is>
      </c>
    </row>
    <row r="119">
      <c r="P119" s="48" t="inlineStr">
        <is>
          <t>26032501</t>
        </is>
      </c>
      <c r="Q119" s="48" t="inlineStr">
        <is>
          <t>ChorusCall - Regal Partners AGM - 28.5.26</t>
        </is>
      </c>
      <c r="R119" s="48" t="inlineStr">
        <is>
          <t>PRODUCTION</t>
        </is>
      </c>
    </row>
    <row r="120">
      <c r="P120" s="48" t="inlineStr">
        <is>
          <t>26032502</t>
        </is>
      </c>
      <c r="Q120" s="48" t="inlineStr">
        <is>
          <t>3YS Owls - Governance Top 100 2026 - 30.10.26</t>
        </is>
      </c>
      <c r="R120" s="48" t="inlineStr">
        <is>
          <t>PRODUCTION</t>
        </is>
      </c>
    </row>
    <row r="121">
      <c r="P121" s="48" t="inlineStr">
        <is>
          <t>26032502V</t>
        </is>
      </c>
      <c r="Q121" s="48" t="inlineStr">
        <is>
          <t>3YS Owls - Governance Top 100 2026 - 30.10.26</t>
        </is>
      </c>
      <c r="R121" s="48" t="inlineStr">
        <is>
          <t>VIDEO</t>
        </is>
      </c>
    </row>
    <row r="122">
      <c r="P122" s="48" t="inlineStr">
        <is>
          <t>26032701</t>
        </is>
      </c>
      <c r="Q122" s="48" t="inlineStr">
        <is>
          <t>MUFG - A1N AGM - 7.5.26</t>
        </is>
      </c>
      <c r="R122" s="48" t="inlineStr">
        <is>
          <t>PRODUCTION</t>
        </is>
      </c>
    </row>
    <row r="123">
      <c r="P123" s="48" t="inlineStr">
        <is>
          <t>26032701V</t>
        </is>
      </c>
      <c r="Q123" s="48" t="inlineStr">
        <is>
          <t>MUFG - A1N AGM - 7.5.26</t>
        </is>
      </c>
      <c r="R123" s="48" t="inlineStr">
        <is>
          <t>VIDEO</t>
        </is>
      </c>
    </row>
    <row r="124">
      <c r="P124" s="48" t="inlineStr">
        <is>
          <t>26032702</t>
        </is>
      </c>
      <c r="Q124" s="48" t="inlineStr">
        <is>
          <t>Ventia Transport Australia and Ventia Networking 6.5.26</t>
        </is>
      </c>
      <c r="R124" s="48" t="inlineStr">
        <is>
          <t>PRODUCTION</t>
        </is>
      </c>
    </row>
    <row r="125">
      <c r="P125" s="48" t="inlineStr">
        <is>
          <t>26032704</t>
        </is>
      </c>
      <c r="Q125" s="48" t="inlineStr">
        <is>
          <t>CBA LES - April 2026</t>
        </is>
      </c>
      <c r="R125" s="48" t="inlineStr">
        <is>
          <t>PRODUCTION</t>
        </is>
      </c>
    </row>
    <row r="126">
      <c r="P126" s="48" t="inlineStr">
        <is>
          <t>26033003</t>
        </is>
      </c>
      <c r="Q126" s="48" t="inlineStr">
        <is>
          <t>DTTL 8PSQ Dream Big Microphones</t>
        </is>
      </c>
      <c r="R126" s="48" t="inlineStr">
        <is>
          <t>INTEGRATION</t>
        </is>
      </c>
    </row>
    <row r="127">
      <c r="P127" s="48" t="inlineStr">
        <is>
          <t>26033004</t>
        </is>
      </c>
      <c r="Q127" s="48" t="inlineStr">
        <is>
          <t>DTTL Melbourne Bluetooth Audio</t>
        </is>
      </c>
      <c r="R127" s="48" t="inlineStr">
        <is>
          <t>INTEGRATION</t>
        </is>
      </c>
    </row>
    <row r="128">
      <c r="P128" s="48" t="inlineStr">
        <is>
          <t>26033005</t>
        </is>
      </c>
      <c r="Q128" s="48" t="inlineStr">
        <is>
          <t>DTTL QQT &amp; 8PSQ Crestron Connect Adaptor</t>
        </is>
      </c>
      <c r="R128" s="48" t="inlineStr">
        <is>
          <t>INTEGRATION</t>
        </is>
      </c>
    </row>
    <row r="129">
      <c r="P129" s="48" t="inlineStr">
        <is>
          <t>26033006</t>
        </is>
      </c>
      <c r="Q129" s="48" t="inlineStr">
        <is>
          <t>DTTL 8PSQ Bluetooth Audio</t>
        </is>
      </c>
      <c r="R129" s="48" t="inlineStr">
        <is>
          <t>INTEGRATION</t>
        </is>
      </c>
    </row>
    <row r="130">
      <c r="P130" s="48" t="inlineStr">
        <is>
          <t>26033007</t>
        </is>
      </c>
      <c r="Q130" s="48" t="inlineStr">
        <is>
          <t>DTTL QQT Lv45 Seminar Wheels repair</t>
        </is>
      </c>
      <c r="R130" s="48" t="inlineStr">
        <is>
          <t>INTEGRATION</t>
        </is>
      </c>
    </row>
    <row r="131">
      <c r="P131" s="48" t="inlineStr">
        <is>
          <t>26033008</t>
        </is>
      </c>
      <c r="Q131" s="48" t="inlineStr">
        <is>
          <t>DTTL MEL Repair of Lv31 LED panels</t>
        </is>
      </c>
      <c r="R131" s="48" t="inlineStr">
        <is>
          <t>INTEGRATION</t>
        </is>
      </c>
    </row>
    <row r="132">
      <c r="P132" s="48" t="inlineStr">
        <is>
          <t>26041603</t>
        </is>
      </c>
      <c r="Q132" s="48" t="inlineStr">
        <is>
          <t>Optiver - Town Hall - 23.7.26</t>
        </is>
      </c>
      <c r="R132" s="48" t="inlineStr">
        <is>
          <t>PRODUCTION</t>
        </is>
      </c>
    </row>
    <row r="133">
      <c r="P133" s="48" t="inlineStr">
        <is>
          <t>26041603V</t>
        </is>
      </c>
      <c r="Q133" s="48" t="inlineStr">
        <is>
          <t>Optiver - Town Hall - 23.7.26</t>
        </is>
      </c>
      <c r="R133" s="48" t="inlineStr">
        <is>
          <t>VIDEO</t>
        </is>
      </c>
    </row>
    <row r="134">
      <c r="P134" s="48" t="inlineStr">
        <is>
          <t>26041701</t>
        </is>
      </c>
      <c r="Q134" s="48" t="inlineStr">
        <is>
          <t>N2 Dance End of Year Concert Videos 2026</t>
        </is>
      </c>
      <c r="R134" s="48" t="inlineStr">
        <is>
          <t>VIDEO</t>
        </is>
      </c>
    </row>
    <row r="135">
      <c r="P135" s="48" t="inlineStr">
        <is>
          <t>26042001</t>
        </is>
      </c>
      <c r="Q135" s="48" t="inlineStr">
        <is>
          <t>ASX - AGM - 22.10.26</t>
        </is>
      </c>
      <c r="R135" s="48" t="inlineStr">
        <is>
          <t>PRODUCTION</t>
        </is>
      </c>
    </row>
    <row r="136">
      <c r="P136" s="48" t="inlineStr">
        <is>
          <t>26042001V</t>
        </is>
      </c>
      <c r="Q136" s="48" t="inlineStr">
        <is>
          <t>ASX - AGM - 22.10.26</t>
        </is>
      </c>
      <c r="R136" s="48" t="inlineStr">
        <is>
          <t>VIDEO</t>
        </is>
      </c>
    </row>
    <row r="137">
      <c r="P137" s="48" t="inlineStr">
        <is>
          <t>2604201</t>
        </is>
      </c>
      <c r="Q137" s="48" t="inlineStr">
        <is>
          <t>Bankwest - Stage Hire - 27.5.2026</t>
        </is>
      </c>
      <c r="R137" s="48" t="inlineStr">
        <is>
          <t>PRODUCTION</t>
        </is>
      </c>
    </row>
    <row r="138">
      <c r="P138" s="48" t="inlineStr">
        <is>
          <t>2604202</t>
        </is>
      </c>
      <c r="Q138" s="48" t="inlineStr">
        <is>
          <t>Ventia - Ventia Awards - 30.7.26</t>
        </is>
      </c>
      <c r="R138" s="48" t="inlineStr">
        <is>
          <t>PRODUCTION</t>
        </is>
      </c>
    </row>
    <row r="139">
      <c r="P139" s="48" t="inlineStr">
        <is>
          <t>2604202V</t>
        </is>
      </c>
      <c r="Q139" s="48" t="inlineStr">
        <is>
          <t>Ventia - Ventia Awards - 30.7.26</t>
        </is>
      </c>
      <c r="R139" s="48" t="inlineStr">
        <is>
          <t>VIDEO</t>
        </is>
      </c>
    </row>
    <row r="140">
      <c r="P140" s="48" t="inlineStr">
        <is>
          <t>2604203V</t>
        </is>
      </c>
      <c r="Q140" s="48" t="inlineStr">
        <is>
          <t>Ventia - Investor Day - 4.5.2026</t>
        </is>
      </c>
      <c r="R140" s="48" t="inlineStr">
        <is>
          <t>VIDEO</t>
        </is>
      </c>
    </row>
    <row r="141">
      <c r="P141" s="48" t="inlineStr">
        <is>
          <t>2604204</t>
        </is>
      </c>
      <c r="Q141" s="48" t="inlineStr">
        <is>
          <t>Ventia - AGM - 21.5.26</t>
        </is>
      </c>
      <c r="R141" s="48" t="inlineStr">
        <is>
          <t>PRODUCTION</t>
        </is>
      </c>
    </row>
    <row r="142">
      <c r="P142" s="48" t="inlineStr">
        <is>
          <t>2604204V</t>
        </is>
      </c>
      <c r="Q142" s="48" t="inlineStr">
        <is>
          <t>Ventia - AGM - 21.5.26</t>
        </is>
      </c>
      <c r="R142" s="48" t="inlineStr">
        <is>
          <t>VIDEO</t>
        </is>
      </c>
    </row>
    <row r="143">
      <c r="P143" s="48" t="inlineStr">
        <is>
          <t>26042802</t>
        </is>
      </c>
      <c r="Q143" s="48" t="inlineStr">
        <is>
          <t>DTTL DAR Meeting Room Extension Cable Install</t>
        </is>
      </c>
      <c r="R143" s="48" t="inlineStr">
        <is>
          <t>INTEGRATION</t>
        </is>
      </c>
    </row>
    <row r="144">
      <c r="P144" s="48" t="inlineStr">
        <is>
          <t>26043001</t>
        </is>
      </c>
      <c r="Q144" s="48" t="inlineStr">
        <is>
          <t>CBA FT Tech MEL - 12 months</t>
        </is>
      </c>
      <c r="R144" s="48" t="inlineStr">
        <is>
          <t>ONSITE</t>
        </is>
      </c>
    </row>
    <row r="145">
      <c r="P145" s="48" t="inlineStr">
        <is>
          <t>26043002</t>
        </is>
      </c>
      <c r="Q145" s="48" t="inlineStr">
        <is>
          <t>CTS Town Hall</t>
        </is>
      </c>
      <c r="R145" s="48" t="inlineStr">
        <is>
          <t>CTS</t>
        </is>
      </c>
    </row>
    <row r="146">
      <c r="P146" s="48" t="inlineStr">
        <is>
          <t>26043003</t>
        </is>
      </c>
      <c r="Q146" s="48" t="inlineStr">
        <is>
          <t>PwC Screen Replacements SYD+MEL</t>
        </is>
      </c>
      <c r="R146" s="48" t="inlineStr">
        <is>
          <t>INTEGRATION</t>
        </is>
      </c>
    </row>
    <row r="147">
      <c r="P147" s="48" t="inlineStr">
        <is>
          <t>2604704</t>
        </is>
      </c>
      <c r="Q147" s="48" t="inlineStr">
        <is>
          <t>Aware Super Seminar Room Audio Upgrade</t>
        </is>
      </c>
      <c r="R147" s="48" t="inlineStr">
        <is>
          <t>INTEGRATION</t>
        </is>
      </c>
    </row>
    <row r="148">
      <c r="P148" s="48" t="inlineStr">
        <is>
          <t>2604802</t>
        </is>
      </c>
      <c r="Q148" s="48" t="inlineStr">
        <is>
          <t>PwC - Audio Support - 29.4.26</t>
        </is>
      </c>
      <c r="R148" s="48" t="inlineStr">
        <is>
          <t>PRODUCTION</t>
        </is>
      </c>
    </row>
    <row r="149">
      <c r="P149" s="48" t="inlineStr">
        <is>
          <t>26051101</t>
        </is>
      </c>
      <c r="Q149" s="48" t="inlineStr">
        <is>
          <t>DTTL Mardi Gras/Vivid Event 27/05/26</t>
        </is>
      </c>
      <c r="R149" s="48" t="inlineStr">
        <is>
          <t>PRODUCTION</t>
        </is>
      </c>
    </row>
    <row r="150">
      <c r="P150" s="48" t="inlineStr">
        <is>
          <t>26051101V</t>
        </is>
      </c>
      <c r="Q150" s="48" t="inlineStr">
        <is>
          <t>DTTL Mardi Gras/Vivid Event 27/05/26</t>
        </is>
      </c>
      <c r="R150" s="48" t="inlineStr">
        <is>
          <t>VIDEO</t>
        </is>
      </c>
    </row>
    <row r="151">
      <c r="P151" s="48" t="inlineStr">
        <is>
          <t>26051102</t>
        </is>
      </c>
      <c r="Q151" s="48" t="inlineStr">
        <is>
          <t>DTTL - CEO Roadshow - 1.6.26</t>
        </is>
      </c>
      <c r="R151" s="48" t="inlineStr">
        <is>
          <t>PRODUCTION</t>
        </is>
      </c>
    </row>
    <row r="152">
      <c r="P152" s="48" t="inlineStr">
        <is>
          <t>26051102V</t>
        </is>
      </c>
      <c r="Q152" s="48" t="inlineStr">
        <is>
          <t>DTTL - CEO Roadshow - 1.6.26</t>
        </is>
      </c>
      <c r="R152" s="48" t="inlineStr">
        <is>
          <t>VIDEO</t>
        </is>
      </c>
    </row>
    <row r="153">
      <c r="P153" s="48" t="inlineStr">
        <is>
          <t>26051103</t>
        </is>
      </c>
      <c r="Q153" s="48" t="inlineStr">
        <is>
          <t>PwC PER Studio Support 25.05.26</t>
        </is>
      </c>
      <c r="R153" s="48" t="inlineStr">
        <is>
          <t>PRODUCTION</t>
        </is>
      </c>
    </row>
    <row r="154">
      <c r="P154" s="48" t="inlineStr">
        <is>
          <t>26051103V</t>
        </is>
      </c>
      <c r="Q154" s="48" t="inlineStr">
        <is>
          <t>PwC PER Studio Support 25.05.26</t>
        </is>
      </c>
      <c r="R154" s="48" t="inlineStr">
        <is>
          <t>VIDEO</t>
        </is>
      </c>
    </row>
    <row r="155">
      <c r="P155" s="48" t="inlineStr">
        <is>
          <t>26051201</t>
        </is>
      </c>
      <c r="Q155" s="48" t="inlineStr">
        <is>
          <t>ASX CEO Farewell Highlights</t>
        </is>
      </c>
      <c r="R155" s="48" t="inlineStr">
        <is>
          <t>VIDEO</t>
        </is>
      </c>
    </row>
    <row r="156">
      <c r="P156" s="48" t="inlineStr">
        <is>
          <t>26051301</t>
        </is>
      </c>
      <c r="Q156" s="48" t="inlineStr">
        <is>
          <t>HP-BAE | Phone Mod</t>
        </is>
      </c>
      <c r="R156" s="48" t="inlineStr">
        <is>
          <t>INTEGRATION</t>
        </is>
      </c>
    </row>
    <row r="157">
      <c r="P157" s="48" t="inlineStr">
        <is>
          <t>26051401</t>
        </is>
      </c>
      <c r="Q157" s="48" t="inlineStr">
        <is>
          <t>ASX - Business Meeting - 27.5.26</t>
        </is>
      </c>
      <c r="R157" s="48" t="inlineStr">
        <is>
          <t>PRODUCTION</t>
        </is>
      </c>
    </row>
    <row r="158">
      <c r="P158" s="48" t="inlineStr">
        <is>
          <t>26051401V</t>
        </is>
      </c>
      <c r="Q158" s="48" t="inlineStr">
        <is>
          <t>ASX - Business Meeting - 27.5.26</t>
        </is>
      </c>
      <c r="R158" s="48" t="inlineStr">
        <is>
          <t>VIDEO</t>
        </is>
      </c>
    </row>
    <row r="159">
      <c r="P159" s="48" t="inlineStr">
        <is>
          <t>26051402</t>
        </is>
      </c>
      <c r="Q159" s="48" t="inlineStr">
        <is>
          <t>PwC Foldback Monitor Hire</t>
        </is>
      </c>
      <c r="R159" s="48" t="inlineStr">
        <is>
          <t>PRODUCTION</t>
        </is>
      </c>
    </row>
    <row r="160">
      <c r="P160" s="48" t="inlineStr">
        <is>
          <t>26051801</t>
        </is>
      </c>
      <c r="Q160" s="48" t="inlineStr">
        <is>
          <t>PwC | Mel Studio Equipment</t>
        </is>
      </c>
      <c r="R160" s="48" t="inlineStr">
        <is>
          <t>INTEGRATION</t>
        </is>
      </c>
    </row>
    <row r="161">
      <c r="P161" s="48" t="inlineStr">
        <is>
          <t>26051803</t>
        </is>
      </c>
      <c r="Q161" s="48" t="inlineStr">
        <is>
          <t>AVIT - Taronga ZOO AV Support - May 2026</t>
        </is>
      </c>
      <c r="R161" s="48" t="inlineStr">
        <is>
          <t>PRODUCTION</t>
        </is>
      </c>
    </row>
    <row r="162">
      <c r="P162" s="48" t="inlineStr">
        <is>
          <t>26052001</t>
        </is>
      </c>
      <c r="Q162" s="48" t="inlineStr">
        <is>
          <t>MeetMagic - AI Behaviour Event - 29.5.26</t>
        </is>
      </c>
      <c r="R162" s="48" t="inlineStr">
        <is>
          <t>PRODUCTION</t>
        </is>
      </c>
    </row>
    <row r="163">
      <c r="P163" s="48" t="inlineStr">
        <is>
          <t>26052001V</t>
        </is>
      </c>
      <c r="Q163" s="48" t="inlineStr">
        <is>
          <t>MeetMagic - AI Behaviour Event - 29.5.26</t>
        </is>
      </c>
      <c r="R163" s="48" t="inlineStr">
        <is>
          <t>VIDEO</t>
        </is>
      </c>
    </row>
    <row r="164">
      <c r="P164" s="48" t="inlineStr">
        <is>
          <t>26052002</t>
        </is>
      </c>
      <c r="Q164" s="48" t="inlineStr">
        <is>
          <t>DTTL BNE L23 Training Rooms Upgrade</t>
        </is>
      </c>
      <c r="R164" s="48" t="inlineStr">
        <is>
          <t>INTEGRATION</t>
        </is>
      </c>
    </row>
    <row r="165">
      <c r="P165" s="48" t="inlineStr">
        <is>
          <t>26052003</t>
        </is>
      </c>
      <c r="Q165" s="48" t="inlineStr">
        <is>
          <t>DTTL Mobile Commbox Displays</t>
        </is>
      </c>
      <c r="R165" s="48" t="inlineStr">
        <is>
          <t>INTEGRATION</t>
        </is>
      </c>
    </row>
    <row r="166">
      <c r="P166" s="48" t="inlineStr">
        <is>
          <t>26052004</t>
        </is>
      </c>
      <c r="Q166" s="48" t="inlineStr">
        <is>
          <t>CBA - Live Event Support - June 2026</t>
        </is>
      </c>
      <c r="R166" s="48" t="inlineStr">
        <is>
          <t>PRODUCTION</t>
        </is>
      </c>
    </row>
    <row r="167">
      <c r="P167" s="48" t="inlineStr">
        <is>
          <t>26052101</t>
        </is>
      </c>
      <c r="Q167" s="48" t="inlineStr">
        <is>
          <t>MeetMagic - Human AI Event Highlights</t>
        </is>
      </c>
      <c r="R167" s="48" t="inlineStr">
        <is>
          <t>VIDEO</t>
        </is>
      </c>
    </row>
    <row r="168">
      <c r="P168" s="48" t="inlineStr">
        <is>
          <t>26052102</t>
        </is>
      </c>
      <c r="Q168" s="48" t="inlineStr">
        <is>
          <t>HP-D3 | Austrac Phone Mods</t>
        </is>
      </c>
      <c r="R168" s="48" t="inlineStr">
        <is>
          <t>INTEGRATION</t>
        </is>
      </c>
    </row>
    <row r="169">
      <c r="P169" s="48" t="inlineStr">
        <is>
          <t>26052103</t>
        </is>
      </c>
      <c r="Q169" s="48" t="inlineStr">
        <is>
          <t>Ventia - LTI FY26 Video Record</t>
        </is>
      </c>
      <c r="R169" s="48" t="inlineStr">
        <is>
          <t>VIDEO</t>
        </is>
      </c>
    </row>
    <row r="170">
      <c r="P170" s="48" t="inlineStr">
        <is>
          <t>26052501V</t>
        </is>
      </c>
      <c r="Q170" s="48" t="inlineStr">
        <is>
          <t>AVIT - Taronga AV Event Support - 26-27.5.26</t>
        </is>
      </c>
      <c r="R170" s="48" t="inlineStr">
        <is>
          <t>VIDEO</t>
        </is>
      </c>
    </row>
    <row r="171">
      <c r="P171" s="48" t="inlineStr">
        <is>
          <t>26052502</t>
        </is>
      </c>
      <c r="Q171" s="48" t="inlineStr">
        <is>
          <t>AVIT - Taronga AV Event Support 4-5.06.26</t>
        </is>
      </c>
      <c r="R171" s="48" t="inlineStr">
        <is>
          <t>PRODUCTION</t>
        </is>
      </c>
    </row>
    <row r="172">
      <c r="P172" s="48" t="inlineStr">
        <is>
          <t>26052502V</t>
        </is>
      </c>
      <c r="Q172" s="48" t="inlineStr">
        <is>
          <t>AVIT - Taronga AV Event Support 4-5.06.26</t>
        </is>
      </c>
      <c r="R172" s="48" t="inlineStr">
        <is>
          <t>VIDEO</t>
        </is>
      </c>
    </row>
    <row r="173">
      <c r="P173" s="48" t="inlineStr">
        <is>
          <t>26052602</t>
        </is>
      </c>
      <c r="Q173" s="48" t="inlineStr">
        <is>
          <t>DTTL MEL Display Supply</t>
        </is>
      </c>
      <c r="R173" s="48" t="inlineStr">
        <is>
          <t>INTEGRATION</t>
        </is>
      </c>
    </row>
    <row r="174">
      <c r="P174" s="48" t="inlineStr">
        <is>
          <t>26052701</t>
        </is>
      </c>
      <c r="Q174" s="48" t="inlineStr">
        <is>
          <t>Aware | SYD 28.06 Equipment</t>
        </is>
      </c>
      <c r="R174" s="48" t="inlineStr">
        <is>
          <t>INTEGRATION</t>
        </is>
      </c>
    </row>
    <row r="175">
      <c r="P175" s="48" t="inlineStr">
        <is>
          <t>26052702</t>
        </is>
      </c>
      <c r="Q175" s="48" t="inlineStr">
        <is>
          <t>ASX - FYR - 13.8.26</t>
        </is>
      </c>
      <c r="R175" s="48" t="inlineStr">
        <is>
          <t>PRODUCTION</t>
        </is>
      </c>
    </row>
    <row r="176">
      <c r="P176" s="48" t="inlineStr">
        <is>
          <t>26052702V</t>
        </is>
      </c>
      <c r="Q176" s="48" t="inlineStr">
        <is>
          <t>ASX - FYR - 13.8.26</t>
        </is>
      </c>
      <c r="R176" s="48" t="inlineStr">
        <is>
          <t>VIDEO</t>
        </is>
      </c>
    </row>
    <row r="177">
      <c r="P177" s="48" t="inlineStr">
        <is>
          <t>26052703</t>
        </is>
      </c>
      <c r="Q177" s="48" t="inlineStr">
        <is>
          <t>Microsoft Town Hall - 21.7.26</t>
        </is>
      </c>
      <c r="R177" s="48" t="inlineStr">
        <is>
          <t>PRODUCTION</t>
        </is>
      </c>
    </row>
    <row r="178">
      <c r="P178" s="48" t="inlineStr">
        <is>
          <t>26052703V</t>
        </is>
      </c>
      <c r="Q178" s="48" t="inlineStr">
        <is>
          <t>Microsoft Town Hall - 21.7.26</t>
        </is>
      </c>
      <c r="R178" s="48" t="inlineStr">
        <is>
          <t>VIDEO</t>
        </is>
      </c>
    </row>
    <row r="179">
      <c r="P179" s="48" t="inlineStr">
        <is>
          <t>26052704</t>
        </is>
      </c>
      <c r="Q179" s="48" t="inlineStr">
        <is>
          <t>AVIT - Pinsent Masons Technician Callout</t>
        </is>
      </c>
      <c r="R179" s="48" t="inlineStr">
        <is>
          <t>ONSITE</t>
        </is>
      </c>
    </row>
    <row r="180">
      <c r="P180" s="48" t="inlineStr">
        <is>
          <t>26052901</t>
        </is>
      </c>
      <c r="Q180" s="48" t="inlineStr">
        <is>
          <t>Causeway Productions - Stool Hire - 1.6.27</t>
        </is>
      </c>
      <c r="R180" s="48" t="inlineStr">
        <is>
          <t>PRODUCTION</t>
        </is>
      </c>
    </row>
    <row r="181">
      <c r="P181" s="48" t="inlineStr">
        <is>
          <t>26052901V</t>
        </is>
      </c>
      <c r="Q181" s="48" t="inlineStr">
        <is>
          <t>Causeway Productions - Stool Hire - 1.6.27</t>
        </is>
      </c>
      <c r="R181" s="48" t="inlineStr">
        <is>
          <t>VIDEO</t>
        </is>
      </c>
    </row>
    <row r="182">
      <c r="P182" s="48" t="inlineStr">
        <is>
          <t>2605401</t>
        </is>
      </c>
      <c r="Q182" s="48" t="inlineStr">
        <is>
          <t>AGL FYR - Investor Briefing - 12.8.26</t>
        </is>
      </c>
      <c r="R182" s="48" t="inlineStr">
        <is>
          <t>PRODUCTION</t>
        </is>
      </c>
    </row>
    <row r="183">
      <c r="P183" s="48" t="inlineStr">
        <is>
          <t>2605401V</t>
        </is>
      </c>
      <c r="Q183" s="48" t="inlineStr">
        <is>
          <t>AGL FYR - Investor Briefing - 12.8.26</t>
        </is>
      </c>
      <c r="R183" s="48" t="inlineStr">
        <is>
          <t>VIDEO</t>
        </is>
      </c>
    </row>
    <row r="184">
      <c r="P184" s="48" t="inlineStr">
        <is>
          <t>2605402</t>
        </is>
      </c>
      <c r="Q184" s="48" t="inlineStr">
        <is>
          <t>AGL FYR - Employee Town Hall - 12.8.26</t>
        </is>
      </c>
      <c r="R184" s="48" t="inlineStr">
        <is>
          <t>PRODUCTION</t>
        </is>
      </c>
    </row>
    <row r="185">
      <c r="P185" s="48" t="inlineStr">
        <is>
          <t>2605402V</t>
        </is>
      </c>
      <c r="Q185" s="48" t="inlineStr">
        <is>
          <t>AGL FYR - Employee Town Hall - 12.8.26</t>
        </is>
      </c>
      <c r="R185" s="48" t="inlineStr">
        <is>
          <t>VIDEO</t>
        </is>
      </c>
    </row>
    <row r="186">
      <c r="P186" s="48" t="inlineStr">
        <is>
          <t>2605403</t>
        </is>
      </c>
      <c r="Q186" s="48" t="inlineStr">
        <is>
          <t>ARUP - Oves Awards - 23.7.26</t>
        </is>
      </c>
      <c r="R186" s="48" t="inlineStr">
        <is>
          <t>PRODUCTION</t>
        </is>
      </c>
    </row>
    <row r="187">
      <c r="P187" s="48" t="inlineStr">
        <is>
          <t>2605403V</t>
        </is>
      </c>
      <c r="Q187" s="48" t="inlineStr">
        <is>
          <t>ARUP - Oves Awards - 23.7.26</t>
        </is>
      </c>
      <c r="R187" s="48" t="inlineStr">
        <is>
          <t>VIDEO</t>
        </is>
      </c>
    </row>
    <row r="188">
      <c r="P188" s="48" t="inlineStr">
        <is>
          <t>2605501</t>
        </is>
      </c>
      <c r="Q188" s="48" t="inlineStr">
        <is>
          <t>DTTL Tech Support AWS AP AI Symposium</t>
        </is>
      </c>
      <c r="R188" s="48" t="inlineStr">
        <is>
          <t>ONSITE</t>
        </is>
      </c>
    </row>
    <row r="189">
      <c r="P189" s="48" t="inlineStr">
        <is>
          <t>2605502</t>
        </is>
      </c>
      <c r="Q189" s="48" t="inlineStr">
        <is>
          <t>CBA BNE - Event Support - 13.5.26</t>
        </is>
      </c>
      <c r="R189" s="48" t="inlineStr">
        <is>
          <t>PRODUCTION</t>
        </is>
      </c>
    </row>
    <row r="190">
      <c r="P190" s="48" t="inlineStr">
        <is>
          <t>2605502V</t>
        </is>
      </c>
      <c r="Q190" s="48" t="inlineStr">
        <is>
          <t>CBA BNE - Event Support - 13.5.26</t>
        </is>
      </c>
      <c r="R190" s="48" t="inlineStr">
        <is>
          <t>VIDEO</t>
        </is>
      </c>
    </row>
    <row r="191">
      <c r="P191" s="48" t="inlineStr">
        <is>
          <t>2605503</t>
        </is>
      </c>
      <c r="Q191" s="48" t="inlineStr">
        <is>
          <t>DTTL L31 reception Led Wall Audio DSP Repair</t>
        </is>
      </c>
      <c r="R191" s="48" t="inlineStr">
        <is>
          <t>INTEGRATION</t>
        </is>
      </c>
    </row>
    <row r="192">
      <c r="P192" s="48" t="inlineStr">
        <is>
          <t>2605605</t>
        </is>
      </c>
      <c r="Q192" s="48" t="inlineStr">
        <is>
          <t>DTTL Hobart AV Fitout</t>
        </is>
      </c>
      <c r="R192" s="48" t="inlineStr">
        <is>
          <t>INTEGRATION</t>
        </is>
      </c>
    </row>
    <row r="193">
      <c r="P193" s="48" t="inlineStr">
        <is>
          <t>2605606</t>
        </is>
      </c>
      <c r="Q193" s="48" t="inlineStr">
        <is>
          <t>Ventia Internal Townhall 8.05.26</t>
        </is>
      </c>
      <c r="R193" s="48" t="inlineStr">
        <is>
          <t>PRODUCTION</t>
        </is>
      </c>
    </row>
    <row r="194">
      <c r="P194" s="48" t="inlineStr">
        <is>
          <t>2605606V</t>
        </is>
      </c>
      <c r="Q194" s="48" t="inlineStr">
        <is>
          <t>Ventia Internal Townhall 8.05.26</t>
        </is>
      </c>
      <c r="R194" s="48" t="inlineStr">
        <is>
          <t>VIDEO</t>
        </is>
      </c>
    </row>
    <row r="195">
      <c r="P195" s="48" t="inlineStr">
        <is>
          <t>2605609</t>
        </is>
      </c>
      <c r="Q195" s="48" t="inlineStr">
        <is>
          <t>ASX - CEO Farewell - 27.5.26</t>
        </is>
      </c>
      <c r="R195" s="48" t="inlineStr">
        <is>
          <t>PRODUCTION</t>
        </is>
      </c>
    </row>
    <row r="196">
      <c r="P196" s="48" t="inlineStr">
        <is>
          <t>2605609V</t>
        </is>
      </c>
      <c r="Q196" s="48" t="inlineStr">
        <is>
          <t>ASX - CEO Farewell - 27.5.26</t>
        </is>
      </c>
      <c r="R196" s="48" t="inlineStr">
        <is>
          <t>VIDEO</t>
        </is>
      </c>
    </row>
    <row r="197">
      <c r="P197" s="48" t="inlineStr">
        <is>
          <t>2605610</t>
        </is>
      </c>
      <c r="Q197" s="48" t="inlineStr">
        <is>
          <t>ASX CEO Farewell Additional Costs</t>
        </is>
      </c>
      <c r="R197" s="48" t="inlineStr">
        <is>
          <t>PRODUCTION</t>
        </is>
      </c>
    </row>
    <row r="198">
      <c r="P198" s="48" t="inlineStr">
        <is>
          <t>2605704</t>
        </is>
      </c>
      <c r="Q198" s="48" t="inlineStr">
        <is>
          <t>CBA CBPS Auditorium Upgrade</t>
        </is>
      </c>
      <c r="R198" s="48" t="inlineStr">
        <is>
          <t>INTEGRATION</t>
        </is>
      </c>
    </row>
    <row r="199">
      <c r="P199" s="48" t="inlineStr">
        <is>
          <t>2605801</t>
        </is>
      </c>
      <c r="Q199" s="48" t="inlineStr">
        <is>
          <t>Dimensional - AV Support - 3-4.6.26</t>
        </is>
      </c>
      <c r="R199" s="48" t="inlineStr">
        <is>
          <t>PRODUCTION</t>
        </is>
      </c>
    </row>
    <row r="200">
      <c r="P200" s="48" t="inlineStr">
        <is>
          <t>2605803</t>
        </is>
      </c>
      <c r="Q200" s="48" t="inlineStr">
        <is>
          <t>St Catherine's - Dedicated Tech - 12.6.26</t>
        </is>
      </c>
      <c r="R200" s="48" t="inlineStr">
        <is>
          <t>PRODUCTION</t>
        </is>
      </c>
    </row>
    <row r="201">
      <c r="P201" s="48" t="inlineStr">
        <is>
          <t>2605804</t>
        </is>
      </c>
      <c r="Q201" s="48" t="inlineStr">
        <is>
          <t>City of Sydney Supply of Barco Projector Shutters</t>
        </is>
      </c>
      <c r="R201" s="48" t="inlineStr">
        <is>
          <t>INTEGRATION</t>
        </is>
      </c>
    </row>
    <row r="202">
      <c r="P202" s="48" t="inlineStr">
        <is>
          <t>2605806</t>
        </is>
      </c>
      <c r="Q202" s="48" t="inlineStr">
        <is>
          <t>Aware Super AV Fitout @ 555 Collins Street MEL</t>
        </is>
      </c>
      <c r="R202" s="48" t="inlineStr">
        <is>
          <t>INTEGRATION</t>
        </is>
      </c>
    </row>
    <row r="203">
      <c r="P203" s="48" t="inlineStr">
        <is>
          <t>26061001</t>
        </is>
      </c>
      <c r="Q203" s="48" t="inlineStr">
        <is>
          <t>Garvan August All Clear Event 25.8.26</t>
        </is>
      </c>
      <c r="R203" s="48" t="inlineStr">
        <is>
          <t>PRODUCTION</t>
        </is>
      </c>
    </row>
    <row r="204">
      <c r="P204" s="48" t="inlineStr">
        <is>
          <t>26061002</t>
        </is>
      </c>
      <c r="Q204" s="48" t="inlineStr">
        <is>
          <t>Optiver - Fireside Event Support - 18.6.26</t>
        </is>
      </c>
      <c r="R204" s="48" t="inlineStr">
        <is>
          <t>PRODUCTION</t>
        </is>
      </c>
    </row>
    <row r="205">
      <c r="P205" s="48" t="inlineStr">
        <is>
          <t>26061002V</t>
        </is>
      </c>
      <c r="Q205" s="48" t="inlineStr">
        <is>
          <t>Optiver - Fireside Event Support - 18.6.26</t>
        </is>
      </c>
      <c r="R205" s="48" t="inlineStr">
        <is>
          <t>VIDEO</t>
        </is>
      </c>
    </row>
    <row r="206">
      <c r="P206" s="48" t="inlineStr">
        <is>
          <t>26061102</t>
        </is>
      </c>
      <c r="Q206" s="48" t="inlineStr">
        <is>
          <t>CSE Invest Sri Lanka | 16.8.26</t>
        </is>
      </c>
      <c r="R206" s="48" t="inlineStr">
        <is>
          <t>PRODUCTION</t>
        </is>
      </c>
    </row>
    <row r="207">
      <c r="P207" s="48" t="inlineStr">
        <is>
          <t>26061102V</t>
        </is>
      </c>
      <c r="Q207" s="48" t="inlineStr">
        <is>
          <t>CSE Invest Sri Lanka | 16.8.26</t>
        </is>
      </c>
      <c r="R207" s="48" t="inlineStr">
        <is>
          <t>VIDEO</t>
        </is>
      </c>
    </row>
    <row r="208">
      <c r="P208" s="48" t="inlineStr">
        <is>
          <t>26061103</t>
        </is>
      </c>
      <c r="Q208" s="48" t="inlineStr">
        <is>
          <t>Circadia Australia Elevate | 14.8.26</t>
        </is>
      </c>
      <c r="R208" s="48" t="inlineStr">
        <is>
          <t>PRODUCTION</t>
        </is>
      </c>
    </row>
    <row r="209">
      <c r="P209" s="48" t="inlineStr">
        <is>
          <t>26061103V</t>
        </is>
      </c>
      <c r="Q209" s="48" t="inlineStr">
        <is>
          <t>Circadia Australia Elevate | 14.8.26</t>
        </is>
      </c>
      <c r="R209" s="48" t="inlineStr">
        <is>
          <t>VIDEO</t>
        </is>
      </c>
    </row>
    <row r="210">
      <c r="P210" s="48" t="inlineStr">
        <is>
          <t>26061104</t>
        </is>
      </c>
      <c r="Q210" s="48" t="inlineStr">
        <is>
          <t>MUFG - FYR26 - 12.8.26</t>
        </is>
      </c>
      <c r="R210" s="48" t="inlineStr">
        <is>
          <t>PRODUCTION</t>
        </is>
      </c>
    </row>
    <row r="211">
      <c r="P211" s="48" t="inlineStr">
        <is>
          <t>26061104V</t>
        </is>
      </c>
      <c r="Q211" s="48" t="inlineStr">
        <is>
          <t>MUFG - FYR26 - 12.8.26</t>
        </is>
      </c>
      <c r="R211" s="48" t="inlineStr">
        <is>
          <t>VIDEO</t>
        </is>
      </c>
    </row>
    <row r="212">
      <c r="P212" s="48" t="inlineStr">
        <is>
          <t>26061105</t>
        </is>
      </c>
      <c r="Q212" s="48" t="inlineStr">
        <is>
          <t>CBA - FYR 2026 - 12.8.26</t>
        </is>
      </c>
      <c r="R212" s="48" t="inlineStr">
        <is>
          <t>PRODUCTION</t>
        </is>
      </c>
    </row>
    <row r="213">
      <c r="P213" s="48" t="inlineStr">
        <is>
          <t>26061105V</t>
        </is>
      </c>
      <c r="Q213" s="48" t="inlineStr">
        <is>
          <t>CBA - FYR 2026 - 12.8.26</t>
        </is>
      </c>
      <c r="R213" s="48" t="inlineStr">
        <is>
          <t>VIDEO</t>
        </is>
      </c>
    </row>
    <row r="214">
      <c r="P214" s="48" t="inlineStr">
        <is>
          <t>26061106</t>
        </is>
      </c>
      <c r="Q214" s="48" t="inlineStr">
        <is>
          <t>TLC Full Year Results MEL</t>
        </is>
      </c>
      <c r="R214" s="48" t="inlineStr">
        <is>
          <t>PRODUCTION</t>
        </is>
      </c>
    </row>
    <row r="215">
      <c r="P215" s="48" t="inlineStr">
        <is>
          <t>26061106V</t>
        </is>
      </c>
      <c r="Q215" s="48" t="inlineStr">
        <is>
          <t>TLC Full Year Results MEL</t>
        </is>
      </c>
      <c r="R215" s="48" t="inlineStr">
        <is>
          <t>VIDEO</t>
        </is>
      </c>
    </row>
    <row r="216">
      <c r="P216" s="48" t="inlineStr">
        <is>
          <t>26061107</t>
        </is>
      </c>
      <c r="Q216" s="48" t="inlineStr">
        <is>
          <t>Downer - FYR 2026 - 20.8.26</t>
        </is>
      </c>
      <c r="R216" s="48" t="inlineStr">
        <is>
          <t>PRODUCTION</t>
        </is>
      </c>
    </row>
    <row r="217">
      <c r="P217" s="48" t="inlineStr">
        <is>
          <t>26061107V</t>
        </is>
      </c>
      <c r="Q217" s="48" t="inlineStr">
        <is>
          <t>Downer - FYR 2026 - 20.8.26</t>
        </is>
      </c>
      <c r="R217" s="48" t="inlineStr">
        <is>
          <t>VIDEO</t>
        </is>
      </c>
    </row>
    <row r="218">
      <c r="P218" s="48" t="inlineStr">
        <is>
          <t>26061108</t>
        </is>
      </c>
      <c r="Q218" s="48" t="inlineStr">
        <is>
          <t>APA - Qtly All Hands FYR26 - 20.8.26</t>
        </is>
      </c>
      <c r="R218" s="48" t="inlineStr">
        <is>
          <t>PRODUCTION</t>
        </is>
      </c>
    </row>
    <row r="219">
      <c r="P219" s="48" t="inlineStr">
        <is>
          <t>26061108V</t>
        </is>
      </c>
      <c r="Q219" s="48" t="inlineStr">
        <is>
          <t>APA - Qtly All Hands FYR26 - 20.8.26</t>
        </is>
      </c>
      <c r="R219" s="48" t="inlineStr">
        <is>
          <t>VIDEO</t>
        </is>
      </c>
    </row>
    <row r="220">
      <c r="P220" s="48" t="inlineStr">
        <is>
          <t>26061109</t>
        </is>
      </c>
      <c r="Q220" s="48" t="inlineStr">
        <is>
          <t>Ventia - FYR26 - 24.8.26</t>
        </is>
      </c>
      <c r="R220" s="48" t="inlineStr">
        <is>
          <t>PRODUCTION</t>
        </is>
      </c>
    </row>
    <row r="221">
      <c r="P221" s="48" t="inlineStr">
        <is>
          <t>26061109V</t>
        </is>
      </c>
      <c r="Q221" s="48" t="inlineStr">
        <is>
          <t>Ventia - FYR26 - 24.8.26</t>
        </is>
      </c>
      <c r="R221" s="48" t="inlineStr">
        <is>
          <t>VIDEO</t>
        </is>
      </c>
    </row>
    <row r="222">
      <c r="P222" s="48" t="inlineStr">
        <is>
          <t>26061201</t>
        </is>
      </c>
      <c r="Q222" s="48" t="inlineStr">
        <is>
          <t>PWC - Firmwide Webcast - 30.6.26</t>
        </is>
      </c>
      <c r="R222" s="48" t="inlineStr">
        <is>
          <t>PRODUCTION</t>
        </is>
      </c>
    </row>
    <row r="223">
      <c r="P223" s="48" t="inlineStr">
        <is>
          <t>26061201V</t>
        </is>
      </c>
      <c r="Q223" s="48" t="inlineStr">
        <is>
          <t>PWC - Firmwide Webcast - 30.6.26</t>
        </is>
      </c>
      <c r="R223" s="48" t="inlineStr">
        <is>
          <t>VIDEO</t>
        </is>
      </c>
    </row>
    <row r="224">
      <c r="P224" s="48" t="inlineStr">
        <is>
          <t>26061202</t>
        </is>
      </c>
      <c r="Q224" s="48" t="inlineStr">
        <is>
          <t>CBA AGM 2027</t>
        </is>
      </c>
      <c r="R224" s="48" t="inlineStr">
        <is>
          <t>PRODUCTION</t>
        </is>
      </c>
    </row>
    <row r="225">
      <c r="P225" s="48" t="inlineStr">
        <is>
          <t>26061202V</t>
        </is>
      </c>
      <c r="Q225" s="48" t="inlineStr">
        <is>
          <t>CBA AGM 2027</t>
        </is>
      </c>
      <c r="R225" s="48" t="inlineStr">
        <is>
          <t>VIDEO</t>
        </is>
      </c>
    </row>
    <row r="226">
      <c r="P226" s="48" t="inlineStr">
        <is>
          <t>26061501</t>
        </is>
      </c>
      <c r="Q226" s="48" t="inlineStr">
        <is>
          <t>DTTL MEL Lv29 Display Supply</t>
        </is>
      </c>
      <c r="R226" s="48" t="inlineStr">
        <is>
          <t>INTEGRATION</t>
        </is>
      </c>
    </row>
    <row r="227">
      <c r="P227" s="48" t="inlineStr">
        <is>
          <t>26061602</t>
        </is>
      </c>
      <c r="Q227" s="48" t="inlineStr">
        <is>
          <t>ASX - CEO Connect (Extended) - 1.9.26</t>
        </is>
      </c>
      <c r="R227" s="48" t="inlineStr">
        <is>
          <t>PRODUCTION</t>
        </is>
      </c>
    </row>
    <row r="228">
      <c r="P228" s="48" t="inlineStr">
        <is>
          <t>26061602V</t>
        </is>
      </c>
      <c r="Q228" s="48" t="inlineStr">
        <is>
          <t>ASX - CEO Connect (Extended) - 1.9.26</t>
        </is>
      </c>
      <c r="R228" s="48" t="inlineStr">
        <is>
          <t>VIDEO</t>
        </is>
      </c>
    </row>
    <row r="229">
      <c r="P229" s="48" t="inlineStr">
        <is>
          <t>26061605</t>
        </is>
      </c>
      <c r="Q229" s="48" t="inlineStr">
        <is>
          <t>MUFG - IBM Ltd AGM - 27.10.26</t>
        </is>
      </c>
      <c r="R229" s="48" t="inlineStr">
        <is>
          <t>PRODUCTION</t>
        </is>
      </c>
    </row>
    <row r="230">
      <c r="P230" s="48" t="inlineStr">
        <is>
          <t>26061605V</t>
        </is>
      </c>
      <c r="Q230" s="48" t="inlineStr">
        <is>
          <t>MUFG - IBM Ltd AGM - 27.10.26</t>
        </is>
      </c>
      <c r="R230" s="48" t="inlineStr">
        <is>
          <t>VIDEO</t>
        </is>
      </c>
    </row>
    <row r="231">
      <c r="P231" s="48" t="inlineStr">
        <is>
          <t>26061606</t>
        </is>
      </c>
      <c r="Q231" s="48" t="inlineStr">
        <is>
          <t>MUFG - Endeavour AGM - 30.10.26</t>
        </is>
      </c>
      <c r="R231" s="48" t="inlineStr">
        <is>
          <t>PRODUCTION</t>
        </is>
      </c>
    </row>
    <row r="232">
      <c r="P232" s="48" t="inlineStr">
        <is>
          <t>26061606V</t>
        </is>
      </c>
      <c r="Q232" s="48" t="inlineStr">
        <is>
          <t>MUFG - Endeavour AGM - 30.10.26</t>
        </is>
      </c>
      <c r="R232" s="48" t="inlineStr">
        <is>
          <t>VIDEO</t>
        </is>
      </c>
    </row>
    <row r="233">
      <c r="P233" s="48" t="inlineStr">
        <is>
          <t>26061607</t>
        </is>
      </c>
      <c r="Q233" s="48" t="inlineStr">
        <is>
          <t>APA - Qtly All Hands (BNE) - 4.11.26</t>
        </is>
      </c>
      <c r="R233" s="48" t="inlineStr">
        <is>
          <t>PRODUCTION</t>
        </is>
      </c>
    </row>
    <row r="234">
      <c r="P234" s="48" t="inlineStr">
        <is>
          <t>26061607V</t>
        </is>
      </c>
      <c r="Q234" s="48" t="inlineStr">
        <is>
          <t>APA - Qtly All Hands (BNE) - 4.11.26</t>
        </is>
      </c>
      <c r="R234" s="48" t="inlineStr">
        <is>
          <t>VIDEO</t>
        </is>
      </c>
    </row>
    <row r="235">
      <c r="P235" s="48" t="inlineStr">
        <is>
          <t>26061608</t>
        </is>
      </c>
      <c r="Q235" s="48" t="inlineStr">
        <is>
          <t>APA - Qtly All Hands Sydney - Feb 27</t>
        </is>
      </c>
      <c r="R235" s="48" t="inlineStr">
        <is>
          <t>PRODUCTION</t>
        </is>
      </c>
    </row>
    <row r="236">
      <c r="P236" s="48" t="inlineStr">
        <is>
          <t>26061608V</t>
        </is>
      </c>
      <c r="Q236" s="48" t="inlineStr">
        <is>
          <t>APA - Qtly All Hands Sydney - Feb 27</t>
        </is>
      </c>
      <c r="R236" s="48" t="inlineStr">
        <is>
          <t>VIDEO</t>
        </is>
      </c>
    </row>
    <row r="237">
      <c r="P237" s="48" t="inlineStr">
        <is>
          <t>26061609</t>
        </is>
      </c>
      <c r="Q237" s="48" t="inlineStr">
        <is>
          <t>APA Qtly All Hands Perth - May 2027</t>
        </is>
      </c>
      <c r="R237" s="48" t="inlineStr">
        <is>
          <t>PRODUCTION</t>
        </is>
      </c>
    </row>
    <row r="238">
      <c r="P238" s="48" t="inlineStr">
        <is>
          <t>26061609V</t>
        </is>
      </c>
      <c r="Q238" s="48" t="inlineStr">
        <is>
          <t>APA Qtly All Hands Perth - May 2027</t>
        </is>
      </c>
      <c r="R238" s="48" t="inlineStr">
        <is>
          <t>VIDEO</t>
        </is>
      </c>
    </row>
    <row r="239">
      <c r="P239" s="48" t="inlineStr">
        <is>
          <t>26061611</t>
        </is>
      </c>
      <c r="Q239" s="48" t="inlineStr">
        <is>
          <t>QBE - Keynote Event - 27.10.26</t>
        </is>
      </c>
      <c r="R239" s="48" t="inlineStr">
        <is>
          <t>PRODUCTION</t>
        </is>
      </c>
    </row>
    <row r="240">
      <c r="P240" s="48" t="inlineStr">
        <is>
          <t>26061611V</t>
        </is>
      </c>
      <c r="Q240" s="48" t="inlineStr">
        <is>
          <t>QBE - Keynote Event - 27.10.26</t>
        </is>
      </c>
      <c r="R240" s="48" t="inlineStr">
        <is>
          <t>VIDEO</t>
        </is>
      </c>
    </row>
    <row r="241">
      <c r="P241" s="48" t="inlineStr">
        <is>
          <t>26061612</t>
        </is>
      </c>
      <c r="Q241" s="48" t="inlineStr">
        <is>
          <t>Chorus Call - Redox AGM - 7.10.26</t>
        </is>
      </c>
      <c r="R241" s="48" t="inlineStr">
        <is>
          <t>PRODUCTION</t>
        </is>
      </c>
    </row>
    <row r="242">
      <c r="P242" s="48" t="inlineStr">
        <is>
          <t>26061612V</t>
        </is>
      </c>
      <c r="Q242" s="48" t="inlineStr">
        <is>
          <t>Chorus Call - Redox AGM - 7.10.26</t>
        </is>
      </c>
      <c r="R242" s="48" t="inlineStr">
        <is>
          <t>VIDEO</t>
        </is>
      </c>
    </row>
    <row r="243">
      <c r="P243" s="48" t="inlineStr">
        <is>
          <t>26061701</t>
        </is>
      </c>
      <c r="Q243" s="48" t="inlineStr">
        <is>
          <t>CBA - LES - July 2026</t>
        </is>
      </c>
      <c r="R243" s="48" t="inlineStr">
        <is>
          <t>PRODUCTION</t>
        </is>
      </c>
    </row>
    <row r="244">
      <c r="P244" s="48" t="inlineStr">
        <is>
          <t>26061702</t>
        </is>
      </c>
      <c r="Q244" s="48" t="inlineStr">
        <is>
          <t>Garvan - Morning Tea Event - 31.7.26</t>
        </is>
      </c>
      <c r="R244" s="48" t="inlineStr">
        <is>
          <t>PRODUCTION</t>
        </is>
      </c>
    </row>
    <row r="245">
      <c r="P245" s="48" t="inlineStr">
        <is>
          <t>26061801</t>
        </is>
      </c>
      <c r="Q245" s="48" t="inlineStr">
        <is>
          <t>APA - Investor Briefing FYR26 - 20.8.26</t>
        </is>
      </c>
      <c r="R245" s="48" t="inlineStr">
        <is>
          <t>PRODUCTION</t>
        </is>
      </c>
    </row>
    <row r="246">
      <c r="P246" s="48" t="inlineStr">
        <is>
          <t>26061801V</t>
        </is>
      </c>
      <c r="Q246" s="48" t="inlineStr">
        <is>
          <t>APA - Investor Briefing FYR26 - 20.8.26</t>
        </is>
      </c>
      <c r="R246" s="48" t="inlineStr">
        <is>
          <t>VIDEO</t>
        </is>
      </c>
    </row>
    <row r="247">
      <c r="P247" s="48" t="inlineStr">
        <is>
          <t>26062201</t>
        </is>
      </c>
      <c r="Q247" s="48" t="inlineStr">
        <is>
          <t>PWC - Tax &amp; Legal Webcast 02.07.26</t>
        </is>
      </c>
      <c r="R247" s="48" t="inlineStr">
        <is>
          <t>PRODUCTION</t>
        </is>
      </c>
    </row>
    <row r="248">
      <c r="P248" s="48" t="inlineStr">
        <is>
          <t>26062201V</t>
        </is>
      </c>
      <c r="Q248" s="48" t="inlineStr">
        <is>
          <t>PWC - Tax &amp; Legal Webcast 02.07.26</t>
        </is>
      </c>
      <c r="R248" s="48" t="inlineStr">
        <is>
          <t>VIDEO</t>
        </is>
      </c>
    </row>
    <row r="249">
      <c r="P249" s="48" t="inlineStr">
        <is>
          <t>26062202</t>
        </is>
      </c>
      <c r="Q249" s="48" t="inlineStr">
        <is>
          <t>PWC - Early Careers Webcast - 29.7.26</t>
        </is>
      </c>
      <c r="R249" s="48" t="inlineStr">
        <is>
          <t>PRODUCTION</t>
        </is>
      </c>
    </row>
    <row r="250">
      <c r="P250" s="48" t="inlineStr">
        <is>
          <t>26062202V</t>
        </is>
      </c>
      <c r="Q250" s="48" t="inlineStr">
        <is>
          <t>PWC - Early Careers Webcast - 29.7.26</t>
        </is>
      </c>
      <c r="R250" s="48" t="inlineStr">
        <is>
          <t>VIDEO</t>
        </is>
      </c>
    </row>
    <row r="251">
      <c r="P251" s="48" t="inlineStr">
        <is>
          <t>26062403</t>
        </is>
      </c>
      <c r="Q251" s="48" t="inlineStr">
        <is>
          <t>CBA - CommBank Private Hosting 25.6.26</t>
        </is>
      </c>
      <c r="R251" s="48" t="inlineStr">
        <is>
          <t>PRODUCTION</t>
        </is>
      </c>
    </row>
    <row r="252">
      <c r="P252" s="48" t="inlineStr">
        <is>
          <t>26062403V</t>
        </is>
      </c>
      <c r="Q252" s="48" t="inlineStr">
        <is>
          <t>CBA - CommBank Private Hosting 25.6.26</t>
        </is>
      </c>
      <c r="R252" s="48" t="inlineStr">
        <is>
          <t>VIDEO</t>
        </is>
      </c>
    </row>
    <row r="253">
      <c r="P253" s="48" t="inlineStr">
        <is>
          <t>26062501</t>
        </is>
      </c>
      <c r="Q253" s="48" t="inlineStr">
        <is>
          <t>DTTL STL Travel (SYD-MEL Return)</t>
        </is>
      </c>
      <c r="R253" s="48" t="inlineStr">
        <is>
          <t>ONSITE</t>
        </is>
      </c>
    </row>
    <row r="254">
      <c r="P254" s="48" t="inlineStr">
        <is>
          <t>26062503</t>
        </is>
      </c>
      <c r="Q254" s="48" t="inlineStr">
        <is>
          <t>Aware Super 24.16 UC Engine Replacement</t>
        </is>
      </c>
      <c r="R254" s="48" t="inlineStr">
        <is>
          <t>INTEGRATION</t>
        </is>
      </c>
    </row>
    <row r="255">
      <c r="P255" s="48" t="inlineStr">
        <is>
          <t>26062601</t>
        </is>
      </c>
      <c r="Q255" s="48" t="inlineStr">
        <is>
          <t>Ventia - XELT Event - 29.6.26</t>
        </is>
      </c>
      <c r="R255" s="48" t="inlineStr">
        <is>
          <t>PRODUCTION</t>
        </is>
      </c>
    </row>
    <row r="256">
      <c r="P256" s="48" t="inlineStr">
        <is>
          <t>26062601V</t>
        </is>
      </c>
      <c r="Q256" s="48" t="inlineStr">
        <is>
          <t>Ventia - XELT Event - 29.6.26</t>
        </is>
      </c>
      <c r="R256" s="48" t="inlineStr">
        <is>
          <t>VIDEO</t>
        </is>
      </c>
    </row>
    <row r="257">
      <c r="P257" s="48" t="inlineStr">
        <is>
          <t>26062901</t>
        </is>
      </c>
      <c r="Q257" s="48" t="inlineStr">
        <is>
          <t>Aware | SYD 28.06 Services</t>
        </is>
      </c>
      <c r="R257" s="48" t="inlineStr">
        <is>
          <t>INTEGRATION</t>
        </is>
      </c>
    </row>
    <row r="258">
      <c r="P258" s="48" t="inlineStr">
        <is>
          <t>26062902</t>
        </is>
      </c>
      <c r="Q258" s="48" t="inlineStr">
        <is>
          <t>Aware | SYD Occupancy Sensors</t>
        </is>
      </c>
      <c r="R258" s="48" t="inlineStr">
        <is>
          <t>INTEGRATION</t>
        </is>
      </c>
    </row>
    <row r="259">
      <c r="P259" s="48" t="inlineStr">
        <is>
          <t>26063002</t>
        </is>
      </c>
      <c r="Q259" s="48" t="inlineStr">
        <is>
          <t>CEOi - CEO Connect - 11.8.26</t>
        </is>
      </c>
      <c r="R259" s="48" t="inlineStr">
        <is>
          <t>PRODUCTION</t>
        </is>
      </c>
    </row>
    <row r="260">
      <c r="P260" s="48" t="inlineStr">
        <is>
          <t>26063002V</t>
        </is>
      </c>
      <c r="Q260" s="48" t="inlineStr">
        <is>
          <t>CEOi - CEO Connect - 11.8.26</t>
        </is>
      </c>
      <c r="R260" s="48" t="inlineStr">
        <is>
          <t>VIDEO</t>
        </is>
      </c>
    </row>
    <row r="261">
      <c r="P261" s="48" t="inlineStr">
        <is>
          <t>2606401V</t>
        </is>
      </c>
      <c r="Q261" s="48" t="inlineStr">
        <is>
          <t>PWC - NRW Webcast - 11.6.26</t>
        </is>
      </c>
      <c r="R261" s="48" t="inlineStr">
        <is>
          <t>VIDEO</t>
        </is>
      </c>
    </row>
    <row r="262">
      <c r="P262" s="48" t="inlineStr">
        <is>
          <t>2606901</t>
        </is>
      </c>
      <c r="Q262" s="48" t="inlineStr">
        <is>
          <t>PwC | Syd Studio Equipment</t>
        </is>
      </c>
      <c r="R262" s="48" t="inlineStr">
        <is>
          <t>INTEGRATION</t>
        </is>
      </c>
    </row>
    <row r="263">
      <c r="P263" s="48" t="inlineStr">
        <is>
          <t>2606902</t>
        </is>
      </c>
      <c r="Q263" s="48" t="inlineStr">
        <is>
          <t>AVIT - Taronga AV Support - 9-11.6.26</t>
        </is>
      </c>
      <c r="R263" s="48" t="inlineStr">
        <is>
          <t>PRODUCTION</t>
        </is>
      </c>
    </row>
    <row r="264">
      <c r="P264" s="48" t="inlineStr">
        <is>
          <t>2606903</t>
        </is>
      </c>
      <c r="Q264" s="48" t="inlineStr">
        <is>
          <t>Virgin FY26 Results</t>
        </is>
      </c>
      <c r="R264" s="48" t="inlineStr">
        <is>
          <t>PRODUCTION</t>
        </is>
      </c>
    </row>
    <row r="265">
      <c r="P265" s="48" t="inlineStr">
        <is>
          <t>2606903V</t>
        </is>
      </c>
      <c r="Q265" s="48" t="inlineStr">
        <is>
          <t>Virgin FY26 Results</t>
        </is>
      </c>
      <c r="R265" s="48" t="inlineStr">
        <is>
          <t>VIDEO</t>
        </is>
      </c>
    </row>
    <row r="266">
      <c r="P266" s="48" t="inlineStr">
        <is>
          <t>2606904</t>
        </is>
      </c>
      <c r="Q266" s="48" t="inlineStr">
        <is>
          <t>Symal - FYR26 (Melb) - 24.8.26</t>
        </is>
      </c>
      <c r="R266" s="48" t="inlineStr">
        <is>
          <t>PRODUCTION</t>
        </is>
      </c>
    </row>
    <row r="267">
      <c r="P267" s="48" t="inlineStr">
        <is>
          <t>2606904V</t>
        </is>
      </c>
      <c r="Q267" s="48" t="inlineStr">
        <is>
          <t>Symal - FYR26 (Melb) - 24.8.26</t>
        </is>
      </c>
      <c r="R267" s="48" t="inlineStr">
        <is>
          <t>VIDEO</t>
        </is>
      </c>
    </row>
    <row r="268">
      <c r="P268" s="48" t="inlineStr">
        <is>
          <t>2606905</t>
        </is>
      </c>
      <c r="Q268" s="48" t="inlineStr">
        <is>
          <t>Dimensional - Audio Tech Support - 22.6.26</t>
        </is>
      </c>
      <c r="R268" s="48" t="inlineStr">
        <is>
          <t>PRODUCTION</t>
        </is>
      </c>
    </row>
    <row r="269">
      <c r="P269" s="48" t="inlineStr">
        <is>
          <t>2606906</t>
        </is>
      </c>
      <c r="Q269" s="48" t="inlineStr">
        <is>
          <t>St Catherines Case Study Video Non-Chrgable</t>
        </is>
      </c>
      <c r="R269" s="48" t="inlineStr">
        <is>
          <t>VIDEO</t>
        </is>
      </c>
    </row>
    <row r="270">
      <c r="P270" s="48" t="inlineStr">
        <is>
          <t>26071303</t>
        </is>
      </c>
      <c r="Q270" s="48" t="inlineStr">
        <is>
          <t>Ventia - Melbourne Office Event - 30.7.26</t>
        </is>
      </c>
      <c r="R270" s="48" t="inlineStr">
        <is>
          <t>PRODUCTION</t>
        </is>
      </c>
    </row>
    <row r="271">
      <c r="P271" s="48" t="inlineStr">
        <is>
          <t>26071304</t>
        </is>
      </c>
      <c r="Q271" s="48" t="inlineStr">
        <is>
          <t>YSG | Orange Room Upgrade</t>
        </is>
      </c>
      <c r="R271" s="48" t="inlineStr">
        <is>
          <t>INTEGRATION</t>
        </is>
      </c>
    </row>
    <row r="272">
      <c r="P272" s="48" t="inlineStr">
        <is>
          <t>26071403</t>
        </is>
      </c>
      <c r="Q272" s="48" t="inlineStr">
        <is>
          <t>Elkiem - Studio Support - 4.11.26</t>
        </is>
      </c>
      <c r="R272" s="48" t="inlineStr">
        <is>
          <t>PRODUCTION</t>
        </is>
      </c>
    </row>
    <row r="273">
      <c r="P273" s="48" t="inlineStr">
        <is>
          <t>26071404</t>
        </is>
      </c>
      <c r="Q273" s="48" t="inlineStr">
        <is>
          <t>Elkiem - Studio Support - 9.12.26</t>
        </is>
      </c>
      <c r="R273" s="48" t="inlineStr">
        <is>
          <t>PRODUCTION</t>
        </is>
      </c>
    </row>
    <row r="274">
      <c r="P274" s="48" t="inlineStr">
        <is>
          <t>26071405</t>
        </is>
      </c>
      <c r="Q274" s="48" t="inlineStr">
        <is>
          <t>PWC - Event Technician - 29.7.26</t>
        </is>
      </c>
      <c r="R274" s="48" t="inlineStr">
        <is>
          <t>PRODUCTION</t>
        </is>
      </c>
    </row>
    <row r="275">
      <c r="P275" s="48" t="inlineStr">
        <is>
          <t>26071501</t>
        </is>
      </c>
      <c r="Q275" s="48" t="inlineStr">
        <is>
          <t>Ventia - Half Year Results Briefing - 24.8.26</t>
        </is>
      </c>
      <c r="R275" s="48" t="inlineStr">
        <is>
          <t>PRODUCTION</t>
        </is>
      </c>
    </row>
    <row r="276">
      <c r="P276" s="48" t="inlineStr">
        <is>
          <t>26071501V</t>
        </is>
      </c>
      <c r="Q276" s="48" t="inlineStr">
        <is>
          <t>Ventia - Half Year Results Briefing - 24.8.26</t>
        </is>
      </c>
      <c r="R276" s="48" t="inlineStr">
        <is>
          <t>VIDEO</t>
        </is>
      </c>
    </row>
    <row r="277">
      <c r="P277" s="48" t="inlineStr">
        <is>
          <t>26071601</t>
        </is>
      </c>
      <c r="Q277" s="48" t="inlineStr">
        <is>
          <t>Aware | PER | Barry Marshall and Albany Rooms BYOD USB-C Replcmnt</t>
        </is>
      </c>
      <c r="R277" s="48" t="inlineStr">
        <is>
          <t>INTEGRATION</t>
        </is>
      </c>
    </row>
    <row r="278">
      <c r="P278" s="48" t="inlineStr">
        <is>
          <t>26071701</t>
        </is>
      </c>
      <c r="Q278" s="48" t="inlineStr">
        <is>
          <t>ASX Live - 9.9.26</t>
        </is>
      </c>
      <c r="R278" s="48" t="inlineStr">
        <is>
          <t>PRODUCTION</t>
        </is>
      </c>
    </row>
    <row r="279">
      <c r="P279" s="48" t="inlineStr">
        <is>
          <t>26071701V</t>
        </is>
      </c>
      <c r="Q279" s="48" t="inlineStr">
        <is>
          <t>ASX Live - 9.9.26</t>
        </is>
      </c>
      <c r="R279" s="48" t="inlineStr">
        <is>
          <t>VIDEO</t>
        </is>
      </c>
    </row>
    <row r="280">
      <c r="P280" s="48" t="inlineStr">
        <is>
          <t>26071901</t>
        </is>
      </c>
      <c r="Q280" s="48" t="inlineStr">
        <is>
          <t>Elkiem - Studio Support - 11.8.26</t>
        </is>
      </c>
      <c r="R280" s="48" t="inlineStr">
        <is>
          <t>PRODUCTION</t>
        </is>
      </c>
    </row>
    <row r="281">
      <c r="P281" s="48" t="inlineStr">
        <is>
          <t>26072003</t>
        </is>
      </c>
      <c r="Q281" s="48" t="inlineStr">
        <is>
          <t>CBA Live Event Support August 2026</t>
        </is>
      </c>
      <c r="R281" s="48" t="inlineStr">
        <is>
          <t>PRODUCTION</t>
        </is>
      </c>
    </row>
    <row r="282">
      <c r="P282" s="48" t="inlineStr">
        <is>
          <t>26072101</t>
        </is>
      </c>
      <c r="Q282" s="48" t="inlineStr">
        <is>
          <t>Aware MEL 17.02 Amp Replacement</t>
        </is>
      </c>
      <c r="R282" s="48" t="inlineStr">
        <is>
          <t>INTEGRATION</t>
        </is>
      </c>
    </row>
    <row r="283">
      <c r="P283" s="48" t="inlineStr">
        <is>
          <t>26072101</t>
        </is>
      </c>
      <c r="Q283" s="48" t="inlineStr">
        <is>
          <t>Aware_Mel 17.02 Amp Replacement</t>
        </is>
      </c>
      <c r="R283" s="48" t="inlineStr">
        <is>
          <t>INTEGRATION</t>
        </is>
      </c>
    </row>
    <row r="284">
      <c r="P284" s="48" t="inlineStr">
        <is>
          <t>26072102</t>
        </is>
      </c>
      <c r="Q284" s="48" t="inlineStr">
        <is>
          <t>Ventia - RUOK? Day - 10.09.2026</t>
        </is>
      </c>
      <c r="R284" s="48" t="inlineStr">
        <is>
          <t>PRODUCTION</t>
        </is>
      </c>
    </row>
    <row r="285">
      <c r="P285" s="48" t="inlineStr">
        <is>
          <t>26072102V</t>
        </is>
      </c>
      <c r="Q285" s="48" t="inlineStr">
        <is>
          <t>Ventia - RUOK? Day - 10.09.2026</t>
        </is>
      </c>
      <c r="R285" s="48" t="inlineStr">
        <is>
          <t>VIDEO</t>
        </is>
      </c>
    </row>
    <row r="286">
      <c r="P286" s="48" t="inlineStr">
        <is>
          <t>26072802</t>
        </is>
      </c>
      <c r="Q286" s="48" t="inlineStr">
        <is>
          <t>ON24 KWM Sydney Event - 18.08.2026</t>
        </is>
      </c>
      <c r="R286" s="48" t="inlineStr">
        <is>
          <t>PRODUCTION</t>
        </is>
      </c>
    </row>
    <row r="287">
      <c r="P287" s="48" t="inlineStr">
        <is>
          <t>26072802V</t>
        </is>
      </c>
      <c r="Q287" s="48" t="inlineStr">
        <is>
          <t>ON24 KWM Sydney Event - 18.08.2026</t>
        </is>
      </c>
      <c r="R287" s="48" t="inlineStr">
        <is>
          <t>VIDEO</t>
        </is>
      </c>
    </row>
    <row r="288">
      <c r="P288" s="48" t="inlineStr">
        <is>
          <t>26072902</t>
        </is>
      </c>
      <c r="Q288" s="48" t="inlineStr">
        <is>
          <t>PWC AI Townhall 6.8.26</t>
        </is>
      </c>
      <c r="R288" s="48" t="inlineStr">
        <is>
          <t>PRODUCTION</t>
        </is>
      </c>
    </row>
    <row r="289">
      <c r="P289" s="48" t="inlineStr">
        <is>
          <t>26072902V</t>
        </is>
      </c>
      <c r="Q289" s="48" t="inlineStr">
        <is>
          <t>PWC AI Townhall 6.8.26</t>
        </is>
      </c>
      <c r="R289" s="48" t="inlineStr">
        <is>
          <t>VIDEO</t>
        </is>
      </c>
    </row>
    <row r="290">
      <c r="P290" s="48" t="inlineStr">
        <is>
          <t>26072903</t>
        </is>
      </c>
      <c r="Q290" s="48" t="inlineStr">
        <is>
          <t>PWC - GB Webcast - 11.8.26</t>
        </is>
      </c>
      <c r="R290" s="48" t="inlineStr">
        <is>
          <t>PRODUCTION</t>
        </is>
      </c>
    </row>
    <row r="291">
      <c r="P291" s="48" t="inlineStr">
        <is>
          <t>26072903V</t>
        </is>
      </c>
      <c r="Q291" s="48" t="inlineStr">
        <is>
          <t>PWC - GB Webcast - 11.8.26</t>
        </is>
      </c>
      <c r="R291" s="48" t="inlineStr">
        <is>
          <t>VIDEO</t>
        </is>
      </c>
    </row>
    <row r="292">
      <c r="P292" s="48" t="inlineStr">
        <is>
          <t>26072906</t>
        </is>
      </c>
      <c r="Q292" s="48" t="inlineStr">
        <is>
          <t>ASX Advisory Group on Corporate Governance</t>
        </is>
      </c>
      <c r="R292" s="48" t="inlineStr">
        <is>
          <t>PRODUCTION</t>
        </is>
      </c>
    </row>
    <row r="293">
      <c r="P293" s="48" t="inlineStr">
        <is>
          <t>26072906V</t>
        </is>
      </c>
      <c r="Q293" s="48" t="inlineStr">
        <is>
          <t>ASX Advisory Group on Corporate Governance</t>
        </is>
      </c>
      <c r="R293" s="48" t="inlineStr">
        <is>
          <t>VIDEO</t>
        </is>
      </c>
    </row>
    <row r="294">
      <c r="P294" s="48" t="inlineStr">
        <is>
          <t>26073103</t>
        </is>
      </c>
      <c r="Q294" s="48" t="inlineStr">
        <is>
          <t>DTTL PER AV &amp; Hospitality Tech (SEP26-FEB27)</t>
        </is>
      </c>
      <c r="R294" s="48" t="inlineStr">
        <is>
          <t>ONSITE</t>
        </is>
      </c>
    </row>
    <row r="295">
      <c r="P295" s="48" t="inlineStr">
        <is>
          <t>26073103N</t>
        </is>
      </c>
      <c r="Q295" s="48" t="inlineStr">
        <is>
          <t>DTTL PER AV &amp; Hospitality Tech (SEP26-FEB27) [ONS] non-chargeable</t>
        </is>
      </c>
      <c r="R295" s="48" t="inlineStr"/>
    </row>
    <row r="296">
      <c r="P296" s="48" t="inlineStr">
        <is>
          <t>26073105</t>
        </is>
      </c>
      <c r="Q296" s="48" t="inlineStr">
        <is>
          <t>Elkiem - Studio Support - 25.8.26</t>
        </is>
      </c>
      <c r="R296" s="48" t="inlineStr">
        <is>
          <t>PRODUCTION</t>
        </is>
      </c>
    </row>
    <row r="297">
      <c r="P297" s="48" t="inlineStr">
        <is>
          <t>26073106</t>
        </is>
      </c>
      <c r="Q297" s="48" t="inlineStr">
        <is>
          <t>Elkiem - Studio Support - 18.9.26</t>
        </is>
      </c>
      <c r="R297" s="48" t="inlineStr">
        <is>
          <t>PRODUCTION</t>
        </is>
      </c>
    </row>
    <row r="298">
      <c r="P298" s="48" t="inlineStr">
        <is>
          <t>26073107</t>
        </is>
      </c>
      <c r="Q298" s="48" t="inlineStr">
        <is>
          <t>DTTL Travel for Technician &amp; Coverage ADL-HOB</t>
        </is>
      </c>
      <c r="R298" s="48" t="inlineStr">
        <is>
          <t>ONSITE</t>
        </is>
      </c>
    </row>
    <row r="299">
      <c r="P299" s="48" t="inlineStr">
        <is>
          <t>26073110</t>
        </is>
      </c>
      <c r="Q299" s="48" t="inlineStr">
        <is>
          <t>Garvan - Weizmann Dinner Event - 20.8.26</t>
        </is>
      </c>
      <c r="R299" s="48" t="inlineStr">
        <is>
          <t>PRODUCTION</t>
        </is>
      </c>
    </row>
    <row r="300">
      <c r="P300" s="48" t="inlineStr">
        <is>
          <t>26073110V</t>
        </is>
      </c>
      <c r="Q300" s="48" t="inlineStr">
        <is>
          <t>Garvan - Weizmann Dinner Event - 20.8.26</t>
        </is>
      </c>
      <c r="R300" s="48" t="inlineStr">
        <is>
          <t>VIDEO</t>
        </is>
      </c>
    </row>
    <row r="301">
      <c r="P301" s="48" t="inlineStr">
        <is>
          <t>26073111</t>
        </is>
      </c>
      <c r="Q301" s="48" t="inlineStr">
        <is>
          <t>Downer - FYR &amp; Employee Webcast - 25.8.26</t>
        </is>
      </c>
      <c r="R301" s="48" t="inlineStr">
        <is>
          <t>PRODUCTION</t>
        </is>
      </c>
    </row>
    <row r="302">
      <c r="P302" s="48" t="inlineStr">
        <is>
          <t>26073111V</t>
        </is>
      </c>
      <c r="Q302" s="48" t="inlineStr">
        <is>
          <t>Downer - FYR &amp; Employee Webcast - 25.8.26</t>
        </is>
      </c>
      <c r="R302" s="48" t="inlineStr">
        <is>
          <t>VIDEO</t>
        </is>
      </c>
    </row>
    <row r="303">
      <c r="P303" s="48" t="inlineStr">
        <is>
          <t>2607703</t>
        </is>
      </c>
      <c r="Q303" s="48" t="inlineStr">
        <is>
          <t>Garvan - YPO Event - 6.8.2026</t>
        </is>
      </c>
      <c r="R303" s="48" t="inlineStr">
        <is>
          <t>PRODUCTION</t>
        </is>
      </c>
    </row>
    <row r="304">
      <c r="P304" s="48" t="inlineStr">
        <is>
          <t>2607703V</t>
        </is>
      </c>
      <c r="Q304" s="48" t="inlineStr">
        <is>
          <t>Garvan - YPO Event - 6.8.2026</t>
        </is>
      </c>
      <c r="R304" s="48" t="inlineStr">
        <is>
          <t>VIDEO</t>
        </is>
      </c>
    </row>
    <row r="305">
      <c r="P305" s="48" t="inlineStr">
        <is>
          <t>2608101</t>
        </is>
      </c>
      <c r="Q305" s="48" t="inlineStr">
        <is>
          <t>ART - AMM Captioning - 25.11.26</t>
        </is>
      </c>
      <c r="R305" s="48" t="inlineStr">
        <is>
          <t>PRODUCTION</t>
        </is>
      </c>
    </row>
    <row r="306">
      <c r="P306" s="48" t="inlineStr">
        <is>
          <t>2608101V</t>
        </is>
      </c>
      <c r="Q306" s="48" t="inlineStr">
        <is>
          <t>ART - AMM Captioning - 25.11.26</t>
        </is>
      </c>
      <c r="R306" s="48" t="inlineStr">
        <is>
          <t>VIDEO</t>
        </is>
      </c>
    </row>
    <row r="307">
      <c r="P307" s="48" t="inlineStr">
        <is>
          <t>2608102</t>
        </is>
      </c>
      <c r="Q307" s="48" t="inlineStr">
        <is>
          <t>ART - Education Session Captioning - 25.11.26</t>
        </is>
      </c>
      <c r="R307" s="48" t="inlineStr">
        <is>
          <t>PRODUCTION</t>
        </is>
      </c>
    </row>
    <row r="308">
      <c r="P308" s="48" t="inlineStr">
        <is>
          <t>26081101</t>
        </is>
      </c>
      <c r="Q308" s="48" t="inlineStr">
        <is>
          <t>Vega Global - Payments Forum - 17.9.26</t>
        </is>
      </c>
      <c r="R308" s="48" t="inlineStr">
        <is>
          <t>PRODUCTION</t>
        </is>
      </c>
    </row>
    <row r="309">
      <c r="P309" s="48" t="inlineStr">
        <is>
          <t>26081302</t>
        </is>
      </c>
      <c r="Q309" s="48" t="inlineStr">
        <is>
          <t>Ubank - Volunteer Day - 11.11.26</t>
        </is>
      </c>
      <c r="R309" s="48" t="inlineStr">
        <is>
          <t>PRODUCTION</t>
        </is>
      </c>
    </row>
    <row r="310">
      <c r="P310" s="48" t="inlineStr">
        <is>
          <t>26081302V</t>
        </is>
      </c>
      <c r="Q310" s="48" t="inlineStr">
        <is>
          <t>Ubank - Volunteer Day - 11.11.26</t>
        </is>
      </c>
      <c r="R310" s="48" t="inlineStr">
        <is>
          <t>VIDEO</t>
        </is>
      </c>
    </row>
    <row r="311">
      <c r="P311" s="48" t="inlineStr">
        <is>
          <t>26081402</t>
        </is>
      </c>
      <c r="Q311" s="48" t="inlineStr">
        <is>
          <t>Dimensional - AV Support - 19.8.26</t>
        </is>
      </c>
      <c r="R311" s="48" t="inlineStr">
        <is>
          <t>PRODUCTION</t>
        </is>
      </c>
    </row>
    <row r="312">
      <c r="P312" s="48" t="inlineStr">
        <is>
          <t>26081801</t>
        </is>
      </c>
      <c r="Q312" s="48" t="inlineStr">
        <is>
          <t>Microsoft - SME&amp;C Town Hall 14.10.2026</t>
        </is>
      </c>
      <c r="R312" s="48" t="inlineStr">
        <is>
          <t>PRODUCTION</t>
        </is>
      </c>
    </row>
    <row r="313">
      <c r="P313" s="48" t="inlineStr">
        <is>
          <t>26081801V</t>
        </is>
      </c>
      <c r="Q313" s="48" t="inlineStr">
        <is>
          <t>Microsoft - SME&amp;C Town Hall 14.10.2026</t>
        </is>
      </c>
      <c r="R313" s="48" t="inlineStr">
        <is>
          <t>VIDEO</t>
        </is>
      </c>
    </row>
    <row r="314">
      <c r="P314" s="48" t="inlineStr">
        <is>
          <t>26081901</t>
        </is>
      </c>
      <c r="Q314" s="48" t="inlineStr">
        <is>
          <t>AusPayNet Logitech Essentials for Room License Renewal</t>
        </is>
      </c>
      <c r="R314" s="48" t="inlineStr">
        <is>
          <t>INTEGRATION</t>
        </is>
      </c>
    </row>
    <row r="315">
      <c r="P315" s="48" t="inlineStr">
        <is>
          <t>26081904</t>
        </is>
      </c>
      <c r="Q315" s="48" t="inlineStr">
        <is>
          <t>Garvan - AllClear Program Meeting - 2.9.26</t>
        </is>
      </c>
      <c r="R315" s="48" t="inlineStr">
        <is>
          <t>PRODUCTION</t>
        </is>
      </c>
    </row>
    <row r="316">
      <c r="P316" s="48" t="inlineStr">
        <is>
          <t>26082402</t>
        </is>
      </c>
      <c r="Q316" s="48" t="inlineStr">
        <is>
          <t>TLC - 2026 AGM - 14.10.26</t>
        </is>
      </c>
      <c r="R316" s="48" t="inlineStr">
        <is>
          <t>PRODUCTION</t>
        </is>
      </c>
    </row>
    <row r="317">
      <c r="P317" s="48" t="inlineStr">
        <is>
          <t>26082402V</t>
        </is>
      </c>
      <c r="Q317" s="48" t="inlineStr">
        <is>
          <t>TLC - 2026 AGM - 14.10.26</t>
        </is>
      </c>
      <c r="R317" s="48" t="inlineStr">
        <is>
          <t>VIDEO</t>
        </is>
      </c>
    </row>
    <row r="318">
      <c r="P318" s="48" t="inlineStr">
        <is>
          <t>26082501</t>
        </is>
      </c>
      <c r="Q318" s="48" t="inlineStr">
        <is>
          <t>CBA - LES - September 2026</t>
        </is>
      </c>
      <c r="R318" s="48" t="inlineStr">
        <is>
          <t>PRODUCTION</t>
        </is>
      </c>
    </row>
    <row r="319">
      <c r="P319" s="48" t="inlineStr">
        <is>
          <t>26082502</t>
        </is>
      </c>
      <c r="Q319" s="48" t="inlineStr">
        <is>
          <t>ICC - Presenter &amp; Speaker Preparation - September 2026</t>
        </is>
      </c>
      <c r="R319" s="48" t="inlineStr">
        <is>
          <t>PRODUCTION</t>
        </is>
      </c>
    </row>
    <row r="320">
      <c r="P320" s="48" t="inlineStr">
        <is>
          <t>26082502V</t>
        </is>
      </c>
      <c r="Q320" s="48" t="inlineStr">
        <is>
          <t>ICC - Presenter &amp; Speaker Preparation - September 2026</t>
        </is>
      </c>
      <c r="R320" s="48" t="inlineStr">
        <is>
          <t>VIDEO</t>
        </is>
      </c>
    </row>
    <row r="321">
      <c r="P321" s="48" t="inlineStr">
        <is>
          <t>26082702</t>
        </is>
      </c>
      <c r="Q321" s="48" t="inlineStr">
        <is>
          <t>Garvan - Breast Cancer Public Lecture - 1.10.26</t>
        </is>
      </c>
      <c r="R321" s="48" t="inlineStr">
        <is>
          <t>PRODUCTION</t>
        </is>
      </c>
    </row>
    <row r="322">
      <c r="P322" s="48" t="inlineStr">
        <is>
          <t>26082703</t>
        </is>
      </c>
      <c r="Q322" s="48" t="inlineStr">
        <is>
          <t>APA - RUOK Day - 10.9.26</t>
        </is>
      </c>
      <c r="R322" s="48" t="inlineStr">
        <is>
          <t>PRODUCTION</t>
        </is>
      </c>
    </row>
    <row r="323">
      <c r="P323" s="48" t="inlineStr">
        <is>
          <t>26082703V</t>
        </is>
      </c>
      <c r="Q323" s="48" t="inlineStr">
        <is>
          <t>APA - RUOK Day - 10.9.26</t>
        </is>
      </c>
      <c r="R323" s="48" t="inlineStr">
        <is>
          <t>VIDEO</t>
        </is>
      </c>
    </row>
    <row r="324">
      <c r="P324" s="48" t="inlineStr">
        <is>
          <t>26082704</t>
        </is>
      </c>
      <c r="Q324" s="48" t="inlineStr">
        <is>
          <t>DTTL Travel for National STL &amp; Coverage SYD-PER</t>
        </is>
      </c>
      <c r="R324" s="48" t="inlineStr">
        <is>
          <t>ONSITE</t>
        </is>
      </c>
    </row>
    <row r="325">
      <c r="P325" s="48" t="inlineStr">
        <is>
          <t>26082801</t>
        </is>
      </c>
      <c r="Q325" s="48" t="inlineStr">
        <is>
          <t>Ricoh Australia - SHELL AV Support</t>
        </is>
      </c>
      <c r="R325" s="48" t="inlineStr">
        <is>
          <t>ONSITE</t>
        </is>
      </c>
    </row>
    <row r="326">
      <c r="P326" s="48" t="inlineStr">
        <is>
          <t>2608402</t>
        </is>
      </c>
      <c r="Q326" s="48" t="inlineStr">
        <is>
          <t>Garvan - Suttons Event - 15.10.26</t>
        </is>
      </c>
      <c r="R326" s="48" t="inlineStr">
        <is>
          <t>PRODUCTION</t>
        </is>
      </c>
    </row>
    <row r="327">
      <c r="P327" s="48" t="inlineStr">
        <is>
          <t>2608404</t>
        </is>
      </c>
      <c r="Q327" s="48" t="inlineStr">
        <is>
          <t>St Vincents Public Hospital - Awards Night - 26.8.25</t>
        </is>
      </c>
      <c r="R327" s="48" t="inlineStr">
        <is>
          <t>PRODUCTION</t>
        </is>
      </c>
    </row>
    <row r="328">
      <c r="P328" s="48" t="inlineStr">
        <is>
          <t>2608404V</t>
        </is>
      </c>
      <c r="Q328" s="48" t="inlineStr">
        <is>
          <t>St Vincents Public Hospital - Awards Night - 26.8.25</t>
        </is>
      </c>
      <c r="R328" s="48" t="inlineStr">
        <is>
          <t>VIDEO</t>
        </is>
      </c>
    </row>
    <row r="329">
      <c r="P329" s="48" t="inlineStr">
        <is>
          <t>2608604</t>
        </is>
      </c>
      <c r="Q329" s="48" t="inlineStr">
        <is>
          <t>ASX - FYR Employee Town Hall - 13.8.26</t>
        </is>
      </c>
      <c r="R329" s="48" t="inlineStr">
        <is>
          <t>PRODUCTION</t>
        </is>
      </c>
    </row>
    <row r="330">
      <c r="P330" s="48" t="inlineStr">
        <is>
          <t>2608604V</t>
        </is>
      </c>
      <c r="Q330" s="48" t="inlineStr">
        <is>
          <t>ASX - FYR Employee Town Hall - 13.8.26</t>
        </is>
      </c>
      <c r="R330" s="48" t="inlineStr">
        <is>
          <t>VIDEO</t>
        </is>
      </c>
    </row>
    <row r="331">
      <c r="P331" s="48" t="inlineStr">
        <is>
          <t>2608701</t>
        </is>
      </c>
      <c r="Q331" s="48" t="inlineStr">
        <is>
          <t>Elkeim - Studio Support - 10.9.26</t>
        </is>
      </c>
      <c r="R331" s="48" t="inlineStr">
        <is>
          <t>PRODUCTION</t>
        </is>
      </c>
    </row>
    <row r="332">
      <c r="P332" s="48" t="inlineStr">
        <is>
          <t>2608702</t>
        </is>
      </c>
      <c r="Q332" s="48" t="inlineStr">
        <is>
          <t>APA - Qtly All Hands SYD Screen Hire - 20.8.26</t>
        </is>
      </c>
      <c r="R332" s="48" t="inlineStr">
        <is>
          <t>PRODUCTION</t>
        </is>
      </c>
    </row>
    <row r="333">
      <c r="P333" s="48" t="inlineStr">
        <is>
          <t>26091002</t>
        </is>
      </c>
      <c r="Q333" s="48" t="inlineStr">
        <is>
          <t>GP - Talking Philanthropy - Event Videography 18.9.26</t>
        </is>
      </c>
      <c r="R333" s="48" t="inlineStr">
        <is>
          <t>PRODUCTION</t>
        </is>
      </c>
    </row>
    <row r="334">
      <c r="P334" s="48" t="inlineStr">
        <is>
          <t>26091002V</t>
        </is>
      </c>
      <c r="Q334" s="48" t="inlineStr">
        <is>
          <t>GP - Talking Philanthropy - Event Videography 18.9.26</t>
        </is>
      </c>
      <c r="R334" s="48" t="inlineStr">
        <is>
          <t>VIDEO</t>
        </is>
      </c>
    </row>
    <row r="335">
      <c r="P335" s="48" t="inlineStr">
        <is>
          <t>26091601</t>
        </is>
      </c>
      <c r="Q335" s="48" t="inlineStr">
        <is>
          <t>Automic - September All Hands - 25.9.26</t>
        </is>
      </c>
      <c r="R335" s="48" t="inlineStr">
        <is>
          <t>PRODUCTION</t>
        </is>
      </c>
    </row>
    <row r="336">
      <c r="P336" s="48" t="inlineStr">
        <is>
          <t>26091601V</t>
        </is>
      </c>
      <c r="Q336" s="48" t="inlineStr">
        <is>
          <t>Automic - September All Hands - 25.9.26</t>
        </is>
      </c>
      <c r="R336" s="48" t="inlineStr">
        <is>
          <t>VIDEO</t>
        </is>
      </c>
    </row>
    <row r="337">
      <c r="P337" s="48" t="inlineStr">
        <is>
          <t>26091604</t>
        </is>
      </c>
      <c r="Q337" s="48" t="inlineStr">
        <is>
          <t>The George Institute - SYD CV Symposium - 29-30.10.26</t>
        </is>
      </c>
      <c r="R337" s="48" t="inlineStr">
        <is>
          <t>PRODUCTION</t>
        </is>
      </c>
    </row>
    <row r="338">
      <c r="P338" s="48" t="inlineStr">
        <is>
          <t>26091604V</t>
        </is>
      </c>
      <c r="Q338" s="48" t="inlineStr">
        <is>
          <t>The George Institute - SYD CV Symposium - 29-30.10.26</t>
        </is>
      </c>
      <c r="R338" s="48" t="inlineStr">
        <is>
          <t>VIDEO</t>
        </is>
      </c>
    </row>
    <row r="339">
      <c r="P339" s="48" t="inlineStr">
        <is>
          <t>2609402</t>
        </is>
      </c>
      <c r="Q339" s="48" t="inlineStr">
        <is>
          <t>MUFG - SUN Investor Day - 29.10.26</t>
        </is>
      </c>
      <c r="R339" s="48" t="inlineStr">
        <is>
          <t>PRODUCTION</t>
        </is>
      </c>
    </row>
    <row r="340">
      <c r="P340" s="48" t="inlineStr">
        <is>
          <t>2609402V</t>
        </is>
      </c>
      <c r="Q340" s="48" t="inlineStr">
        <is>
          <t>MUFG - SUN Investor Day - 29.10.26</t>
        </is>
      </c>
      <c r="R340" s="48" t="inlineStr">
        <is>
          <t>VIDEO</t>
        </is>
      </c>
    </row>
    <row r="341">
      <c r="P341" s="48" t="inlineStr">
        <is>
          <t>2609801</t>
        </is>
      </c>
      <c r="Q341" s="48" t="inlineStr">
        <is>
          <t>Elkiem - Studio Support - 16.9.26</t>
        </is>
      </c>
      <c r="R341" s="48" t="inlineStr">
        <is>
          <t>PRODUCTION</t>
        </is>
      </c>
    </row>
    <row r="342">
      <c r="P342" s="48" t="inlineStr">
        <is>
          <t>2645</t>
        </is>
      </c>
      <c r="Q342" s="48" t="inlineStr">
        <is>
          <t>EY SYD Tech Support</t>
        </is>
      </c>
      <c r="R342" s="48" t="inlineStr">
        <is>
          <t>ONSITE</t>
        </is>
      </c>
    </row>
    <row r="343">
      <c r="P343" s="48" t="inlineStr">
        <is>
          <t>2648</t>
        </is>
      </c>
      <c r="Q343" s="48" t="inlineStr">
        <is>
          <t>DTTL MEL Additional Tech</t>
        </is>
      </c>
      <c r="R343" s="48" t="inlineStr">
        <is>
          <t>ONSITE</t>
        </is>
      </c>
    </row>
    <row r="344">
      <c r="P344" s="48" t="inlineStr">
        <is>
          <t>2658</t>
        </is>
      </c>
      <c r="Q344" s="48" t="inlineStr">
        <is>
          <t>EY MELB Tech</t>
        </is>
      </c>
      <c r="R344" s="48" t="inlineStr">
        <is>
          <t>ONSITE</t>
        </is>
      </c>
    </row>
    <row r="345">
      <c r="P345" s="48" t="inlineStr">
        <is>
          <t>2675</t>
        </is>
      </c>
      <c r="Q345" s="48" t="inlineStr">
        <is>
          <t>ONS EY (non-chargeable)</t>
        </is>
      </c>
      <c r="R345" s="48" t="inlineStr"/>
    </row>
    <row r="346">
      <c r="P346" s="48" t="inlineStr">
        <is>
          <t>2685</t>
        </is>
      </c>
      <c r="Q346" s="48" t="inlineStr">
        <is>
          <t>APA Proxyclick BNE &amp; DRW</t>
        </is>
      </c>
      <c r="R346" s="48" t="inlineStr">
        <is>
          <t>INTEGRATION</t>
        </is>
      </c>
    </row>
    <row r="347">
      <c r="P347" s="48" t="inlineStr">
        <is>
          <t>2706</t>
        </is>
      </c>
      <c r="Q347" s="48" t="inlineStr">
        <is>
          <t>EPA 6PSQ Proxyclick VMS</t>
        </is>
      </c>
      <c r="R347" s="48" t="inlineStr">
        <is>
          <t>INTEGRATION</t>
        </is>
      </c>
    </row>
    <row r="348">
      <c r="P348" s="48" t="inlineStr">
        <is>
          <t>2719</t>
        </is>
      </c>
      <c r="Q348" s="48" t="inlineStr">
        <is>
          <t>GSP - 6PSQProxyclickOnb</t>
        </is>
      </c>
      <c r="R348" s="48" t="inlineStr">
        <is>
          <t>INTEGRATION</t>
        </is>
      </c>
    </row>
    <row r="349">
      <c r="P349" s="48" t="inlineStr">
        <is>
          <t>2722</t>
        </is>
      </c>
      <c r="Q349" s="48" t="inlineStr">
        <is>
          <t>PWC Monthly Consulting</t>
        </is>
      </c>
      <c r="R349" s="48" t="inlineStr">
        <is>
          <t>CONSULTING</t>
        </is>
      </c>
    </row>
    <row r="350">
      <c r="P350" s="48" t="inlineStr">
        <is>
          <t>2726</t>
        </is>
      </c>
      <c r="Q350" s="48" t="inlineStr">
        <is>
          <t>KPMG MEL Tech</t>
        </is>
      </c>
      <c r="R350" s="48" t="inlineStr">
        <is>
          <t>ONSITE</t>
        </is>
      </c>
    </row>
    <row r="351">
      <c r="P351" s="48" t="inlineStr">
        <is>
          <t>2756</t>
        </is>
      </c>
      <c r="Q351" s="48" t="inlineStr">
        <is>
          <t>CTS Mgmt Meetings</t>
        </is>
      </c>
      <c r="R351" s="48" t="inlineStr">
        <is>
          <t>CTS</t>
        </is>
      </c>
    </row>
    <row r="352">
      <c r="P352" s="48" t="inlineStr">
        <is>
          <t>2834</t>
        </is>
      </c>
      <c r="Q352" s="48" t="inlineStr">
        <is>
          <t>APA Young - Visitor Mgmt</t>
        </is>
      </c>
      <c r="R352" s="48" t="inlineStr">
        <is>
          <t>INTEGRATION</t>
        </is>
      </c>
    </row>
    <row r="353">
      <c r="P353" s="48" t="inlineStr">
        <is>
          <t>2838</t>
        </is>
      </c>
      <c r="Q353" s="48" t="inlineStr">
        <is>
          <t>KPMG SYD Tech</t>
        </is>
      </c>
      <c r="R353" s="48" t="inlineStr">
        <is>
          <t>ONSITE</t>
        </is>
      </c>
    </row>
    <row r="354">
      <c r="P354" s="48" t="inlineStr">
        <is>
          <t>2846</t>
        </is>
      </c>
      <c r="Q354" s="48" t="inlineStr">
        <is>
          <t>DTTL National STL</t>
        </is>
      </c>
      <c r="R354" s="48" t="inlineStr">
        <is>
          <t>ONSITE</t>
        </is>
      </c>
    </row>
    <row r="355">
      <c r="P355" s="48" t="inlineStr">
        <is>
          <t>2848</t>
        </is>
      </c>
      <c r="Q355" s="48" t="inlineStr">
        <is>
          <t>APA ADL Visitor Mgmt</t>
        </is>
      </c>
      <c r="R355" s="48" t="inlineStr">
        <is>
          <t>INTEGRATION</t>
        </is>
      </c>
    </row>
    <row r="356">
      <c r="P356" s="48" t="inlineStr">
        <is>
          <t>2849</t>
        </is>
      </c>
      <c r="Q356" s="48" t="inlineStr">
        <is>
          <t>DTTL SYD Internal</t>
        </is>
      </c>
      <c r="R356" s="48" t="inlineStr">
        <is>
          <t>ONSITE</t>
        </is>
      </c>
    </row>
    <row r="357">
      <c r="P357" s="48" t="inlineStr">
        <is>
          <t>2855</t>
        </is>
      </c>
      <c r="Q357" s="48" t="inlineStr">
        <is>
          <t>APA Melbourne VMS</t>
        </is>
      </c>
      <c r="R357" s="48" t="inlineStr">
        <is>
          <t>INTEGRATION</t>
        </is>
      </c>
    </row>
    <row r="358">
      <c r="P358" s="48" t="inlineStr">
        <is>
          <t>2857</t>
        </is>
      </c>
      <c r="Q358" s="48" t="inlineStr">
        <is>
          <t>APA Sydney Visitor Mgmt</t>
        </is>
      </c>
      <c r="R358" s="48" t="inlineStr">
        <is>
          <t>INTEGRATION</t>
        </is>
      </c>
    </row>
    <row r="359">
      <c r="P359" s="48" t="inlineStr">
        <is>
          <t>2877</t>
        </is>
      </c>
      <c r="Q359" s="48" t="inlineStr">
        <is>
          <t>DEWR Maintenance Ext</t>
        </is>
      </c>
      <c r="R359" s="48" t="inlineStr">
        <is>
          <t>INTEGRATION</t>
        </is>
      </c>
    </row>
    <row r="360">
      <c r="P360" s="48" t="inlineStr">
        <is>
          <t>2879</t>
        </is>
      </c>
      <c r="Q360" s="48" t="inlineStr">
        <is>
          <t>ONS Ricoh-QANTAS (non-chgble)</t>
        </is>
      </c>
      <c r="R360" s="48" t="inlineStr"/>
    </row>
    <row r="361">
      <c r="P361" s="48" t="inlineStr">
        <is>
          <t>2880</t>
        </is>
      </c>
      <c r="Q361" s="48" t="inlineStr">
        <is>
          <t>Ricoh - QANTAS</t>
        </is>
      </c>
      <c r="R361" s="48" t="inlineStr">
        <is>
          <t>ONSITE</t>
        </is>
      </c>
    </row>
    <row r="362">
      <c r="P362" s="48" t="inlineStr">
        <is>
          <t>2892</t>
        </is>
      </c>
      <c r="Q362" s="48" t="inlineStr">
        <is>
          <t>JP Morgan Onsite Tech</t>
        </is>
      </c>
      <c r="R362" s="48" t="inlineStr">
        <is>
          <t>ONSITE</t>
        </is>
      </c>
    </row>
    <row r="363">
      <c r="P363" s="48" t="inlineStr">
        <is>
          <t>2896</t>
        </is>
      </c>
      <c r="Q363" s="48" t="inlineStr">
        <is>
          <t>ONS KPMG (non-chargeable)</t>
        </is>
      </c>
      <c r="R363" s="48" t="inlineStr"/>
    </row>
    <row r="364">
      <c r="P364" s="48" t="inlineStr">
        <is>
          <t>2897</t>
        </is>
      </c>
      <c r="Q364" s="48" t="inlineStr">
        <is>
          <t>ONS JPM (non-chargeable)</t>
        </is>
      </c>
      <c r="R364" s="48" t="inlineStr"/>
    </row>
    <row r="365">
      <c r="P365" s="48" t="inlineStr">
        <is>
          <t>2900</t>
        </is>
      </c>
      <c r="Q365" s="48" t="inlineStr">
        <is>
          <t>ONS Ammacus-Woolworths (non-chargeable)</t>
        </is>
      </c>
      <c r="R365" s="48" t="inlineStr"/>
    </row>
    <row r="366">
      <c r="P366" s="48" t="inlineStr">
        <is>
          <t>2906</t>
        </is>
      </c>
      <c r="Q366" s="48" t="inlineStr">
        <is>
          <t>KPMG BNE Tech</t>
        </is>
      </c>
      <c r="R366" s="48" t="inlineStr">
        <is>
          <t>ONSITE</t>
        </is>
      </c>
    </row>
    <row r="367">
      <c r="P367" s="48" t="inlineStr">
        <is>
          <t>2907</t>
        </is>
      </c>
      <c r="Q367" s="48" t="inlineStr">
        <is>
          <t>Ammacus-Woolworths Tech</t>
        </is>
      </c>
      <c r="R367" s="48" t="inlineStr">
        <is>
          <t>ONSITE</t>
        </is>
      </c>
    </row>
    <row r="368">
      <c r="P368" s="48" t="inlineStr">
        <is>
          <t>2910</t>
        </is>
      </c>
      <c r="Q368" s="48" t="inlineStr">
        <is>
          <t>Office Move 2024</t>
        </is>
      </c>
      <c r="R368" s="48" t="inlineStr">
        <is>
          <t>CTS</t>
        </is>
      </c>
    </row>
    <row r="369">
      <c r="P369" s="48" t="inlineStr">
        <is>
          <t>2977</t>
        </is>
      </c>
      <c r="Q369" s="48" t="inlineStr">
        <is>
          <t>St Catherine's School (CONS)</t>
        </is>
      </c>
      <c r="R369" s="48" t="inlineStr"/>
    </row>
    <row r="370">
      <c r="P370" s="48" t="inlineStr">
        <is>
          <t>3014</t>
        </is>
      </c>
      <c r="Q370" s="48" t="inlineStr">
        <is>
          <t>ONS Ricoh/Campari (Chargeable)</t>
        </is>
      </c>
      <c r="R370" s="48" t="inlineStr"/>
    </row>
    <row r="371">
      <c r="P371" s="48" t="inlineStr">
        <is>
          <t>3015</t>
        </is>
      </c>
      <c r="Q371" s="48" t="inlineStr">
        <is>
          <t>ONS Ricoh/Campari (Non Chgble)</t>
        </is>
      </c>
      <c r="R371" s="48" t="inlineStr"/>
    </row>
    <row r="372">
      <c r="P372" s="48" t="inlineStr">
        <is>
          <t>3027</t>
        </is>
      </c>
      <c r="Q372" s="48" t="inlineStr">
        <is>
          <t>DPIE Elizabeth St Booking</t>
        </is>
      </c>
      <c r="R372" s="48" t="inlineStr">
        <is>
          <t>INTEGRATION</t>
        </is>
      </c>
    </row>
    <row r="373">
      <c r="P373" s="48" t="inlineStr">
        <is>
          <t>3028</t>
        </is>
      </c>
      <c r="Q373" s="48" t="inlineStr">
        <is>
          <t>APA Kidman Park VMS</t>
        </is>
      </c>
      <c r="R373" s="48" t="inlineStr">
        <is>
          <t>INTEGRATION</t>
        </is>
      </c>
    </row>
    <row r="374">
      <c r="P374" s="48" t="inlineStr">
        <is>
          <t>3034</t>
        </is>
      </c>
      <c r="Q374" s="48" t="inlineStr">
        <is>
          <t>ARUP ONS (non-chargeable)</t>
        </is>
      </c>
      <c r="R374" s="48" t="inlineStr"/>
    </row>
    <row r="375">
      <c r="P375" s="48" t="inlineStr">
        <is>
          <t>3035</t>
        </is>
      </c>
      <c r="Q375" s="48" t="inlineStr">
        <is>
          <t>ARUP ONS National (Chargeable)</t>
        </is>
      </c>
      <c r="R375" s="48" t="inlineStr"/>
    </row>
    <row r="376">
      <c r="P376" s="48" t="inlineStr">
        <is>
          <t>3040</t>
        </is>
      </c>
      <c r="Q376" s="48" t="inlineStr">
        <is>
          <t>Corrs MELB Office Reloc</t>
        </is>
      </c>
      <c r="R376" s="48" t="inlineStr">
        <is>
          <t>CONSULTING</t>
        </is>
      </c>
    </row>
    <row r="377">
      <c r="P377" s="48" t="inlineStr">
        <is>
          <t>3042</t>
        </is>
      </c>
      <c r="Q377" s="48" t="inlineStr">
        <is>
          <t>Corrs-PER Office Reloc</t>
        </is>
      </c>
      <c r="R377" s="48" t="inlineStr">
        <is>
          <t>CONSULTING</t>
        </is>
      </c>
    </row>
    <row r="378">
      <c r="P378" s="48" t="inlineStr">
        <is>
          <t>3046</t>
        </is>
      </c>
      <c r="Q378" s="48" t="inlineStr">
        <is>
          <t>Stone&amp;Chalk ONS [chargeable]</t>
        </is>
      </c>
      <c r="R378" s="48" t="inlineStr"/>
    </row>
    <row r="379">
      <c r="P379" s="48" t="inlineStr">
        <is>
          <t>3047</t>
        </is>
      </c>
      <c r="Q379" s="48" t="inlineStr">
        <is>
          <t>Stone&amp;Chalk ONS [non-chargable]</t>
        </is>
      </c>
      <c r="R379" s="48" t="inlineStr"/>
    </row>
    <row r="380">
      <c r="P380" s="48" t="inlineStr">
        <is>
          <t>3048</t>
        </is>
      </c>
      <c r="Q380" s="48" t="inlineStr">
        <is>
          <t>Stone &amp; Chalk Audit 2</t>
        </is>
      </c>
      <c r="R380" s="48" t="inlineStr">
        <is>
          <t>CONSULTING</t>
        </is>
      </c>
    </row>
    <row r="381">
      <c r="P381" s="48" t="inlineStr">
        <is>
          <t>3056</t>
        </is>
      </c>
      <c r="Q381" s="48" t="inlineStr">
        <is>
          <t>AusPayNet Onsite [Chargeable]</t>
        </is>
      </c>
      <c r="R381" s="48" t="inlineStr"/>
    </row>
    <row r="382">
      <c r="P382" s="48" t="inlineStr">
        <is>
          <t>3057</t>
        </is>
      </c>
      <c r="Q382" s="48" t="inlineStr">
        <is>
          <t>AusPayNet ONS[Non-Chargeable]</t>
        </is>
      </c>
      <c r="R382" s="48" t="inlineStr"/>
    </row>
    <row r="383">
      <c r="P383" s="48" t="inlineStr">
        <is>
          <t>3059</t>
        </is>
      </c>
      <c r="Q383" s="48" t="inlineStr">
        <is>
          <t>CBA AGM 2025</t>
        </is>
      </c>
      <c r="R383" s="48" t="inlineStr">
        <is>
          <t>PRODUCTION</t>
        </is>
      </c>
    </row>
    <row r="384">
      <c r="P384" s="48" t="inlineStr">
        <is>
          <t>3068</t>
        </is>
      </c>
      <c r="Q384" s="48" t="inlineStr">
        <is>
          <t>DPIE Pitt and Penrith</t>
        </is>
      </c>
      <c r="R384" s="48" t="inlineStr">
        <is>
          <t>INTEGRATION</t>
        </is>
      </c>
    </row>
    <row r="385">
      <c r="P385" s="48" t="inlineStr">
        <is>
          <t>3072</t>
        </is>
      </c>
      <c r="Q385" s="48" t="inlineStr">
        <is>
          <t>APA Thomastown</t>
        </is>
      </c>
      <c r="R385" s="48" t="inlineStr">
        <is>
          <t>INTEGRATION</t>
        </is>
      </c>
    </row>
    <row r="386">
      <c r="P386" s="48" t="inlineStr">
        <is>
          <t>585</t>
        </is>
      </c>
      <c r="Q386" s="48" t="inlineStr">
        <is>
          <t>CBA Team Leader</t>
        </is>
      </c>
      <c r="R386" s="48" t="inlineStr">
        <is>
          <t>ONSITE</t>
        </is>
      </c>
    </row>
    <row r="387">
      <c r="P387" s="48" t="inlineStr">
        <is>
          <t>586</t>
        </is>
      </c>
      <c r="Q387" s="48" t="inlineStr">
        <is>
          <t>CBA Tech NP</t>
        </is>
      </c>
      <c r="R387" s="48" t="inlineStr">
        <is>
          <t>ONSITE</t>
        </is>
      </c>
    </row>
    <row r="388">
      <c r="P388" s="48" t="inlineStr">
        <is>
          <t>587</t>
        </is>
      </c>
      <c r="Q388" s="48" t="inlineStr">
        <is>
          <t>CBA Tech TN</t>
        </is>
      </c>
      <c r="R388" s="48" t="inlineStr">
        <is>
          <t>ONSITE</t>
        </is>
      </c>
    </row>
    <row r="389">
      <c r="P389" s="48" t="inlineStr">
        <is>
          <t>724</t>
        </is>
      </c>
      <c r="Q389" s="48" t="inlineStr">
        <is>
          <t>DTTL SYD NTSL</t>
        </is>
      </c>
      <c r="R389" s="48" t="inlineStr">
        <is>
          <t>ONSITE</t>
        </is>
      </c>
    </row>
    <row r="390">
      <c r="P390" s="48" t="inlineStr">
        <is>
          <t>725</t>
        </is>
      </c>
      <c r="Q390" s="48" t="inlineStr">
        <is>
          <t>DTTL Mel Tech FT 1</t>
        </is>
      </c>
      <c r="R390" s="48" t="inlineStr">
        <is>
          <t>ONSITE</t>
        </is>
      </c>
    </row>
    <row r="391">
      <c r="P391" s="48" t="inlineStr">
        <is>
          <t>729</t>
        </is>
      </c>
      <c r="Q391" s="48" t="inlineStr">
        <is>
          <t>DTTL Consulting</t>
        </is>
      </c>
      <c r="R391" s="48" t="inlineStr">
        <is>
          <t>CONSULTING</t>
        </is>
      </c>
    </row>
    <row r="392">
      <c r="P392" s="48" t="inlineStr">
        <is>
          <t>732</t>
        </is>
      </c>
      <c r="Q392" s="48" t="inlineStr">
        <is>
          <t>Bank West Contract</t>
        </is>
      </c>
      <c r="R392" s="48" t="inlineStr">
        <is>
          <t>ONSITE</t>
        </is>
      </c>
    </row>
    <row r="393">
      <c r="P393" s="48" t="inlineStr">
        <is>
          <t>9000</t>
        </is>
      </c>
      <c r="Q393" s="48" t="inlineStr">
        <is>
          <t>OFFICE / ADMIN</t>
        </is>
      </c>
      <c r="R393" s="48" t="inlineStr">
        <is>
          <t>CTS</t>
        </is>
      </c>
    </row>
    <row r="394">
      <c r="P394" s="48" t="inlineStr">
        <is>
          <t>9001</t>
        </is>
      </c>
      <c r="Q394" s="48" t="inlineStr">
        <is>
          <t>OFFICE/ADMIN Orientation</t>
        </is>
      </c>
      <c r="R394" s="48" t="inlineStr">
        <is>
          <t>CTS</t>
        </is>
      </c>
    </row>
    <row r="395">
      <c r="P395" s="48" t="inlineStr">
        <is>
          <t>9050</t>
        </is>
      </c>
      <c r="Q395" s="48" t="inlineStr">
        <is>
          <t>OFFICE ASSETS</t>
        </is>
      </c>
      <c r="R395" s="48" t="inlineStr">
        <is>
          <t>CTS</t>
        </is>
      </c>
    </row>
    <row r="396">
      <c r="P396" s="48" t="inlineStr">
        <is>
          <t>9100</t>
        </is>
      </c>
      <c r="Q396" s="48" t="inlineStr">
        <is>
          <t>PRODUCTION</t>
        </is>
      </c>
      <c r="R396" s="48" t="inlineStr">
        <is>
          <t>PRODUCTION</t>
        </is>
      </c>
    </row>
    <row r="397">
      <c r="P397" s="48" t="inlineStr">
        <is>
          <t>9101</t>
        </is>
      </c>
      <c r="Q397" s="48" t="inlineStr">
        <is>
          <t>PRODUCTION - Orientation</t>
        </is>
      </c>
      <c r="R397" s="48" t="inlineStr">
        <is>
          <t>PRODUCTION</t>
        </is>
      </c>
    </row>
    <row r="398">
      <c r="P398" s="48" t="inlineStr">
        <is>
          <t>9102</t>
        </is>
      </c>
      <c r="Q398" s="48" t="inlineStr">
        <is>
          <t>Production - Training</t>
        </is>
      </c>
      <c r="R398" s="48" t="inlineStr">
        <is>
          <t>PRODUCTION</t>
        </is>
      </c>
    </row>
    <row r="399">
      <c r="P399" s="48" t="inlineStr">
        <is>
          <t>9105</t>
        </is>
      </c>
      <c r="Q399" s="48" t="inlineStr">
        <is>
          <t>ONSITE (including PROD backup)</t>
        </is>
      </c>
      <c r="R399" s="48" t="inlineStr"/>
    </row>
    <row r="400">
      <c r="P400" s="48" t="inlineStr">
        <is>
          <t>9106</t>
        </is>
      </c>
      <c r="Q400" s="48" t="inlineStr">
        <is>
          <t>ONSITE - Orientation</t>
        </is>
      </c>
      <c r="R400" s="48" t="inlineStr">
        <is>
          <t>ONSITE</t>
        </is>
      </c>
    </row>
    <row r="401">
      <c r="P401" s="48" t="inlineStr">
        <is>
          <t>9107</t>
        </is>
      </c>
      <c r="Q401" s="48" t="inlineStr">
        <is>
          <t>ONSITE - Assets</t>
        </is>
      </c>
      <c r="R401" s="48" t="inlineStr">
        <is>
          <t>ONSITE</t>
        </is>
      </c>
    </row>
    <row r="402">
      <c r="P402" s="48" t="inlineStr">
        <is>
          <t>9108</t>
        </is>
      </c>
      <c r="Q402" s="48" t="inlineStr">
        <is>
          <t>ONSITE - Sales</t>
        </is>
      </c>
      <c r="R402" s="48" t="inlineStr">
        <is>
          <t>ONSITE</t>
        </is>
      </c>
    </row>
    <row r="403">
      <c r="P403" s="48" t="inlineStr">
        <is>
          <t>9109</t>
        </is>
      </c>
      <c r="Q403" s="48" t="inlineStr">
        <is>
          <t>ONSITE - Marketing</t>
        </is>
      </c>
      <c r="R403" s="48" t="inlineStr">
        <is>
          <t>ONSITE</t>
        </is>
      </c>
    </row>
    <row r="404">
      <c r="P404" s="48" t="inlineStr">
        <is>
          <t>9125</t>
        </is>
      </c>
      <c r="Q404" s="48" t="inlineStr">
        <is>
          <t>VIDEO DEPT</t>
        </is>
      </c>
      <c r="R404" s="48" t="inlineStr">
        <is>
          <t>VIDEO</t>
        </is>
      </c>
    </row>
    <row r="405">
      <c r="P405" s="48" t="inlineStr">
        <is>
          <t>9126</t>
        </is>
      </c>
      <c r="Q405" s="48" t="inlineStr">
        <is>
          <t>VIDEO - Orientation</t>
        </is>
      </c>
      <c r="R405" s="48" t="inlineStr">
        <is>
          <t>VIDEO</t>
        </is>
      </c>
    </row>
    <row r="406">
      <c r="P406" s="48" t="inlineStr">
        <is>
          <t>9127</t>
        </is>
      </c>
      <c r="Q406" s="48" t="inlineStr">
        <is>
          <t>VIDEO - Assets</t>
        </is>
      </c>
      <c r="R406" s="48" t="inlineStr">
        <is>
          <t>VIDEO</t>
        </is>
      </c>
    </row>
    <row r="407">
      <c r="P407" s="48" t="inlineStr">
        <is>
          <t>9128</t>
        </is>
      </c>
      <c r="Q407" s="48" t="inlineStr">
        <is>
          <t>VIDEO - Sales</t>
        </is>
      </c>
      <c r="R407" s="48" t="inlineStr">
        <is>
          <t>VIDEO</t>
        </is>
      </c>
    </row>
    <row r="408">
      <c r="P408" s="48" t="inlineStr">
        <is>
          <t>9129</t>
        </is>
      </c>
      <c r="Q408" s="48" t="inlineStr">
        <is>
          <t>VIDEO - Marketing</t>
        </is>
      </c>
      <c r="R408" s="48" t="inlineStr">
        <is>
          <t>VIDEO</t>
        </is>
      </c>
    </row>
    <row r="409">
      <c r="P409" s="48" t="inlineStr">
        <is>
          <t>9150</t>
        </is>
      </c>
      <c r="Q409" s="48" t="inlineStr">
        <is>
          <t>PRODUCTION - Assets</t>
        </is>
      </c>
      <c r="R409" s="48" t="inlineStr">
        <is>
          <t>PRODUCTION</t>
        </is>
      </c>
    </row>
    <row r="410">
      <c r="P410" s="48" t="inlineStr">
        <is>
          <t>9175</t>
        </is>
      </c>
      <c r="Q410" s="48" t="inlineStr">
        <is>
          <t>PRODUCTION - Sales</t>
        </is>
      </c>
      <c r="R410" s="48" t="inlineStr">
        <is>
          <t>PRODUCTION</t>
        </is>
      </c>
    </row>
    <row r="411">
      <c r="P411" s="48" t="inlineStr">
        <is>
          <t>9176</t>
        </is>
      </c>
      <c r="Q411" s="48" t="inlineStr">
        <is>
          <t>Production - Marketing</t>
        </is>
      </c>
      <c r="R411" s="48" t="inlineStr">
        <is>
          <t>PRODUCTION</t>
        </is>
      </c>
    </row>
    <row r="412">
      <c r="P412" s="48" t="inlineStr">
        <is>
          <t>9178</t>
        </is>
      </c>
      <c r="Q412" s="48" t="inlineStr">
        <is>
          <t>Production – Webcasts</t>
        </is>
      </c>
      <c r="R412" s="48" t="inlineStr">
        <is>
          <t>PRODUCTION</t>
        </is>
      </c>
    </row>
    <row r="413">
      <c r="P413" s="48" t="inlineStr">
        <is>
          <t>9200</t>
        </is>
      </c>
      <c r="Q413" s="48" t="inlineStr">
        <is>
          <t>INTEGRATION</t>
        </is>
      </c>
      <c r="R413" s="48" t="inlineStr">
        <is>
          <t>INTEGRATION</t>
        </is>
      </c>
    </row>
    <row r="414">
      <c r="P414" s="48" t="inlineStr">
        <is>
          <t>9201</t>
        </is>
      </c>
      <c r="Q414" s="48" t="inlineStr">
        <is>
          <t>INTEGRATION - Orientation [INT</t>
        </is>
      </c>
      <c r="R414" s="48" t="inlineStr"/>
    </row>
    <row r="415">
      <c r="P415" s="48" t="inlineStr">
        <is>
          <t>9202</t>
        </is>
      </c>
      <c r="Q415" s="48" t="inlineStr">
        <is>
          <t>INTEGRATION - Quotes</t>
        </is>
      </c>
      <c r="R415" s="48" t="inlineStr">
        <is>
          <t>INTEGRATION</t>
        </is>
      </c>
    </row>
    <row r="416">
      <c r="P416" s="48" t="inlineStr">
        <is>
          <t>9225</t>
        </is>
      </c>
      <c r="Q416" s="48" t="inlineStr">
        <is>
          <t>Integration - SALES</t>
        </is>
      </c>
      <c r="R416" s="48" t="inlineStr">
        <is>
          <t>INTEGRATION</t>
        </is>
      </c>
    </row>
    <row r="417">
      <c r="P417" s="48" t="inlineStr">
        <is>
          <t>9226</t>
        </is>
      </c>
      <c r="Q417" s="48" t="inlineStr">
        <is>
          <t>Integration - Marketing</t>
        </is>
      </c>
      <c r="R417" s="48" t="inlineStr">
        <is>
          <t>INTEGRATION</t>
        </is>
      </c>
    </row>
    <row r="418">
      <c r="P418" s="48" t="inlineStr">
        <is>
          <t>9300</t>
        </is>
      </c>
      <c r="Q418" s="48" t="inlineStr">
        <is>
          <t>HUMAN RESOURCES</t>
        </is>
      </c>
      <c r="R418" s="48" t="inlineStr">
        <is>
          <t>CTS</t>
        </is>
      </c>
    </row>
    <row r="419">
      <c r="P419" s="48" t="inlineStr">
        <is>
          <t>9301</t>
        </is>
      </c>
      <c r="Q419" s="48" t="inlineStr">
        <is>
          <t>Recruitment</t>
        </is>
      </c>
      <c r="R419" s="48" t="inlineStr">
        <is>
          <t>CTS</t>
        </is>
      </c>
    </row>
    <row r="420">
      <c r="P420" s="48" t="inlineStr">
        <is>
          <t>9350</t>
        </is>
      </c>
      <c r="Q420" s="48" t="inlineStr">
        <is>
          <t>MARKETING (external)</t>
        </is>
      </c>
      <c r="R420" s="48" t="inlineStr">
        <is>
          <t>CTS</t>
        </is>
      </c>
    </row>
    <row r="421">
      <c r="P421" s="48" t="inlineStr">
        <is>
          <t>9375</t>
        </is>
      </c>
      <c r="Q421" s="48" t="inlineStr">
        <is>
          <t>MARKETING / COMMS</t>
        </is>
      </c>
      <c r="R421" s="48" t="inlineStr">
        <is>
          <t>CTS</t>
        </is>
      </c>
    </row>
    <row r="422">
      <c r="P422" s="48" t="inlineStr">
        <is>
          <t>9400</t>
        </is>
      </c>
      <c r="Q422" s="48" t="inlineStr">
        <is>
          <t>CONSULTING</t>
        </is>
      </c>
      <c r="R422" s="48" t="inlineStr">
        <is>
          <t>CONSULTING</t>
        </is>
      </c>
    </row>
    <row r="423">
      <c r="P423" s="48" t="inlineStr">
        <is>
          <t>9402</t>
        </is>
      </c>
      <c r="Q423" s="48" t="inlineStr">
        <is>
          <t>CONSULTING - Assets</t>
        </is>
      </c>
      <c r="R423" s="48" t="inlineStr">
        <is>
          <t>CONSULTING</t>
        </is>
      </c>
    </row>
    <row r="424">
      <c r="P424" s="48" t="inlineStr">
        <is>
          <t>9403</t>
        </is>
      </c>
      <c r="Q424" s="48" t="inlineStr">
        <is>
          <t>CONSULTING - Sales</t>
        </is>
      </c>
      <c r="R424" s="48" t="inlineStr">
        <is>
          <t>CONSULTING</t>
        </is>
      </c>
    </row>
    <row r="425">
      <c r="P425" s="48" t="inlineStr">
        <is>
          <t>9405</t>
        </is>
      </c>
      <c r="Q425" s="48" t="inlineStr">
        <is>
          <t>CONSULTING - Marketing</t>
        </is>
      </c>
      <c r="R425" s="48" t="inlineStr">
        <is>
          <t>CONSULTING</t>
        </is>
      </c>
    </row>
    <row r="426">
      <c r="P426" s="48" t="inlineStr">
        <is>
          <t>9407</t>
        </is>
      </c>
      <c r="Q426" s="48" t="inlineStr">
        <is>
          <t>CONSULTING - Training</t>
        </is>
      </c>
      <c r="R426" s="48" t="inlineStr">
        <is>
          <t>CONSULTING</t>
        </is>
      </c>
    </row>
    <row r="427">
      <c r="P427" s="48" t="inlineStr">
        <is>
          <t>974</t>
        </is>
      </c>
      <c r="Q427" s="48" t="inlineStr">
        <is>
          <t>DTTL 1300 Number</t>
        </is>
      </c>
      <c r="R427" s="48"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2026-09-18T00:58:58Z</dcterms:created>
  <dcterms:modified xsi:type="dcterms:W3CDTF">2026-09-18T00:59:00Z</dcterms:modified>
</cp:coreProperties>
</file>